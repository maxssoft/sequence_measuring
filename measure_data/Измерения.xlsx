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543251/Development/AndroidProjects/sequence_measuring/measure_data/"/>
    </mc:Choice>
  </mc:AlternateContent>
  <xr:revisionPtr revIDLastSave="0" documentId="13_ncr:1_{1BBBFCAB-7FEB-1449-8DFF-8BFB01860EAE}" xr6:coauthVersionLast="47" xr6:coauthVersionMax="47" xr10:uidLastSave="{00000000-0000-0000-0000-000000000000}"/>
  <bookViews>
    <workbookView xWindow="0" yWindow="760" windowWidth="34560" windowHeight="19860" activeTab="1" xr2:uid="{8CF03611-AABD-7D4A-BABC-C21BE15D09A6}"/>
  </bookViews>
  <sheets>
    <sheet name="Data" sheetId="3" r:id="rId1"/>
    <sheet name="Измерения" sheetId="1" r:id="rId2"/>
    <sheet name="Результаты" sheetId="2" r:id="rId3"/>
    <sheet name="Результаты LINUX-WPS" sheetId="5" r:id="rId4"/>
    <sheet name="Data_swap" sheetId="4" r:id="rId5"/>
  </sheets>
  <definedNames>
    <definedName name="Измерения_1" localSheetId="1">Измерения!$A$1:$G$382</definedName>
    <definedName name="calculated_1" localSheetId="0">Data!$A$2:$G$349</definedName>
    <definedName name="calculated_swap" localSheetId="4">Data_swap!$A$1:$G$284</definedName>
    <definedName name="jmh_result_1" localSheetId="1">Измерения!$A$856:$F$923</definedName>
    <definedName name="linux_all" localSheetId="1">Измерения!$A$2918:$G$3006</definedName>
    <definedName name="linux_map_exp" localSheetId="1">Измерения!#REF!</definedName>
    <definedName name="linux_map_exp" localSheetId="4">Data_swap!#REF!</definedName>
    <definedName name="linux_map_exp_1" localSheetId="1">Измерения!$A$2871:$G$2898</definedName>
    <definedName name="measures_10000" localSheetId="4">Data_swap!#REF!</definedName>
    <definedName name="measures_100000" localSheetId="1">Измерения!$A$2725:$G$2796</definedName>
    <definedName name="measures_withMemory" localSheetId="1">Измерения!$A$2273:$G$2420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222" i="1" l="1"/>
  <c r="L4222" i="1"/>
  <c r="P4222" i="1" s="1"/>
  <c r="K4222" i="1"/>
  <c r="O4222" i="1" s="1"/>
  <c r="N4221" i="1"/>
  <c r="L4221" i="1"/>
  <c r="P4221" i="1" s="1"/>
  <c r="K4221" i="1"/>
  <c r="O4221" i="1" s="1"/>
  <c r="N4220" i="1"/>
  <c r="L4220" i="1"/>
  <c r="P4220" i="1" s="1"/>
  <c r="K4220" i="1"/>
  <c r="O4220" i="1" s="1"/>
  <c r="N4219" i="1"/>
  <c r="L4219" i="1"/>
  <c r="P4219" i="1" s="1"/>
  <c r="K4219" i="1"/>
  <c r="M4219" i="1" s="1"/>
  <c r="N4218" i="1"/>
  <c r="P4218" i="1" s="1"/>
  <c r="L4218" i="1"/>
  <c r="K4218" i="1"/>
  <c r="O4218" i="1" s="1"/>
  <c r="J4217" i="1"/>
  <c r="N4204" i="1"/>
  <c r="L4204" i="1"/>
  <c r="P4204" i="1" s="1"/>
  <c r="K4204" i="1"/>
  <c r="O4204" i="1" s="1"/>
  <c r="N4203" i="1"/>
  <c r="P4203" i="1" s="1"/>
  <c r="M4203" i="1"/>
  <c r="L4203" i="1"/>
  <c r="K4203" i="1"/>
  <c r="N4202" i="1"/>
  <c r="L4202" i="1"/>
  <c r="P4202" i="1" s="1"/>
  <c r="K4202" i="1"/>
  <c r="O4202" i="1" s="1"/>
  <c r="P4201" i="1"/>
  <c r="O4201" i="1"/>
  <c r="N4201" i="1"/>
  <c r="L4201" i="1"/>
  <c r="K4201" i="1"/>
  <c r="M4201" i="1" s="1"/>
  <c r="N4200" i="1"/>
  <c r="L4200" i="1"/>
  <c r="P4200" i="1" s="1"/>
  <c r="K4200" i="1"/>
  <c r="O4200" i="1" s="1"/>
  <c r="J4199" i="1"/>
  <c r="N4186" i="1"/>
  <c r="L4186" i="1"/>
  <c r="P4186" i="1" s="1"/>
  <c r="K4186" i="1"/>
  <c r="O4186" i="1" s="1"/>
  <c r="N4185" i="1"/>
  <c r="P4185" i="1" s="1"/>
  <c r="M4185" i="1"/>
  <c r="L4185" i="1"/>
  <c r="K4185" i="1"/>
  <c r="N4184" i="1"/>
  <c r="L4184" i="1"/>
  <c r="P4184" i="1" s="1"/>
  <c r="K4184" i="1"/>
  <c r="O4184" i="1" s="1"/>
  <c r="P4183" i="1"/>
  <c r="O4183" i="1"/>
  <c r="N4183" i="1"/>
  <c r="M4183" i="1"/>
  <c r="L4183" i="1"/>
  <c r="K4183" i="1"/>
  <c r="N4182" i="1"/>
  <c r="L4182" i="1"/>
  <c r="P4182" i="1" s="1"/>
  <c r="K4182" i="1"/>
  <c r="O4182" i="1" s="1"/>
  <c r="J4181" i="1"/>
  <c r="N4168" i="1"/>
  <c r="L4168" i="1"/>
  <c r="P4168" i="1" s="1"/>
  <c r="K4168" i="1"/>
  <c r="O4168" i="1" s="1"/>
  <c r="P4167" i="1"/>
  <c r="O4167" i="1"/>
  <c r="N4167" i="1"/>
  <c r="M4167" i="1"/>
  <c r="L4167" i="1"/>
  <c r="K4167" i="1"/>
  <c r="N4166" i="1"/>
  <c r="L4166" i="1"/>
  <c r="P4166" i="1" s="1"/>
  <c r="K4166" i="1"/>
  <c r="O4166" i="1" s="1"/>
  <c r="O4165" i="1"/>
  <c r="N4165" i="1"/>
  <c r="L4165" i="1"/>
  <c r="P4165" i="1" s="1"/>
  <c r="K4165" i="1"/>
  <c r="M4165" i="1" s="1"/>
  <c r="N4164" i="1"/>
  <c r="P4164" i="1" s="1"/>
  <c r="M4164" i="1"/>
  <c r="L4164" i="1"/>
  <c r="K4164" i="1"/>
  <c r="O4164" i="1" s="1"/>
  <c r="J4163" i="1"/>
  <c r="N4150" i="1"/>
  <c r="L4150" i="1"/>
  <c r="P4150" i="1" s="1"/>
  <c r="K4150" i="1"/>
  <c r="O4150" i="1" s="1"/>
  <c r="N4149" i="1"/>
  <c r="P4149" i="1" s="1"/>
  <c r="M4149" i="1"/>
  <c r="L4149" i="1"/>
  <c r="K4149" i="1"/>
  <c r="N4148" i="1"/>
  <c r="L4148" i="1"/>
  <c r="P4148" i="1" s="1"/>
  <c r="K4148" i="1"/>
  <c r="O4148" i="1" s="1"/>
  <c r="P4147" i="1"/>
  <c r="O4147" i="1"/>
  <c r="N4147" i="1"/>
  <c r="L4147" i="1"/>
  <c r="K4147" i="1"/>
  <c r="M4147" i="1" s="1"/>
  <c r="N4146" i="1"/>
  <c r="M4146" i="1"/>
  <c r="L4146" i="1"/>
  <c r="P4146" i="1" s="1"/>
  <c r="K4146" i="1"/>
  <c r="O4146" i="1" s="1"/>
  <c r="J4145" i="1"/>
  <c r="N4132" i="1"/>
  <c r="L4132" i="1"/>
  <c r="P4132" i="1" s="1"/>
  <c r="K4132" i="1"/>
  <c r="O4132" i="1" s="1"/>
  <c r="P4131" i="1"/>
  <c r="O4131" i="1"/>
  <c r="N4131" i="1"/>
  <c r="L4131" i="1"/>
  <c r="K4131" i="1"/>
  <c r="M4131" i="1" s="1"/>
  <c r="N4130" i="1"/>
  <c r="M4130" i="1"/>
  <c r="L4130" i="1"/>
  <c r="P4130" i="1" s="1"/>
  <c r="K4130" i="1"/>
  <c r="O4130" i="1" s="1"/>
  <c r="N4129" i="1"/>
  <c r="L4129" i="1"/>
  <c r="P4129" i="1" s="1"/>
  <c r="K4129" i="1"/>
  <c r="M4129" i="1" s="1"/>
  <c r="O4128" i="1"/>
  <c r="N4128" i="1"/>
  <c r="P4128" i="1" s="1"/>
  <c r="M4128" i="1"/>
  <c r="L4128" i="1"/>
  <c r="K4128" i="1"/>
  <c r="J4127" i="1"/>
  <c r="N4114" i="1"/>
  <c r="L4114" i="1"/>
  <c r="P4114" i="1" s="1"/>
  <c r="K4114" i="1"/>
  <c r="O4114" i="1" s="1"/>
  <c r="N4113" i="1"/>
  <c r="O4113" i="1" s="1"/>
  <c r="M4113" i="1"/>
  <c r="L4113" i="1"/>
  <c r="P4113" i="1" s="1"/>
  <c r="K4113" i="1"/>
  <c r="N4112" i="1"/>
  <c r="L4112" i="1"/>
  <c r="P4112" i="1" s="1"/>
  <c r="K4112" i="1"/>
  <c r="O4112" i="1" s="1"/>
  <c r="P4111" i="1"/>
  <c r="O4111" i="1"/>
  <c r="N4111" i="1"/>
  <c r="L4111" i="1"/>
  <c r="K4111" i="1"/>
  <c r="M4111" i="1" s="1"/>
  <c r="N4110" i="1"/>
  <c r="L4110" i="1"/>
  <c r="P4110" i="1" s="1"/>
  <c r="K4110" i="1"/>
  <c r="O4110" i="1" s="1"/>
  <c r="J4109" i="1"/>
  <c r="N4096" i="1"/>
  <c r="L4096" i="1"/>
  <c r="P4096" i="1" s="1"/>
  <c r="K4096" i="1"/>
  <c r="O4096" i="1" s="1"/>
  <c r="P4095" i="1"/>
  <c r="O4095" i="1"/>
  <c r="N4095" i="1"/>
  <c r="L4095" i="1"/>
  <c r="M4095" i="1" s="1"/>
  <c r="K4095" i="1"/>
  <c r="P4094" i="1"/>
  <c r="N4094" i="1"/>
  <c r="L4094" i="1"/>
  <c r="K4094" i="1"/>
  <c r="O4094" i="1" s="1"/>
  <c r="N4093" i="1"/>
  <c r="L4093" i="1"/>
  <c r="P4093" i="1" s="1"/>
  <c r="K4093" i="1"/>
  <c r="M4093" i="1" s="1"/>
  <c r="P4092" i="1"/>
  <c r="N4092" i="1"/>
  <c r="M4092" i="1"/>
  <c r="L4092" i="1"/>
  <c r="K4092" i="1"/>
  <c r="O4092" i="1" s="1"/>
  <c r="J4091" i="1"/>
  <c r="N4078" i="1"/>
  <c r="L4078" i="1"/>
  <c r="P4078" i="1" s="1"/>
  <c r="K4078" i="1"/>
  <c r="O4078" i="1" s="1"/>
  <c r="N4077" i="1"/>
  <c r="O4077" i="1" s="1"/>
  <c r="M4077" i="1"/>
  <c r="L4077" i="1"/>
  <c r="K4077" i="1"/>
  <c r="P4076" i="1"/>
  <c r="N4076" i="1"/>
  <c r="L4076" i="1"/>
  <c r="K4076" i="1"/>
  <c r="O4076" i="1" s="1"/>
  <c r="P4075" i="1"/>
  <c r="O4075" i="1"/>
  <c r="N4075" i="1"/>
  <c r="L4075" i="1"/>
  <c r="M4075" i="1" s="1"/>
  <c r="K4075" i="1"/>
  <c r="N4074" i="1"/>
  <c r="L4074" i="1"/>
  <c r="P4074" i="1" s="1"/>
  <c r="K4074" i="1"/>
  <c r="M4074" i="1" s="1"/>
  <c r="J4073" i="1"/>
  <c r="N4060" i="1"/>
  <c r="L4060" i="1"/>
  <c r="P4060" i="1" s="1"/>
  <c r="K4060" i="1"/>
  <c r="O4060" i="1" s="1"/>
  <c r="N4059" i="1"/>
  <c r="O4059" i="1" s="1"/>
  <c r="M4059" i="1"/>
  <c r="L4059" i="1"/>
  <c r="K4059" i="1"/>
  <c r="N4058" i="1"/>
  <c r="P4058" i="1" s="1"/>
  <c r="L4058" i="1"/>
  <c r="K4058" i="1"/>
  <c r="O4058" i="1" s="1"/>
  <c r="P4057" i="1"/>
  <c r="O4057" i="1"/>
  <c r="N4057" i="1"/>
  <c r="L4057" i="1"/>
  <c r="K4057" i="1"/>
  <c r="M4057" i="1" s="1"/>
  <c r="N4056" i="1"/>
  <c r="L4056" i="1"/>
  <c r="P4056" i="1" s="1"/>
  <c r="K4056" i="1"/>
  <c r="O4056" i="1" s="1"/>
  <c r="J4055" i="1"/>
  <c r="N4019" i="1"/>
  <c r="L4019" i="1"/>
  <c r="P4019" i="1" s="1"/>
  <c r="K4019" i="1"/>
  <c r="O4019" i="1" s="1"/>
  <c r="N4018" i="1"/>
  <c r="O4018" i="1" s="1"/>
  <c r="L4018" i="1"/>
  <c r="P4018" i="1" s="1"/>
  <c r="K4018" i="1"/>
  <c r="N4017" i="1"/>
  <c r="L4017" i="1"/>
  <c r="P4017" i="1" s="1"/>
  <c r="K4017" i="1"/>
  <c r="O4017" i="1" s="1"/>
  <c r="N4016" i="1"/>
  <c r="P4016" i="1" s="1"/>
  <c r="L4016" i="1"/>
  <c r="K4016" i="1"/>
  <c r="M4016" i="1" s="1"/>
  <c r="N4015" i="1"/>
  <c r="M4015" i="1"/>
  <c r="L4015" i="1"/>
  <c r="P4015" i="1" s="1"/>
  <c r="K4015" i="1"/>
  <c r="O4015" i="1" s="1"/>
  <c r="J4014" i="1"/>
  <c r="N4001" i="1"/>
  <c r="L4001" i="1"/>
  <c r="P4001" i="1" s="1"/>
  <c r="K4001" i="1"/>
  <c r="O4001" i="1" s="1"/>
  <c r="N4000" i="1"/>
  <c r="O4000" i="1" s="1"/>
  <c r="M4000" i="1"/>
  <c r="L4000" i="1"/>
  <c r="K4000" i="1"/>
  <c r="N3999" i="1"/>
  <c r="L3999" i="1"/>
  <c r="P3999" i="1" s="1"/>
  <c r="K3999" i="1"/>
  <c r="M3999" i="1" s="1"/>
  <c r="P3998" i="1"/>
  <c r="O3998" i="1"/>
  <c r="N3998" i="1"/>
  <c r="L3998" i="1"/>
  <c r="K3998" i="1"/>
  <c r="M3998" i="1" s="1"/>
  <c r="N3997" i="1"/>
  <c r="L3997" i="1"/>
  <c r="P3997" i="1" s="1"/>
  <c r="K3997" i="1"/>
  <c r="O3997" i="1" s="1"/>
  <c r="J3996" i="1"/>
  <c r="N3979" i="1"/>
  <c r="P3979" i="1"/>
  <c r="K3975" i="1"/>
  <c r="S3979" i="1"/>
  <c r="L3979" i="1"/>
  <c r="R3979" i="1" s="1"/>
  <c r="K3979" i="1"/>
  <c r="Q3979" i="1" s="1"/>
  <c r="P3978" i="1"/>
  <c r="N3978" i="1"/>
  <c r="S3978" i="1" s="1"/>
  <c r="L3978" i="1"/>
  <c r="R3978" i="1" s="1"/>
  <c r="K3978" i="1"/>
  <c r="Q3978" i="1" s="1"/>
  <c r="P3977" i="1"/>
  <c r="N3977" i="1"/>
  <c r="S3977" i="1" s="1"/>
  <c r="L3977" i="1"/>
  <c r="R3977" i="1" s="1"/>
  <c r="K3977" i="1"/>
  <c r="Q3977" i="1" s="1"/>
  <c r="R3976" i="1"/>
  <c r="P3976" i="1"/>
  <c r="S3976" i="1" s="1"/>
  <c r="N3976" i="1"/>
  <c r="M3976" i="1"/>
  <c r="L3976" i="1"/>
  <c r="K3976" i="1"/>
  <c r="O3976" i="1" s="1"/>
  <c r="S3975" i="1"/>
  <c r="Q3975" i="1"/>
  <c r="P3975" i="1"/>
  <c r="O3975" i="1"/>
  <c r="N3975" i="1"/>
  <c r="L3975" i="1"/>
  <c r="R3975" i="1" s="1"/>
  <c r="M3975" i="1"/>
  <c r="J3974" i="1"/>
  <c r="P3956" i="1"/>
  <c r="N3956" i="1"/>
  <c r="S3956" i="1" s="1"/>
  <c r="L3956" i="1"/>
  <c r="R3956" i="1" s="1"/>
  <c r="K3956" i="1"/>
  <c r="Q3956" i="1" s="1"/>
  <c r="P3955" i="1"/>
  <c r="N3955" i="1"/>
  <c r="O3955" i="1" s="1"/>
  <c r="L3955" i="1"/>
  <c r="R3955" i="1" s="1"/>
  <c r="K3955" i="1"/>
  <c r="Q3955" i="1" s="1"/>
  <c r="R3954" i="1"/>
  <c r="P3954" i="1"/>
  <c r="N3954" i="1"/>
  <c r="O3954" i="1" s="1"/>
  <c r="M3954" i="1"/>
  <c r="L3954" i="1"/>
  <c r="K3954" i="1"/>
  <c r="Q3954" i="1" s="1"/>
  <c r="R3953" i="1"/>
  <c r="Q3953" i="1"/>
  <c r="P3953" i="1"/>
  <c r="N3953" i="1"/>
  <c r="S3953" i="1" s="1"/>
  <c r="M3953" i="1"/>
  <c r="L3953" i="1"/>
  <c r="K3953" i="1"/>
  <c r="O3953" i="1" s="1"/>
  <c r="R3952" i="1"/>
  <c r="Q3952" i="1"/>
  <c r="P3952" i="1"/>
  <c r="S3952" i="1" s="1"/>
  <c r="N3952" i="1"/>
  <c r="L3952" i="1"/>
  <c r="K3952" i="1"/>
  <c r="O3952" i="1" s="1"/>
  <c r="J3951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18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00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82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64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46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28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10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092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74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56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33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15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3997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74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51" i="1"/>
  <c r="P204" i="5"/>
  <c r="R204" i="5"/>
  <c r="P205" i="5"/>
  <c r="R205" i="5"/>
  <c r="P206" i="5"/>
  <c r="R206" i="5"/>
  <c r="P3869" i="1"/>
  <c r="P3926" i="1"/>
  <c r="O3926" i="1"/>
  <c r="M3926" i="1"/>
  <c r="N3926" i="1"/>
  <c r="N3925" i="1"/>
  <c r="L3926" i="1"/>
  <c r="K3926" i="1"/>
  <c r="K3924" i="1"/>
  <c r="K3923" i="1"/>
  <c r="P3925" i="1"/>
  <c r="K3925" i="1"/>
  <c r="O3925" i="1" s="1"/>
  <c r="N3924" i="1"/>
  <c r="P3924" i="1" s="1"/>
  <c r="L3924" i="1"/>
  <c r="M3924" i="1" s="1"/>
  <c r="N3923" i="1"/>
  <c r="L3923" i="1"/>
  <c r="P3923" i="1" s="1"/>
  <c r="O3923" i="1"/>
  <c r="P3922" i="1"/>
  <c r="N3922" i="1"/>
  <c r="L3922" i="1"/>
  <c r="K3922" i="1"/>
  <c r="M3922" i="1" s="1"/>
  <c r="N3921" i="1"/>
  <c r="L3921" i="1"/>
  <c r="P3921" i="1" s="1"/>
  <c r="K3921" i="1"/>
  <c r="M3921" i="1" s="1"/>
  <c r="N3920" i="1"/>
  <c r="L3920" i="1"/>
  <c r="P3920" i="1" s="1"/>
  <c r="K3920" i="1"/>
  <c r="O3920" i="1" s="1"/>
  <c r="N3919" i="1"/>
  <c r="O3919" i="1" s="1"/>
  <c r="M3919" i="1"/>
  <c r="L3919" i="1"/>
  <c r="K3919" i="1"/>
  <c r="N3918" i="1"/>
  <c r="L3918" i="1"/>
  <c r="P3918" i="1" s="1"/>
  <c r="K3918" i="1"/>
  <c r="O3918" i="1" s="1"/>
  <c r="P3917" i="1"/>
  <c r="O3917" i="1"/>
  <c r="N3917" i="1"/>
  <c r="L3917" i="1"/>
  <c r="K3917" i="1"/>
  <c r="M3917" i="1" s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16" i="1"/>
  <c r="N3895" i="1"/>
  <c r="N3894" i="1"/>
  <c r="N3893" i="1"/>
  <c r="N3892" i="1"/>
  <c r="N3891" i="1"/>
  <c r="N3890" i="1"/>
  <c r="N3889" i="1"/>
  <c r="N3888" i="1"/>
  <c r="N3887" i="1"/>
  <c r="L3895" i="1"/>
  <c r="L3894" i="1"/>
  <c r="L3893" i="1"/>
  <c r="L3892" i="1"/>
  <c r="L3891" i="1"/>
  <c r="L3890" i="1"/>
  <c r="L3889" i="1"/>
  <c r="L3888" i="1"/>
  <c r="L3887" i="1"/>
  <c r="K3895" i="1"/>
  <c r="K3894" i="1"/>
  <c r="K3893" i="1"/>
  <c r="K3892" i="1"/>
  <c r="K3891" i="1"/>
  <c r="K3890" i="1"/>
  <c r="K3889" i="1"/>
  <c r="K3888" i="1"/>
  <c r="K3887" i="1"/>
  <c r="P3895" i="1"/>
  <c r="O3895" i="1"/>
  <c r="P3894" i="1"/>
  <c r="M3894" i="1"/>
  <c r="O3894" i="1"/>
  <c r="P3893" i="1"/>
  <c r="O3893" i="1"/>
  <c r="O3892" i="1"/>
  <c r="P3892" i="1"/>
  <c r="M3892" i="1"/>
  <c r="P3891" i="1"/>
  <c r="M3891" i="1"/>
  <c r="P3890" i="1"/>
  <c r="O3890" i="1"/>
  <c r="P3889" i="1"/>
  <c r="M3889" i="1"/>
  <c r="P3888" i="1"/>
  <c r="O3888" i="1"/>
  <c r="P3887" i="1"/>
  <c r="O3887" i="1"/>
  <c r="M3887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886" i="1"/>
  <c r="S3688" i="1"/>
  <c r="S3687" i="1"/>
  <c r="S3686" i="1"/>
  <c r="S3685" i="1"/>
  <c r="S3684" i="1"/>
  <c r="S3605" i="1"/>
  <c r="S3604" i="1"/>
  <c r="S3603" i="1"/>
  <c r="S3602" i="1"/>
  <c r="S3601" i="1"/>
  <c r="S3625" i="1"/>
  <c r="S3626" i="1"/>
  <c r="S3627" i="1"/>
  <c r="S3628" i="1"/>
  <c r="S3624" i="1"/>
  <c r="AI105" i="5"/>
  <c r="AI106" i="5"/>
  <c r="AI107" i="5"/>
  <c r="AI108" i="5"/>
  <c r="AI104" i="5"/>
  <c r="L3478" i="1"/>
  <c r="L3477" i="1"/>
  <c r="L3476" i="1"/>
  <c r="L3475" i="1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23" i="5"/>
  <c r="S222" i="5"/>
  <c r="S221" i="5"/>
  <c r="S220" i="5"/>
  <c r="S216" i="5"/>
  <c r="S215" i="5"/>
  <c r="S214" i="5"/>
  <c r="S213" i="5"/>
  <c r="S212" i="5"/>
  <c r="S176" i="5"/>
  <c r="S175" i="5"/>
  <c r="S174" i="5"/>
  <c r="S173" i="5"/>
  <c r="S172" i="5"/>
  <c r="S169" i="5"/>
  <c r="S168" i="5"/>
  <c r="S167" i="5"/>
  <c r="S166" i="5"/>
  <c r="S165" i="5"/>
  <c r="S161" i="5"/>
  <c r="S160" i="5"/>
  <c r="S159" i="5"/>
  <c r="S158" i="5"/>
  <c r="S157" i="5"/>
  <c r="S154" i="5"/>
  <c r="S153" i="5"/>
  <c r="S152" i="5"/>
  <c r="S151" i="5"/>
  <c r="S150" i="5"/>
  <c r="S146" i="5"/>
  <c r="S145" i="5"/>
  <c r="S144" i="5"/>
  <c r="S143" i="5"/>
  <c r="S142" i="5"/>
  <c r="S139" i="5"/>
  <c r="S138" i="5"/>
  <c r="S137" i="5"/>
  <c r="S136" i="5"/>
  <c r="S135" i="5"/>
  <c r="S131" i="5"/>
  <c r="S130" i="5"/>
  <c r="S129" i="5"/>
  <c r="S128" i="5"/>
  <c r="S127" i="5"/>
  <c r="S123" i="5"/>
  <c r="S122" i="5"/>
  <c r="S121" i="5"/>
  <c r="S120" i="5"/>
  <c r="S119" i="5"/>
  <c r="S116" i="5"/>
  <c r="S115" i="5"/>
  <c r="S114" i="5"/>
  <c r="S113" i="5"/>
  <c r="S112" i="5"/>
  <c r="V101" i="5"/>
  <c r="U101" i="5"/>
  <c r="T101" i="5"/>
  <c r="V100" i="5"/>
  <c r="U100" i="5"/>
  <c r="T100" i="5"/>
  <c r="V99" i="5"/>
  <c r="U99" i="5"/>
  <c r="T99" i="5"/>
  <c r="V98" i="5"/>
  <c r="U98" i="5"/>
  <c r="T98" i="5"/>
  <c r="V97" i="5"/>
  <c r="U97" i="5"/>
  <c r="T97" i="5"/>
  <c r="V108" i="5"/>
  <c r="U108" i="5"/>
  <c r="T108" i="5"/>
  <c r="V107" i="5"/>
  <c r="U107" i="5"/>
  <c r="T107" i="5"/>
  <c r="V106" i="5"/>
  <c r="U106" i="5"/>
  <c r="T106" i="5"/>
  <c r="V105" i="5"/>
  <c r="U105" i="5"/>
  <c r="T105" i="5"/>
  <c r="V104" i="5"/>
  <c r="U104" i="5"/>
  <c r="T104" i="5"/>
  <c r="S93" i="5"/>
  <c r="S92" i="5"/>
  <c r="S91" i="5"/>
  <c r="S90" i="5"/>
  <c r="S89" i="5"/>
  <c r="S86" i="5"/>
  <c r="S85" i="5"/>
  <c r="S84" i="5"/>
  <c r="S83" i="5"/>
  <c r="S82" i="5"/>
  <c r="S78" i="5"/>
  <c r="S77" i="5"/>
  <c r="S76" i="5"/>
  <c r="S75" i="5"/>
  <c r="S74" i="5"/>
  <c r="S73" i="5"/>
  <c r="S72" i="5"/>
  <c r="S71" i="5"/>
  <c r="S70" i="5"/>
  <c r="S63" i="5"/>
  <c r="S64" i="5"/>
  <c r="S65" i="5"/>
  <c r="S66" i="5"/>
  <c r="S62" i="5"/>
  <c r="S61" i="5"/>
  <c r="S60" i="5"/>
  <c r="S59" i="5"/>
  <c r="S58" i="5"/>
  <c r="S43" i="5"/>
  <c r="S42" i="5"/>
  <c r="S41" i="5"/>
  <c r="S40" i="5"/>
  <c r="S39" i="5"/>
  <c r="S36" i="5"/>
  <c r="S35" i="5"/>
  <c r="S34" i="5"/>
  <c r="S33" i="5"/>
  <c r="S32" i="5"/>
  <c r="S5" i="5"/>
  <c r="S6" i="5"/>
  <c r="S7" i="5"/>
  <c r="S8" i="5"/>
  <c r="S4" i="5"/>
  <c r="S12" i="5"/>
  <c r="S13" i="5"/>
  <c r="S14" i="5"/>
  <c r="S15" i="5"/>
  <c r="S11" i="5"/>
  <c r="S19" i="5"/>
  <c r="S20" i="5"/>
  <c r="S21" i="5"/>
  <c r="S22" i="5"/>
  <c r="S18" i="5"/>
  <c r="S26" i="5"/>
  <c r="S27" i="5"/>
  <c r="S28" i="5"/>
  <c r="S29" i="5"/>
  <c r="S25" i="5"/>
  <c r="V207" i="5"/>
  <c r="V208" i="5"/>
  <c r="U207" i="5"/>
  <c r="U208" i="5"/>
  <c r="T207" i="5"/>
  <c r="T208" i="5"/>
  <c r="U190" i="5"/>
  <c r="T189" i="5"/>
  <c r="V188" i="5"/>
  <c r="V189" i="5"/>
  <c r="V191" i="5"/>
  <c r="V192" i="5"/>
  <c r="U189" i="5"/>
  <c r="U191" i="5"/>
  <c r="U192" i="5"/>
  <c r="T191" i="5"/>
  <c r="T192" i="5"/>
  <c r="V181" i="5"/>
  <c r="V182" i="5"/>
  <c r="V183" i="5"/>
  <c r="V184" i="5"/>
  <c r="U181" i="5"/>
  <c r="U182" i="5"/>
  <c r="U183" i="5"/>
  <c r="U184" i="5"/>
  <c r="V180" i="5"/>
  <c r="U180" i="5"/>
  <c r="T181" i="5"/>
  <c r="T182" i="5"/>
  <c r="T183" i="5"/>
  <c r="T184" i="5"/>
  <c r="T180" i="5"/>
  <c r="N3872" i="1"/>
  <c r="L3872" i="1"/>
  <c r="P3872" i="1" s="1"/>
  <c r="K3872" i="1"/>
  <c r="O3872" i="1" s="1"/>
  <c r="N3871" i="1"/>
  <c r="L3871" i="1"/>
  <c r="P3871" i="1" s="1"/>
  <c r="K3871" i="1"/>
  <c r="O3871" i="1" s="1"/>
  <c r="O3870" i="1"/>
  <c r="N3870" i="1"/>
  <c r="M3870" i="1"/>
  <c r="L3870" i="1"/>
  <c r="P3870" i="1" s="1"/>
  <c r="K3870" i="1"/>
  <c r="N3869" i="1"/>
  <c r="L3869" i="1"/>
  <c r="K3869" i="1"/>
  <c r="O3869" i="1" s="1"/>
  <c r="O3868" i="1"/>
  <c r="N3868" i="1"/>
  <c r="L3868" i="1"/>
  <c r="P3868" i="1" s="1"/>
  <c r="K3868" i="1"/>
  <c r="M3868" i="1" s="1"/>
  <c r="J3867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68" i="1"/>
  <c r="N3854" i="1"/>
  <c r="L3854" i="1"/>
  <c r="P3854" i="1" s="1"/>
  <c r="K3854" i="1"/>
  <c r="O3854" i="1" s="1"/>
  <c r="N3853" i="1"/>
  <c r="O3853" i="1" s="1"/>
  <c r="M3853" i="1"/>
  <c r="L3853" i="1"/>
  <c r="K3853" i="1"/>
  <c r="N3852" i="1"/>
  <c r="L3852" i="1"/>
  <c r="P3852" i="1" s="1"/>
  <c r="K3852" i="1"/>
  <c r="O3852" i="1" s="1"/>
  <c r="P3851" i="1"/>
  <c r="O3851" i="1"/>
  <c r="N3851" i="1"/>
  <c r="L3851" i="1"/>
  <c r="K3851" i="1"/>
  <c r="M3851" i="1" s="1"/>
  <c r="N3850" i="1"/>
  <c r="L3850" i="1"/>
  <c r="P3850" i="1" s="1"/>
  <c r="K3850" i="1"/>
  <c r="O3850" i="1" s="1"/>
  <c r="J3849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50" i="1"/>
  <c r="N3836" i="1"/>
  <c r="L3836" i="1"/>
  <c r="P3836" i="1" s="1"/>
  <c r="K3836" i="1"/>
  <c r="O3836" i="1" s="1"/>
  <c r="N3835" i="1"/>
  <c r="L3835" i="1"/>
  <c r="P3835" i="1" s="1"/>
  <c r="K3835" i="1"/>
  <c r="O3835" i="1" s="1"/>
  <c r="O3834" i="1"/>
  <c r="P3834" i="1"/>
  <c r="K3834" i="1"/>
  <c r="M3834" i="1" s="1"/>
  <c r="N3833" i="1"/>
  <c r="L3833" i="1"/>
  <c r="P3833" i="1" s="1"/>
  <c r="K3833" i="1"/>
  <c r="O3833" i="1" s="1"/>
  <c r="N3832" i="1"/>
  <c r="P3832" i="1" s="1"/>
  <c r="M3832" i="1"/>
  <c r="L3832" i="1"/>
  <c r="K3832" i="1"/>
  <c r="J3831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32" i="1"/>
  <c r="N3818" i="1"/>
  <c r="L3818" i="1"/>
  <c r="P3818" i="1" s="1"/>
  <c r="K3818" i="1"/>
  <c r="O3818" i="1" s="1"/>
  <c r="N3817" i="1"/>
  <c r="P3817" i="1" s="1"/>
  <c r="L3817" i="1"/>
  <c r="K3817" i="1"/>
  <c r="O3817" i="1" s="1"/>
  <c r="O3816" i="1"/>
  <c r="N3816" i="1"/>
  <c r="L3816" i="1"/>
  <c r="P3816" i="1" s="1"/>
  <c r="K3816" i="1"/>
  <c r="M3816" i="1" s="1"/>
  <c r="N3815" i="1"/>
  <c r="L3815" i="1"/>
  <c r="P3815" i="1" s="1"/>
  <c r="K3815" i="1"/>
  <c r="M3815" i="1" s="1"/>
  <c r="N3814" i="1"/>
  <c r="L3814" i="1"/>
  <c r="P3814" i="1" s="1"/>
  <c r="K3814" i="1"/>
  <c r="O3814" i="1" s="1"/>
  <c r="J3813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14" i="1"/>
  <c r="N3800" i="1"/>
  <c r="L3800" i="1"/>
  <c r="P3800" i="1" s="1"/>
  <c r="K3800" i="1"/>
  <c r="O3800" i="1" s="1"/>
  <c r="N3799" i="1"/>
  <c r="L3799" i="1"/>
  <c r="P3799" i="1" s="1"/>
  <c r="K3799" i="1"/>
  <c r="O3799" i="1" s="1"/>
  <c r="N3798" i="1"/>
  <c r="M3798" i="1"/>
  <c r="L3798" i="1"/>
  <c r="P3798" i="1" s="1"/>
  <c r="K3798" i="1"/>
  <c r="O3798" i="1" s="1"/>
  <c r="N3797" i="1"/>
  <c r="L3797" i="1"/>
  <c r="P3797" i="1" s="1"/>
  <c r="K3797" i="1"/>
  <c r="M3797" i="1" s="1"/>
  <c r="O3796" i="1"/>
  <c r="N3796" i="1"/>
  <c r="P3796" i="1" s="1"/>
  <c r="M3796" i="1"/>
  <c r="L3796" i="1"/>
  <c r="K3796" i="1"/>
  <c r="J3795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796" i="1"/>
  <c r="N3782" i="1"/>
  <c r="L3782" i="1"/>
  <c r="P3782" i="1" s="1"/>
  <c r="K3782" i="1"/>
  <c r="O3782" i="1" s="1"/>
  <c r="N3781" i="1"/>
  <c r="P3781" i="1"/>
  <c r="K3781" i="1"/>
  <c r="O3781" i="1" s="1"/>
  <c r="N3780" i="1"/>
  <c r="L3780" i="1"/>
  <c r="P3780" i="1" s="1"/>
  <c r="K3780" i="1"/>
  <c r="M3780" i="1" s="1"/>
  <c r="N3779" i="1"/>
  <c r="L3779" i="1"/>
  <c r="P3779" i="1" s="1"/>
  <c r="K3779" i="1"/>
  <c r="O3779" i="1" s="1"/>
  <c r="O3778" i="1"/>
  <c r="N3778" i="1"/>
  <c r="L3778" i="1"/>
  <c r="P3778" i="1" s="1"/>
  <c r="K3778" i="1"/>
  <c r="J3777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78" i="1"/>
  <c r="N3764" i="1"/>
  <c r="L3764" i="1"/>
  <c r="P3764" i="1" s="1"/>
  <c r="K3764" i="1"/>
  <c r="O3764" i="1" s="1"/>
  <c r="N3763" i="1"/>
  <c r="O3763" i="1" s="1"/>
  <c r="M3763" i="1"/>
  <c r="L3763" i="1"/>
  <c r="K3763" i="1"/>
  <c r="N3762" i="1"/>
  <c r="L3762" i="1"/>
  <c r="P3762" i="1" s="1"/>
  <c r="K3762" i="1"/>
  <c r="O3762" i="1" s="1"/>
  <c r="P3761" i="1"/>
  <c r="O3761" i="1"/>
  <c r="N3761" i="1"/>
  <c r="L3761" i="1"/>
  <c r="K3761" i="1"/>
  <c r="M3761" i="1" s="1"/>
  <c r="N3760" i="1"/>
  <c r="L3760" i="1"/>
  <c r="P3760" i="1" s="1"/>
  <c r="K3760" i="1"/>
  <c r="O3760" i="1" s="1"/>
  <c r="J3759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60" i="1"/>
  <c r="N3746" i="1"/>
  <c r="L3746" i="1"/>
  <c r="P3746" i="1" s="1"/>
  <c r="K3746" i="1"/>
  <c r="O3746" i="1" s="1"/>
  <c r="N3745" i="1"/>
  <c r="L3745" i="1"/>
  <c r="K3745" i="1"/>
  <c r="N3744" i="1"/>
  <c r="L3744" i="1"/>
  <c r="P3744" i="1" s="1"/>
  <c r="K3744" i="1"/>
  <c r="N3743" i="1"/>
  <c r="L3743" i="1"/>
  <c r="K3743" i="1"/>
  <c r="N3742" i="1"/>
  <c r="L3742" i="1"/>
  <c r="K3742" i="1"/>
  <c r="J3741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42" i="1"/>
  <c r="N3728" i="1"/>
  <c r="L3728" i="1"/>
  <c r="K3728" i="1"/>
  <c r="N3727" i="1"/>
  <c r="L3727" i="1"/>
  <c r="K3727" i="1"/>
  <c r="N3726" i="1"/>
  <c r="L3726" i="1"/>
  <c r="K3726" i="1"/>
  <c r="N3725" i="1"/>
  <c r="L3725" i="1"/>
  <c r="K3725" i="1"/>
  <c r="M3725" i="1" s="1"/>
  <c r="N3724" i="1"/>
  <c r="L3724" i="1"/>
  <c r="K3724" i="1"/>
  <c r="J3723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24" i="1"/>
  <c r="N3710" i="1"/>
  <c r="L3710" i="1"/>
  <c r="K3710" i="1"/>
  <c r="N3709" i="1"/>
  <c r="P3709" i="1" s="1"/>
  <c r="K3709" i="1"/>
  <c r="N3708" i="1"/>
  <c r="O3708" i="1" s="1"/>
  <c r="L3708" i="1"/>
  <c r="K3708" i="1"/>
  <c r="N3707" i="1"/>
  <c r="L3707" i="1"/>
  <c r="K3707" i="1"/>
  <c r="N3706" i="1"/>
  <c r="L3706" i="1"/>
  <c r="P3706" i="1" s="1"/>
  <c r="K3706" i="1"/>
  <c r="J3705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06" i="1"/>
  <c r="N3688" i="1"/>
  <c r="N3687" i="1"/>
  <c r="P3688" i="1"/>
  <c r="L3688" i="1"/>
  <c r="R3688" i="1" s="1"/>
  <c r="K3688" i="1"/>
  <c r="Q3688" i="1" s="1"/>
  <c r="R3687" i="1"/>
  <c r="Q3687" i="1"/>
  <c r="P3687" i="1"/>
  <c r="L3687" i="1"/>
  <c r="K3687" i="1"/>
  <c r="O3687" i="1" s="1"/>
  <c r="P3686" i="1"/>
  <c r="Q3686" i="1" s="1"/>
  <c r="O3686" i="1"/>
  <c r="N3686" i="1"/>
  <c r="L3686" i="1"/>
  <c r="R3686" i="1" s="1"/>
  <c r="K3686" i="1"/>
  <c r="M3686" i="1" s="1"/>
  <c r="P3685" i="1"/>
  <c r="R3685" i="1" s="1"/>
  <c r="N3685" i="1"/>
  <c r="O3685" i="1" s="1"/>
  <c r="M3685" i="1"/>
  <c r="L3685" i="1"/>
  <c r="K3685" i="1"/>
  <c r="P3684" i="1"/>
  <c r="N3684" i="1"/>
  <c r="L3684" i="1"/>
  <c r="R3684" i="1" s="1"/>
  <c r="K3684" i="1"/>
  <c r="Q3684" i="1" s="1"/>
  <c r="J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683" i="1"/>
  <c r="N3669" i="1"/>
  <c r="N3668" i="1"/>
  <c r="N3667" i="1"/>
  <c r="N3666" i="1"/>
  <c r="N3665" i="1"/>
  <c r="L3669" i="1"/>
  <c r="K3669" i="1"/>
  <c r="L3668" i="1"/>
  <c r="P3668" i="1" s="1"/>
  <c r="K3668" i="1"/>
  <c r="L3667" i="1"/>
  <c r="K3667" i="1"/>
  <c r="L3666" i="1"/>
  <c r="P3666" i="1" s="1"/>
  <c r="K3666" i="1"/>
  <c r="L3665" i="1"/>
  <c r="K3665" i="1"/>
  <c r="J3664" i="1"/>
  <c r="J364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65" i="1"/>
  <c r="N3650" i="1"/>
  <c r="N3649" i="1"/>
  <c r="N3648" i="1"/>
  <c r="O3648" i="1" s="1"/>
  <c r="N3647" i="1"/>
  <c r="N3646" i="1"/>
  <c r="K3650" i="1"/>
  <c r="O3650" i="1" s="1"/>
  <c r="K3649" i="1"/>
  <c r="K3648" i="1"/>
  <c r="K3647" i="1"/>
  <c r="K3646" i="1"/>
  <c r="L3650" i="1"/>
  <c r="P3650" i="1" s="1"/>
  <c r="L3649" i="1"/>
  <c r="L3648" i="1"/>
  <c r="L3647" i="1"/>
  <c r="L3646" i="1"/>
  <c r="O3649" i="1"/>
  <c r="P3605" i="1"/>
  <c r="P3604" i="1"/>
  <c r="P3603" i="1"/>
  <c r="P3602" i="1"/>
  <c r="P3601" i="1"/>
  <c r="N3605" i="1"/>
  <c r="N3604" i="1"/>
  <c r="N3603" i="1"/>
  <c r="N3602" i="1"/>
  <c r="N3601" i="1"/>
  <c r="L3605" i="1"/>
  <c r="L3604" i="1"/>
  <c r="L3603" i="1"/>
  <c r="R3603" i="1" s="1"/>
  <c r="L3602" i="1"/>
  <c r="L3601" i="1"/>
  <c r="K3604" i="1"/>
  <c r="K3603" i="1"/>
  <c r="K3602" i="1"/>
  <c r="M3602" i="1" s="1"/>
  <c r="K3601" i="1"/>
  <c r="Q3601" i="1" s="1"/>
  <c r="P3628" i="1"/>
  <c r="Q3628" i="1" s="1"/>
  <c r="P3627" i="1"/>
  <c r="P3626" i="1"/>
  <c r="P3625" i="1"/>
  <c r="P3624" i="1"/>
  <c r="N3628" i="1"/>
  <c r="N3627" i="1"/>
  <c r="N3626" i="1"/>
  <c r="N3625" i="1"/>
  <c r="N3624" i="1"/>
  <c r="L3628" i="1"/>
  <c r="R3628" i="1" s="1"/>
  <c r="L3627" i="1"/>
  <c r="L3626" i="1"/>
  <c r="R3626" i="1" s="1"/>
  <c r="L3625" i="1"/>
  <c r="R3625" i="1" s="1"/>
  <c r="L3624" i="1"/>
  <c r="K3628" i="1"/>
  <c r="K3627" i="1"/>
  <c r="K3626" i="1"/>
  <c r="K3625" i="1"/>
  <c r="O3625" i="1" s="1"/>
  <c r="K3624" i="1"/>
  <c r="Q3624" i="1" s="1"/>
  <c r="L3508" i="1"/>
  <c r="L3505" i="1"/>
  <c r="L3501" i="1"/>
  <c r="O3646" i="1"/>
  <c r="J3623" i="1"/>
  <c r="P3647" i="1"/>
  <c r="M3647" i="1"/>
  <c r="P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46" i="1"/>
  <c r="O3626" i="1"/>
  <c r="M3626" i="1"/>
  <c r="Q3625" i="1"/>
  <c r="R3624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23" i="1"/>
  <c r="R3605" i="1"/>
  <c r="K3605" i="1"/>
  <c r="Q3605" i="1" s="1"/>
  <c r="Q3603" i="1"/>
  <c r="R3602" i="1"/>
  <c r="R3601" i="1"/>
  <c r="J3600" i="1"/>
  <c r="H3601" i="1"/>
  <c r="H3602" i="1"/>
  <c r="H3603" i="1"/>
  <c r="H3604" i="1"/>
  <c r="H3605" i="1"/>
  <c r="H3606" i="1"/>
  <c r="H3607" i="1"/>
  <c r="H3612" i="1"/>
  <c r="H3613" i="1"/>
  <c r="H3614" i="1"/>
  <c r="H3615" i="1"/>
  <c r="H3608" i="1"/>
  <c r="H3609" i="1"/>
  <c r="H3610" i="1"/>
  <c r="H3611" i="1"/>
  <c r="H3616" i="1"/>
  <c r="H3617" i="1"/>
  <c r="H3618" i="1"/>
  <c r="H3619" i="1"/>
  <c r="H3600" i="1"/>
  <c r="O4219" i="1" l="1"/>
  <c r="M4221" i="1"/>
  <c r="M4218" i="1"/>
  <c r="M4220" i="1"/>
  <c r="M4222" i="1"/>
  <c r="M4200" i="1"/>
  <c r="O4203" i="1"/>
  <c r="M4202" i="1"/>
  <c r="M4204" i="1"/>
  <c r="M4182" i="1"/>
  <c r="M4184" i="1"/>
  <c r="M4186" i="1"/>
  <c r="O4185" i="1"/>
  <c r="M4166" i="1"/>
  <c r="M4168" i="1"/>
  <c r="O4149" i="1"/>
  <c r="M4150" i="1"/>
  <c r="M4148" i="1"/>
  <c r="O4129" i="1"/>
  <c r="M4132" i="1"/>
  <c r="M4110" i="1"/>
  <c r="M4112" i="1"/>
  <c r="M4114" i="1"/>
  <c r="O4093" i="1"/>
  <c r="M4094" i="1"/>
  <c r="M4096" i="1"/>
  <c r="P4077" i="1"/>
  <c r="M4076" i="1"/>
  <c r="O4074" i="1"/>
  <c r="M4078" i="1"/>
  <c r="P4059" i="1"/>
  <c r="M4056" i="1"/>
  <c r="M4058" i="1"/>
  <c r="M4060" i="1"/>
  <c r="O4016" i="1"/>
  <c r="M4018" i="1"/>
  <c r="M4017" i="1"/>
  <c r="M4019" i="1"/>
  <c r="P4000" i="1"/>
  <c r="M3997" i="1"/>
  <c r="O3999" i="1"/>
  <c r="M4001" i="1"/>
  <c r="Q3976" i="1"/>
  <c r="M3979" i="1"/>
  <c r="M3978" i="1"/>
  <c r="M3977" i="1"/>
  <c r="O3979" i="1"/>
  <c r="O3978" i="1"/>
  <c r="O3977" i="1"/>
  <c r="S3955" i="1"/>
  <c r="S3954" i="1"/>
  <c r="M3956" i="1"/>
  <c r="M3955" i="1"/>
  <c r="O3956" i="1"/>
  <c r="M3952" i="1"/>
  <c r="U204" i="5"/>
  <c r="V204" i="5"/>
  <c r="T205" i="5"/>
  <c r="V205" i="5"/>
  <c r="U205" i="5"/>
  <c r="V206" i="5"/>
  <c r="T206" i="5"/>
  <c r="U206" i="5"/>
  <c r="T204" i="5"/>
  <c r="O3665" i="1"/>
  <c r="M3666" i="1"/>
  <c r="P3665" i="1"/>
  <c r="P3669" i="1"/>
  <c r="O3667" i="1"/>
  <c r="O3666" i="1"/>
  <c r="P3667" i="1"/>
  <c r="M3668" i="1"/>
  <c r="O3669" i="1"/>
  <c r="P3742" i="1"/>
  <c r="M3727" i="1"/>
  <c r="P3725" i="1"/>
  <c r="O3742" i="1"/>
  <c r="P3710" i="1"/>
  <c r="O3706" i="1"/>
  <c r="P3707" i="1"/>
  <c r="P3745" i="1"/>
  <c r="O3743" i="1"/>
  <c r="O3745" i="1"/>
  <c r="P3743" i="1"/>
  <c r="O3744" i="1"/>
  <c r="P3727" i="1"/>
  <c r="O3728" i="1"/>
  <c r="O3726" i="1"/>
  <c r="P3724" i="1"/>
  <c r="O3727" i="1"/>
  <c r="P3728" i="1"/>
  <c r="P3726" i="1"/>
  <c r="O3724" i="1"/>
  <c r="O3922" i="1"/>
  <c r="O3924" i="1"/>
  <c r="P3919" i="1"/>
  <c r="M3918" i="1"/>
  <c r="O3921" i="1"/>
  <c r="M3923" i="1"/>
  <c r="M3920" i="1"/>
  <c r="M3925" i="1"/>
  <c r="M3893" i="1"/>
  <c r="M3888" i="1"/>
  <c r="O3891" i="1"/>
  <c r="O3889" i="1"/>
  <c r="M3890" i="1"/>
  <c r="M3895" i="1"/>
  <c r="M3707" i="1"/>
  <c r="O3710" i="1"/>
  <c r="P3708" i="1"/>
  <c r="M3706" i="1"/>
  <c r="O3709" i="1"/>
  <c r="T188" i="5"/>
  <c r="V190" i="5"/>
  <c r="T190" i="5"/>
  <c r="U188" i="5"/>
  <c r="M3869" i="1"/>
  <c r="M3871" i="1"/>
  <c r="M3872" i="1"/>
  <c r="P3853" i="1"/>
  <c r="M3854" i="1"/>
  <c r="M3852" i="1"/>
  <c r="M3850" i="1"/>
  <c r="O3832" i="1"/>
  <c r="M3833" i="1"/>
  <c r="M3835" i="1"/>
  <c r="M3836" i="1"/>
  <c r="M3817" i="1"/>
  <c r="O3815" i="1"/>
  <c r="M3814" i="1"/>
  <c r="M3818" i="1"/>
  <c r="O3797" i="1"/>
  <c r="M3799" i="1"/>
  <c r="M3800" i="1"/>
  <c r="O3780" i="1"/>
  <c r="M3779" i="1"/>
  <c r="M3781" i="1"/>
  <c r="M3778" i="1"/>
  <c r="M3782" i="1"/>
  <c r="P3763" i="1"/>
  <c r="M3760" i="1"/>
  <c r="M3762" i="1"/>
  <c r="M3764" i="1"/>
  <c r="M3743" i="1"/>
  <c r="M3745" i="1"/>
  <c r="M3742" i="1"/>
  <c r="M3744" i="1"/>
  <c r="M3746" i="1"/>
  <c r="O3725" i="1"/>
  <c r="M3724" i="1"/>
  <c r="M3726" i="1"/>
  <c r="M3728" i="1"/>
  <c r="M3708" i="1"/>
  <c r="O3707" i="1"/>
  <c r="M3709" i="1"/>
  <c r="M3710" i="1"/>
  <c r="M3684" i="1"/>
  <c r="O3684" i="1"/>
  <c r="Q3685" i="1"/>
  <c r="M3688" i="1"/>
  <c r="M3687" i="1"/>
  <c r="O3688" i="1"/>
  <c r="M3669" i="1"/>
  <c r="M3665" i="1"/>
  <c r="O3668" i="1"/>
  <c r="M3667" i="1"/>
  <c r="Q3604" i="1"/>
  <c r="M3601" i="1"/>
  <c r="P3648" i="1"/>
  <c r="R3627" i="1"/>
  <c r="O3627" i="1"/>
  <c r="M3649" i="1"/>
  <c r="P3649" i="1"/>
  <c r="O3647" i="1"/>
  <c r="M3646" i="1"/>
  <c r="M3648" i="1"/>
  <c r="M3650" i="1"/>
  <c r="Q3626" i="1"/>
  <c r="M3628" i="1"/>
  <c r="O3628" i="1"/>
  <c r="M3625" i="1"/>
  <c r="Q3627" i="1"/>
  <c r="M3624" i="1"/>
  <c r="O3624" i="1"/>
  <c r="M3627" i="1"/>
  <c r="R3604" i="1"/>
  <c r="O3601" i="1"/>
  <c r="Q3602" i="1"/>
  <c r="O3605" i="1"/>
  <c r="O3604" i="1"/>
  <c r="O3603" i="1"/>
  <c r="O3602" i="1"/>
  <c r="M3605" i="1"/>
  <c r="M3604" i="1"/>
  <c r="M3603" i="1"/>
  <c r="N3552" i="1"/>
  <c r="N3551" i="1"/>
  <c r="N3550" i="1"/>
  <c r="N3549" i="1"/>
  <c r="N3548" i="1"/>
  <c r="N3547" i="1"/>
  <c r="N3546" i="1"/>
  <c r="N3545" i="1"/>
  <c r="N3544" i="1"/>
  <c r="N3543" i="1"/>
  <c r="O3543" i="1" s="1"/>
  <c r="N3542" i="1"/>
  <c r="N3541" i="1"/>
  <c r="N3540" i="1"/>
  <c r="N3539" i="1"/>
  <c r="N3538" i="1"/>
  <c r="N3537" i="1"/>
  <c r="N3536" i="1"/>
  <c r="N3535" i="1"/>
  <c r="N3534" i="1"/>
  <c r="N3533" i="1"/>
  <c r="N3532" i="1"/>
  <c r="L3552" i="1"/>
  <c r="L3551" i="1"/>
  <c r="L3550" i="1"/>
  <c r="L3549" i="1"/>
  <c r="P3549" i="1" s="1"/>
  <c r="L3548" i="1"/>
  <c r="L3547" i="1"/>
  <c r="P3547" i="1" s="1"/>
  <c r="L3546" i="1"/>
  <c r="L3545" i="1"/>
  <c r="L3544" i="1"/>
  <c r="L3543" i="1"/>
  <c r="L3542" i="1"/>
  <c r="L3541" i="1"/>
  <c r="L3540" i="1"/>
  <c r="P3540" i="1" s="1"/>
  <c r="L3539" i="1"/>
  <c r="P3539" i="1" s="1"/>
  <c r="L3538" i="1"/>
  <c r="L3537" i="1"/>
  <c r="P3537" i="1" s="1"/>
  <c r="L3536" i="1"/>
  <c r="L3535" i="1"/>
  <c r="L3534" i="1"/>
  <c r="L3533" i="1"/>
  <c r="L3532" i="1"/>
  <c r="K3552" i="1"/>
  <c r="M3552" i="1" s="1"/>
  <c r="K3551" i="1"/>
  <c r="M3551" i="1" s="1"/>
  <c r="K3550" i="1"/>
  <c r="M3550" i="1" s="1"/>
  <c r="K3549" i="1"/>
  <c r="O3549" i="1" s="1"/>
  <c r="K3548" i="1"/>
  <c r="O3548" i="1" s="1"/>
  <c r="K3547" i="1"/>
  <c r="O3547" i="1" s="1"/>
  <c r="K3546" i="1"/>
  <c r="K3545" i="1"/>
  <c r="K3544" i="1"/>
  <c r="M3544" i="1" s="1"/>
  <c r="K3543" i="1"/>
  <c r="K3542" i="1"/>
  <c r="M3542" i="1" s="1"/>
  <c r="K3541" i="1"/>
  <c r="K3540" i="1"/>
  <c r="M3540" i="1" s="1"/>
  <c r="K3539" i="1"/>
  <c r="O3539" i="1" s="1"/>
  <c r="K3538" i="1"/>
  <c r="O3538" i="1" s="1"/>
  <c r="K3537" i="1"/>
  <c r="O3537" i="1" s="1"/>
  <c r="K3536" i="1"/>
  <c r="K3535" i="1"/>
  <c r="K3534" i="1"/>
  <c r="M3534" i="1" s="1"/>
  <c r="K3533" i="1"/>
  <c r="K3532" i="1"/>
  <c r="M3532" i="1" s="1"/>
  <c r="K3531" i="1"/>
  <c r="O3531" i="1" s="1"/>
  <c r="N3531" i="1"/>
  <c r="L3531" i="1"/>
  <c r="H3571" i="1"/>
  <c r="H3570" i="1"/>
  <c r="H3569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72" i="1"/>
  <c r="H3573" i="1"/>
  <c r="H3574" i="1"/>
  <c r="H3563" i="1"/>
  <c r="H3564" i="1"/>
  <c r="H3565" i="1"/>
  <c r="H3566" i="1"/>
  <c r="H3567" i="1"/>
  <c r="H3568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30" i="1"/>
  <c r="K3506" i="1"/>
  <c r="L3506" i="1"/>
  <c r="N3506" i="1"/>
  <c r="N3509" i="1"/>
  <c r="L3509" i="1"/>
  <c r="K3509" i="1"/>
  <c r="N3508" i="1"/>
  <c r="K3508" i="1"/>
  <c r="N3507" i="1"/>
  <c r="L3507" i="1"/>
  <c r="K3507" i="1"/>
  <c r="N3505" i="1"/>
  <c r="K3505" i="1"/>
  <c r="N3504" i="1"/>
  <c r="L3504" i="1"/>
  <c r="K3504" i="1"/>
  <c r="N3503" i="1"/>
  <c r="L3503" i="1"/>
  <c r="K3503" i="1"/>
  <c r="N3502" i="1"/>
  <c r="L3502" i="1"/>
  <c r="K3502" i="1"/>
  <c r="N3501" i="1"/>
  <c r="K3501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00" i="1"/>
  <c r="N3479" i="1"/>
  <c r="N3478" i="1"/>
  <c r="N3477" i="1"/>
  <c r="N3476" i="1"/>
  <c r="N3475" i="1"/>
  <c r="L3479" i="1"/>
  <c r="K3476" i="1"/>
  <c r="K3477" i="1"/>
  <c r="K3478" i="1"/>
  <c r="K3479" i="1"/>
  <c r="K3475" i="1"/>
  <c r="O3475" i="1" s="1"/>
  <c r="N3474" i="1"/>
  <c r="L3474" i="1"/>
  <c r="K3474" i="1"/>
  <c r="N3473" i="1"/>
  <c r="L3473" i="1"/>
  <c r="K3473" i="1"/>
  <c r="N3472" i="1"/>
  <c r="L3472" i="1"/>
  <c r="K3472" i="1"/>
  <c r="N3471" i="1"/>
  <c r="L3471" i="1"/>
  <c r="K3471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70" i="1"/>
  <c r="H3458" i="1"/>
  <c r="H3459" i="1"/>
  <c r="H3460" i="1"/>
  <c r="H3461" i="1"/>
  <c r="H3462" i="1"/>
  <c r="H3463" i="1"/>
  <c r="H3464" i="1"/>
  <c r="H3465" i="1"/>
  <c r="H3466" i="1"/>
  <c r="H3457" i="1"/>
  <c r="R208" i="5"/>
  <c r="R192" i="5"/>
  <c r="R184" i="5"/>
  <c r="R176" i="5"/>
  <c r="R161" i="5"/>
  <c r="R146" i="5"/>
  <c r="R131" i="5"/>
  <c r="R123" i="5"/>
  <c r="R107" i="5"/>
  <c r="R93" i="5"/>
  <c r="R169" i="5"/>
  <c r="R154" i="5"/>
  <c r="R139" i="5"/>
  <c r="R113" i="5"/>
  <c r="R114" i="5"/>
  <c r="R115" i="5"/>
  <c r="R116" i="5"/>
  <c r="R119" i="5"/>
  <c r="R120" i="5"/>
  <c r="R121" i="5"/>
  <c r="R122" i="5"/>
  <c r="R127" i="5"/>
  <c r="R128" i="5"/>
  <c r="R129" i="5"/>
  <c r="R130" i="5"/>
  <c r="R135" i="5"/>
  <c r="R136" i="5"/>
  <c r="R137" i="5"/>
  <c r="R138" i="5"/>
  <c r="R142" i="5"/>
  <c r="R143" i="5"/>
  <c r="R144" i="5"/>
  <c r="R145" i="5"/>
  <c r="R150" i="5"/>
  <c r="R151" i="5"/>
  <c r="R152" i="5"/>
  <c r="R153" i="5"/>
  <c r="R157" i="5"/>
  <c r="R158" i="5"/>
  <c r="R159" i="5"/>
  <c r="R160" i="5"/>
  <c r="R165" i="5"/>
  <c r="R166" i="5"/>
  <c r="R167" i="5"/>
  <c r="R168" i="5"/>
  <c r="R172" i="5"/>
  <c r="R173" i="5"/>
  <c r="R174" i="5"/>
  <c r="R175" i="5"/>
  <c r="R180" i="5"/>
  <c r="R181" i="5"/>
  <c r="R182" i="5"/>
  <c r="R183" i="5"/>
  <c r="R188" i="5"/>
  <c r="R189" i="5"/>
  <c r="R190" i="5"/>
  <c r="R191" i="5"/>
  <c r="R207" i="5"/>
  <c r="R212" i="5"/>
  <c r="R213" i="5"/>
  <c r="R214" i="5"/>
  <c r="R215" i="5"/>
  <c r="R216" i="5"/>
  <c r="R112" i="5"/>
  <c r="R105" i="5"/>
  <c r="R106" i="5"/>
  <c r="R108" i="5"/>
  <c r="R104" i="5"/>
  <c r="R98" i="5"/>
  <c r="R99" i="5"/>
  <c r="R100" i="5"/>
  <c r="R101" i="5"/>
  <c r="R97" i="5"/>
  <c r="R90" i="5"/>
  <c r="R91" i="5"/>
  <c r="R92" i="5"/>
  <c r="R89" i="5"/>
  <c r="R83" i="5"/>
  <c r="R84" i="5"/>
  <c r="R85" i="5"/>
  <c r="R86" i="5"/>
  <c r="R82" i="5"/>
  <c r="R39" i="5"/>
  <c r="R36" i="5"/>
  <c r="R29" i="5"/>
  <c r="R22" i="5"/>
  <c r="R15" i="5"/>
  <c r="R5" i="5"/>
  <c r="R6" i="5"/>
  <c r="R7" i="5"/>
  <c r="R8" i="5"/>
  <c r="R11" i="5"/>
  <c r="R12" i="5"/>
  <c r="R13" i="5"/>
  <c r="R14" i="5"/>
  <c r="R18" i="5"/>
  <c r="R19" i="5"/>
  <c r="R20" i="5"/>
  <c r="R21" i="5"/>
  <c r="R25" i="5"/>
  <c r="R26" i="5"/>
  <c r="R27" i="5"/>
  <c r="R28" i="5"/>
  <c r="R32" i="5"/>
  <c r="R33" i="5"/>
  <c r="R34" i="5"/>
  <c r="R35" i="5"/>
  <c r="R40" i="5"/>
  <c r="R41" i="5"/>
  <c r="R42" i="5"/>
  <c r="R43" i="5"/>
  <c r="R4" i="5"/>
  <c r="P169" i="5"/>
  <c r="P154" i="5"/>
  <c r="P139" i="5"/>
  <c r="P116" i="5"/>
  <c r="P36" i="5"/>
  <c r="P29" i="5"/>
  <c r="P22" i="5"/>
  <c r="P15" i="5"/>
  <c r="P8" i="5"/>
  <c r="P208" i="5"/>
  <c r="P192" i="5"/>
  <c r="P176" i="5"/>
  <c r="P161" i="5"/>
  <c r="P146" i="5"/>
  <c r="P131" i="5"/>
  <c r="P123" i="5"/>
  <c r="P107" i="5"/>
  <c r="P93" i="5"/>
  <c r="P120" i="5"/>
  <c r="P121" i="5"/>
  <c r="P122" i="5"/>
  <c r="P127" i="5"/>
  <c r="P128" i="5"/>
  <c r="P129" i="5"/>
  <c r="P130" i="5"/>
  <c r="P135" i="5"/>
  <c r="P136" i="5"/>
  <c r="P137" i="5"/>
  <c r="P138" i="5"/>
  <c r="P142" i="5"/>
  <c r="P143" i="5"/>
  <c r="P144" i="5"/>
  <c r="P145" i="5"/>
  <c r="P150" i="5"/>
  <c r="P151" i="5"/>
  <c r="P152" i="5"/>
  <c r="P153" i="5"/>
  <c r="P157" i="5"/>
  <c r="P158" i="5"/>
  <c r="P159" i="5"/>
  <c r="P160" i="5"/>
  <c r="P165" i="5"/>
  <c r="P166" i="5"/>
  <c r="P167" i="5"/>
  <c r="P168" i="5"/>
  <c r="P172" i="5"/>
  <c r="P173" i="5"/>
  <c r="P174" i="5"/>
  <c r="P175" i="5"/>
  <c r="P180" i="5"/>
  <c r="P181" i="5"/>
  <c r="P182" i="5"/>
  <c r="P183" i="5"/>
  <c r="P184" i="5"/>
  <c r="P188" i="5"/>
  <c r="P189" i="5"/>
  <c r="P190" i="5"/>
  <c r="P191" i="5"/>
  <c r="P207" i="5"/>
  <c r="P212" i="5"/>
  <c r="P213" i="5"/>
  <c r="P214" i="5"/>
  <c r="P215" i="5"/>
  <c r="P216" i="5"/>
  <c r="P119" i="5"/>
  <c r="P113" i="5"/>
  <c r="P114" i="5"/>
  <c r="P115" i="5"/>
  <c r="P112" i="5"/>
  <c r="P105" i="5"/>
  <c r="P106" i="5"/>
  <c r="P108" i="5"/>
  <c r="P104" i="5"/>
  <c r="P98" i="5"/>
  <c r="P99" i="5"/>
  <c r="P100" i="5"/>
  <c r="P101" i="5"/>
  <c r="P97" i="5"/>
  <c r="P90" i="5"/>
  <c r="P91" i="5"/>
  <c r="P92" i="5"/>
  <c r="P89" i="5"/>
  <c r="P83" i="5"/>
  <c r="P84" i="5"/>
  <c r="P85" i="5"/>
  <c r="P86" i="5"/>
  <c r="P82" i="5"/>
  <c r="P40" i="5"/>
  <c r="P41" i="5"/>
  <c r="P42" i="5"/>
  <c r="P43" i="5"/>
  <c r="P39" i="5"/>
  <c r="P33" i="5"/>
  <c r="P34" i="5"/>
  <c r="P35" i="5"/>
  <c r="P32" i="5"/>
  <c r="P26" i="5"/>
  <c r="P27" i="5"/>
  <c r="P28" i="5"/>
  <c r="P25" i="5"/>
  <c r="P19" i="5"/>
  <c r="P20" i="5"/>
  <c r="P21" i="5"/>
  <c r="P18" i="5"/>
  <c r="P12" i="5"/>
  <c r="P13" i="5"/>
  <c r="P14" i="5"/>
  <c r="P11" i="5"/>
  <c r="P5" i="5"/>
  <c r="P6" i="5"/>
  <c r="P7" i="5"/>
  <c r="P4" i="5"/>
  <c r="O3550" i="1" l="1"/>
  <c r="P3543" i="1"/>
  <c r="O3535" i="1"/>
  <c r="O3545" i="1"/>
  <c r="P3534" i="1"/>
  <c r="P3544" i="1"/>
  <c r="O3536" i="1"/>
  <c r="M3546" i="1"/>
  <c r="P3535" i="1"/>
  <c r="P3545" i="1"/>
  <c r="M3541" i="1"/>
  <c r="P3533" i="1"/>
  <c r="P3536" i="1"/>
  <c r="P3546" i="1"/>
  <c r="M3549" i="1"/>
  <c r="O3540" i="1"/>
  <c r="P3550" i="1"/>
  <c r="M3539" i="1"/>
  <c r="P3531" i="1"/>
  <c r="P3538" i="1"/>
  <c r="P3548" i="1"/>
  <c r="P3532" i="1"/>
  <c r="P3542" i="1"/>
  <c r="P3552" i="1"/>
  <c r="M3533" i="1"/>
  <c r="M3543" i="1"/>
  <c r="P3541" i="1"/>
  <c r="P3551" i="1"/>
  <c r="M3548" i="1"/>
  <c r="O3533" i="1"/>
  <c r="O3544" i="1"/>
  <c r="O3552" i="1"/>
  <c r="O3542" i="1"/>
  <c r="O3532" i="1"/>
  <c r="O3551" i="1"/>
  <c r="O3541" i="1"/>
  <c r="M3538" i="1"/>
  <c r="M3547" i="1"/>
  <c r="M3537" i="1"/>
  <c r="O3534" i="1"/>
  <c r="M3536" i="1"/>
  <c r="M3545" i="1"/>
  <c r="O3546" i="1"/>
  <c r="M3535" i="1"/>
  <c r="M3531" i="1"/>
  <c r="O3505" i="1"/>
  <c r="P3473" i="1"/>
  <c r="P3505" i="1"/>
  <c r="P3478" i="1"/>
  <c r="O3502" i="1"/>
  <c r="M3477" i="1"/>
  <c r="P3502" i="1"/>
  <c r="P3506" i="1"/>
  <c r="M3508" i="1"/>
  <c r="O3507" i="1"/>
  <c r="P3507" i="1"/>
  <c r="M3501" i="1"/>
  <c r="O3509" i="1"/>
  <c r="P3509" i="1"/>
  <c r="M3474" i="1"/>
  <c r="P3501" i="1"/>
  <c r="O3503" i="1"/>
  <c r="P3471" i="1"/>
  <c r="P3503" i="1"/>
  <c r="O3473" i="1"/>
  <c r="M3476" i="1"/>
  <c r="O3501" i="1"/>
  <c r="M3479" i="1"/>
  <c r="O3504" i="1"/>
  <c r="O3471" i="1"/>
  <c r="P3474" i="1"/>
  <c r="P3504" i="1"/>
  <c r="P3508" i="1"/>
  <c r="M3475" i="1"/>
  <c r="M3471" i="1"/>
  <c r="O3506" i="1"/>
  <c r="O3472" i="1"/>
  <c r="O3479" i="1"/>
  <c r="P3476" i="1"/>
  <c r="M3506" i="1"/>
  <c r="O3508" i="1"/>
  <c r="M3503" i="1"/>
  <c r="P3472" i="1"/>
  <c r="M3478" i="1"/>
  <c r="P3477" i="1"/>
  <c r="M3473" i="1"/>
  <c r="M3505" i="1"/>
  <c r="M3502" i="1"/>
  <c r="M3507" i="1"/>
  <c r="M3504" i="1"/>
  <c r="M3509" i="1"/>
  <c r="M3472" i="1"/>
  <c r="P3479" i="1"/>
  <c r="O3474" i="1"/>
  <c r="O3478" i="1"/>
  <c r="O3477" i="1"/>
  <c r="O3476" i="1"/>
  <c r="P3475" i="1"/>
  <c r="P54" i="5"/>
  <c r="P53" i="5"/>
  <c r="P52" i="5"/>
  <c r="P51" i="5"/>
  <c r="N3443" i="1"/>
  <c r="L3443" i="1"/>
  <c r="K3443" i="1"/>
  <c r="N3442" i="1"/>
  <c r="L3442" i="1"/>
  <c r="K3442" i="1"/>
  <c r="N3441" i="1"/>
  <c r="L3441" i="1"/>
  <c r="K3441" i="1"/>
  <c r="N3440" i="1"/>
  <c r="L3440" i="1"/>
  <c r="K3440" i="1"/>
  <c r="N3439" i="1"/>
  <c r="L3439" i="1"/>
  <c r="K3439" i="1"/>
  <c r="N3417" i="1"/>
  <c r="L3417" i="1"/>
  <c r="K3417" i="1"/>
  <c r="N3416" i="1"/>
  <c r="L3416" i="1"/>
  <c r="K3416" i="1"/>
  <c r="N3415" i="1"/>
  <c r="L3415" i="1"/>
  <c r="K3415" i="1"/>
  <c r="N3414" i="1"/>
  <c r="L3414" i="1"/>
  <c r="K3414" i="1"/>
  <c r="N3413" i="1"/>
  <c r="L3413" i="1"/>
  <c r="K3413" i="1"/>
  <c r="J3412" i="1"/>
  <c r="P3410" i="1"/>
  <c r="N3410" i="1"/>
  <c r="L3410" i="1"/>
  <c r="K3410" i="1"/>
  <c r="P3409" i="1"/>
  <c r="N3409" i="1"/>
  <c r="L3409" i="1"/>
  <c r="K3409" i="1"/>
  <c r="P3408" i="1"/>
  <c r="N3408" i="1"/>
  <c r="L3408" i="1"/>
  <c r="K3408" i="1"/>
  <c r="P3407" i="1"/>
  <c r="N3407" i="1"/>
  <c r="L3407" i="1"/>
  <c r="K3407" i="1"/>
  <c r="P3406" i="1"/>
  <c r="N3406" i="1"/>
  <c r="L3406" i="1"/>
  <c r="K3406" i="1"/>
  <c r="J3405" i="1"/>
  <c r="N3394" i="1"/>
  <c r="L3394" i="1"/>
  <c r="K3394" i="1"/>
  <c r="N3393" i="1"/>
  <c r="L3393" i="1"/>
  <c r="K3393" i="1"/>
  <c r="N3392" i="1"/>
  <c r="L3392" i="1"/>
  <c r="K3392" i="1"/>
  <c r="N3391" i="1"/>
  <c r="L3391" i="1"/>
  <c r="K3391" i="1"/>
  <c r="N3390" i="1"/>
  <c r="L3390" i="1"/>
  <c r="K3390" i="1"/>
  <c r="J3389" i="1"/>
  <c r="P3387" i="1"/>
  <c r="N3387" i="1"/>
  <c r="L3387" i="1"/>
  <c r="K3387" i="1"/>
  <c r="P3386" i="1"/>
  <c r="N3386" i="1"/>
  <c r="L3386" i="1"/>
  <c r="K3386" i="1"/>
  <c r="P3385" i="1"/>
  <c r="N3385" i="1"/>
  <c r="L3385" i="1"/>
  <c r="K3385" i="1"/>
  <c r="P3384" i="1"/>
  <c r="N3384" i="1"/>
  <c r="L3384" i="1"/>
  <c r="K3384" i="1"/>
  <c r="P3383" i="1"/>
  <c r="N3383" i="1"/>
  <c r="L3383" i="1"/>
  <c r="K3383" i="1"/>
  <c r="J3382" i="1"/>
  <c r="L3376" i="1"/>
  <c r="K3376" i="1"/>
  <c r="L3375" i="1"/>
  <c r="K3375" i="1"/>
  <c r="L3374" i="1"/>
  <c r="K3374" i="1"/>
  <c r="L3373" i="1"/>
  <c r="K3373" i="1"/>
  <c r="L3372" i="1"/>
  <c r="K3372" i="1"/>
  <c r="J3371" i="1"/>
  <c r="N3369" i="1"/>
  <c r="L3369" i="1"/>
  <c r="K3369" i="1"/>
  <c r="N3368" i="1"/>
  <c r="L3368" i="1"/>
  <c r="K3368" i="1"/>
  <c r="N3367" i="1"/>
  <c r="L3367" i="1"/>
  <c r="K3367" i="1"/>
  <c r="N3366" i="1"/>
  <c r="L3366" i="1"/>
  <c r="K3366" i="1"/>
  <c r="N3365" i="1"/>
  <c r="L3365" i="1"/>
  <c r="K3365" i="1"/>
  <c r="J3364" i="1"/>
  <c r="L3358" i="1"/>
  <c r="K3358" i="1"/>
  <c r="L3357" i="1"/>
  <c r="K3357" i="1"/>
  <c r="L3356" i="1"/>
  <c r="K3356" i="1"/>
  <c r="L3355" i="1"/>
  <c r="K3355" i="1"/>
  <c r="L3354" i="1"/>
  <c r="K3354" i="1"/>
  <c r="J3353" i="1"/>
  <c r="N3351" i="1"/>
  <c r="L3351" i="1"/>
  <c r="K3351" i="1"/>
  <c r="N3350" i="1"/>
  <c r="L3350" i="1"/>
  <c r="K3350" i="1"/>
  <c r="N3349" i="1"/>
  <c r="L3349" i="1"/>
  <c r="K3349" i="1"/>
  <c r="N3348" i="1"/>
  <c r="L3348" i="1"/>
  <c r="K3348" i="1"/>
  <c r="N3347" i="1"/>
  <c r="L3347" i="1"/>
  <c r="K3347" i="1"/>
  <c r="J3346" i="1"/>
  <c r="L3340" i="1"/>
  <c r="K3340" i="1"/>
  <c r="L3339" i="1"/>
  <c r="K3339" i="1"/>
  <c r="L3338" i="1"/>
  <c r="K3338" i="1"/>
  <c r="L3337" i="1"/>
  <c r="K3337" i="1"/>
  <c r="L3336" i="1"/>
  <c r="K3336" i="1"/>
  <c r="J3335" i="1"/>
  <c r="N3333" i="1"/>
  <c r="L3333" i="1"/>
  <c r="K3333" i="1"/>
  <c r="N3332" i="1"/>
  <c r="L3332" i="1"/>
  <c r="K3332" i="1"/>
  <c r="N3331" i="1"/>
  <c r="L3331" i="1"/>
  <c r="K3331" i="1"/>
  <c r="N3330" i="1"/>
  <c r="L3330" i="1"/>
  <c r="K3330" i="1"/>
  <c r="N3329" i="1"/>
  <c r="L3329" i="1"/>
  <c r="K3329" i="1"/>
  <c r="J3328" i="1"/>
  <c r="L3322" i="1"/>
  <c r="K3322" i="1"/>
  <c r="L3321" i="1"/>
  <c r="K3321" i="1"/>
  <c r="L3320" i="1"/>
  <c r="K3320" i="1"/>
  <c r="L3319" i="1"/>
  <c r="K3319" i="1"/>
  <c r="L3318" i="1"/>
  <c r="K3318" i="1"/>
  <c r="J3317" i="1"/>
  <c r="N3315" i="1"/>
  <c r="L3315" i="1"/>
  <c r="K3315" i="1"/>
  <c r="N3314" i="1"/>
  <c r="L3314" i="1"/>
  <c r="K3314" i="1"/>
  <c r="N3313" i="1"/>
  <c r="L3313" i="1"/>
  <c r="K3313" i="1"/>
  <c r="N3312" i="1"/>
  <c r="L3312" i="1"/>
  <c r="K3312" i="1"/>
  <c r="N3311" i="1"/>
  <c r="L3311" i="1"/>
  <c r="K3311" i="1"/>
  <c r="J3310" i="1"/>
  <c r="L3286" i="1"/>
  <c r="K3286" i="1"/>
  <c r="L3285" i="1"/>
  <c r="K3285" i="1"/>
  <c r="L3284" i="1"/>
  <c r="K3284" i="1"/>
  <c r="L3283" i="1"/>
  <c r="K3283" i="1"/>
  <c r="L3282" i="1"/>
  <c r="K3282" i="1"/>
  <c r="J3281" i="1"/>
  <c r="N3279" i="1"/>
  <c r="L3279" i="1"/>
  <c r="K3279" i="1"/>
  <c r="N3278" i="1"/>
  <c r="L3278" i="1"/>
  <c r="K3278" i="1"/>
  <c r="N3277" i="1"/>
  <c r="L3277" i="1"/>
  <c r="K3277" i="1"/>
  <c r="N3276" i="1"/>
  <c r="L3276" i="1"/>
  <c r="K3276" i="1"/>
  <c r="N3275" i="1"/>
  <c r="L3275" i="1"/>
  <c r="K3275" i="1"/>
  <c r="J3274" i="1"/>
  <c r="L3304" i="1"/>
  <c r="K3304" i="1"/>
  <c r="L3303" i="1"/>
  <c r="K3303" i="1"/>
  <c r="L3302" i="1"/>
  <c r="K3302" i="1"/>
  <c r="L3301" i="1"/>
  <c r="K3301" i="1"/>
  <c r="L3300" i="1"/>
  <c r="K3300" i="1"/>
  <c r="J3299" i="1"/>
  <c r="N3297" i="1"/>
  <c r="L3297" i="1"/>
  <c r="K3297" i="1"/>
  <c r="N3296" i="1"/>
  <c r="L3296" i="1"/>
  <c r="K3296" i="1"/>
  <c r="N3295" i="1"/>
  <c r="L3295" i="1"/>
  <c r="K3295" i="1"/>
  <c r="N3294" i="1"/>
  <c r="L3294" i="1"/>
  <c r="K3294" i="1"/>
  <c r="N3293" i="1"/>
  <c r="L3293" i="1"/>
  <c r="K3293" i="1"/>
  <c r="J3292" i="1"/>
  <c r="L3268" i="1"/>
  <c r="K3268" i="1"/>
  <c r="L3267" i="1"/>
  <c r="K3267" i="1"/>
  <c r="L3266" i="1"/>
  <c r="K3266" i="1"/>
  <c r="L3265" i="1"/>
  <c r="K3265" i="1"/>
  <c r="L3264" i="1"/>
  <c r="K3264" i="1"/>
  <c r="J3263" i="1"/>
  <c r="N3261" i="1"/>
  <c r="L3261" i="1"/>
  <c r="K3261" i="1"/>
  <c r="N3260" i="1"/>
  <c r="L3260" i="1"/>
  <c r="K3260" i="1"/>
  <c r="N3259" i="1"/>
  <c r="L3259" i="1"/>
  <c r="K3259" i="1"/>
  <c r="N3258" i="1"/>
  <c r="L3258" i="1"/>
  <c r="K3258" i="1"/>
  <c r="N3257" i="1"/>
  <c r="L3257" i="1"/>
  <c r="K3257" i="1"/>
  <c r="J3256" i="1"/>
  <c r="N3245" i="1"/>
  <c r="L3245" i="1"/>
  <c r="K3245" i="1"/>
  <c r="N3244" i="1"/>
  <c r="L3244" i="1"/>
  <c r="K3244" i="1"/>
  <c r="N3243" i="1"/>
  <c r="L3243" i="1"/>
  <c r="K3243" i="1"/>
  <c r="N3242" i="1"/>
  <c r="L3242" i="1"/>
  <c r="K3242" i="1"/>
  <c r="N3241" i="1"/>
  <c r="L3241" i="1"/>
  <c r="K3241" i="1"/>
  <c r="J3240" i="1"/>
  <c r="P3238" i="1"/>
  <c r="N3238" i="1"/>
  <c r="L3238" i="1"/>
  <c r="K3238" i="1"/>
  <c r="P3237" i="1"/>
  <c r="N3237" i="1"/>
  <c r="L3237" i="1"/>
  <c r="K3237" i="1"/>
  <c r="P3236" i="1"/>
  <c r="N3236" i="1"/>
  <c r="L3236" i="1"/>
  <c r="K3236" i="1"/>
  <c r="P3235" i="1"/>
  <c r="N3235" i="1"/>
  <c r="L3235" i="1"/>
  <c r="K3235" i="1"/>
  <c r="P3234" i="1"/>
  <c r="N3234" i="1"/>
  <c r="L3234" i="1"/>
  <c r="K3234" i="1"/>
  <c r="J3233" i="1"/>
  <c r="L3227" i="1"/>
  <c r="K3227" i="1"/>
  <c r="L3226" i="1"/>
  <c r="K3226" i="1"/>
  <c r="L3225" i="1"/>
  <c r="K3225" i="1"/>
  <c r="L3224" i="1"/>
  <c r="K3224" i="1"/>
  <c r="L3223" i="1"/>
  <c r="K3223" i="1"/>
  <c r="J3222" i="1"/>
  <c r="N3220" i="1"/>
  <c r="L3220" i="1"/>
  <c r="K3220" i="1"/>
  <c r="N3219" i="1"/>
  <c r="L3219" i="1"/>
  <c r="K3219" i="1"/>
  <c r="N3218" i="1"/>
  <c r="L3218" i="1"/>
  <c r="K3218" i="1"/>
  <c r="N3217" i="1"/>
  <c r="L3217" i="1"/>
  <c r="K3217" i="1"/>
  <c r="N3216" i="1"/>
  <c r="L3216" i="1"/>
  <c r="K3216" i="1"/>
  <c r="J3215" i="1"/>
  <c r="L3209" i="1"/>
  <c r="K3209" i="1"/>
  <c r="M3209" i="1" s="1"/>
  <c r="L3208" i="1"/>
  <c r="K3208" i="1"/>
  <c r="L3207" i="1"/>
  <c r="K3207" i="1"/>
  <c r="L3206" i="1"/>
  <c r="K3206" i="1"/>
  <c r="L3205" i="1"/>
  <c r="K3205" i="1"/>
  <c r="J3204" i="1"/>
  <c r="N3202" i="1"/>
  <c r="L3202" i="1"/>
  <c r="K3202" i="1"/>
  <c r="N3201" i="1"/>
  <c r="L3201" i="1"/>
  <c r="K3201" i="1"/>
  <c r="N3200" i="1"/>
  <c r="L3200" i="1"/>
  <c r="K3200" i="1"/>
  <c r="N3199" i="1"/>
  <c r="L3199" i="1"/>
  <c r="K3199" i="1"/>
  <c r="N3198" i="1"/>
  <c r="L3198" i="1"/>
  <c r="K3198" i="1"/>
  <c r="J3197" i="1"/>
  <c r="L3191" i="1"/>
  <c r="K3191" i="1"/>
  <c r="L3190" i="1"/>
  <c r="K3190" i="1"/>
  <c r="L3189" i="1"/>
  <c r="K3189" i="1"/>
  <c r="L3188" i="1"/>
  <c r="K3188" i="1"/>
  <c r="L3187" i="1"/>
  <c r="K3187" i="1"/>
  <c r="J3186" i="1"/>
  <c r="N3184" i="1"/>
  <c r="L3184" i="1"/>
  <c r="K3184" i="1"/>
  <c r="N3183" i="1"/>
  <c r="L3183" i="1"/>
  <c r="K3183" i="1"/>
  <c r="N3182" i="1"/>
  <c r="L3182" i="1"/>
  <c r="K3182" i="1"/>
  <c r="N3181" i="1"/>
  <c r="L3181" i="1"/>
  <c r="K3181" i="1"/>
  <c r="N3180" i="1"/>
  <c r="L3180" i="1"/>
  <c r="K3180" i="1"/>
  <c r="J3179" i="1"/>
  <c r="N3168" i="1"/>
  <c r="L3168" i="1"/>
  <c r="K3168" i="1"/>
  <c r="N3167" i="1"/>
  <c r="L3167" i="1"/>
  <c r="K3167" i="1"/>
  <c r="N3166" i="1"/>
  <c r="L3166" i="1"/>
  <c r="K3166" i="1"/>
  <c r="N3165" i="1"/>
  <c r="L3165" i="1"/>
  <c r="K3165" i="1"/>
  <c r="N3164" i="1"/>
  <c r="L3164" i="1"/>
  <c r="K3164" i="1"/>
  <c r="J3163" i="1"/>
  <c r="P3161" i="1"/>
  <c r="N3161" i="1"/>
  <c r="L3161" i="1"/>
  <c r="K3161" i="1"/>
  <c r="P3160" i="1"/>
  <c r="N3160" i="1"/>
  <c r="L3160" i="1"/>
  <c r="K3160" i="1"/>
  <c r="P3159" i="1"/>
  <c r="N3159" i="1"/>
  <c r="L3159" i="1"/>
  <c r="K3159" i="1"/>
  <c r="P3158" i="1"/>
  <c r="N3158" i="1"/>
  <c r="L3158" i="1"/>
  <c r="K3158" i="1"/>
  <c r="P3157" i="1"/>
  <c r="N3157" i="1"/>
  <c r="L3157" i="1"/>
  <c r="K3157" i="1"/>
  <c r="J3156" i="1"/>
  <c r="N3145" i="1"/>
  <c r="L3145" i="1"/>
  <c r="K3145" i="1"/>
  <c r="N3144" i="1"/>
  <c r="L3144" i="1"/>
  <c r="K3144" i="1"/>
  <c r="N3143" i="1"/>
  <c r="L3143" i="1"/>
  <c r="K3143" i="1"/>
  <c r="N3142" i="1"/>
  <c r="L3142" i="1"/>
  <c r="K3142" i="1"/>
  <c r="N3141" i="1"/>
  <c r="L3141" i="1"/>
  <c r="K3141" i="1"/>
  <c r="J3140" i="1"/>
  <c r="P3138" i="1"/>
  <c r="N3138" i="1"/>
  <c r="L3138" i="1"/>
  <c r="K3138" i="1"/>
  <c r="P3137" i="1"/>
  <c r="N3137" i="1"/>
  <c r="L3137" i="1"/>
  <c r="K3137" i="1"/>
  <c r="P3136" i="1"/>
  <c r="N3136" i="1"/>
  <c r="L3136" i="1"/>
  <c r="K3136" i="1"/>
  <c r="P3135" i="1"/>
  <c r="N3135" i="1"/>
  <c r="L3135" i="1"/>
  <c r="K3135" i="1"/>
  <c r="P3134" i="1"/>
  <c r="N3134" i="1"/>
  <c r="L3134" i="1"/>
  <c r="K3134" i="1"/>
  <c r="J313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N2907" i="1"/>
  <c r="L2907" i="1"/>
  <c r="K2907" i="1"/>
  <c r="N2906" i="1"/>
  <c r="L2906" i="1"/>
  <c r="K2906" i="1"/>
  <c r="N2905" i="1"/>
  <c r="L2905" i="1"/>
  <c r="K2905" i="1"/>
  <c r="N2904" i="1"/>
  <c r="L2904" i="1"/>
  <c r="K2904" i="1"/>
  <c r="N2903" i="1"/>
  <c r="L2903" i="1"/>
  <c r="K2903" i="1"/>
  <c r="J2902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N3122" i="1"/>
  <c r="L3122" i="1"/>
  <c r="K3122" i="1"/>
  <c r="N3121" i="1"/>
  <c r="L3121" i="1"/>
  <c r="K3121" i="1"/>
  <c r="N3120" i="1"/>
  <c r="L3120" i="1"/>
  <c r="K3120" i="1"/>
  <c r="N3119" i="1"/>
  <c r="L3119" i="1"/>
  <c r="K3119" i="1"/>
  <c r="N3118" i="1"/>
  <c r="L3118" i="1"/>
  <c r="K3118" i="1"/>
  <c r="J3117" i="1"/>
  <c r="P3115" i="1"/>
  <c r="N3115" i="1"/>
  <c r="L3115" i="1"/>
  <c r="K3115" i="1"/>
  <c r="P3114" i="1"/>
  <c r="N3114" i="1"/>
  <c r="L3114" i="1"/>
  <c r="K3114" i="1"/>
  <c r="P3113" i="1"/>
  <c r="N3113" i="1"/>
  <c r="L3113" i="1"/>
  <c r="K3113" i="1"/>
  <c r="P3112" i="1"/>
  <c r="N3112" i="1"/>
  <c r="L3112" i="1"/>
  <c r="K3112" i="1"/>
  <c r="P3111" i="1"/>
  <c r="N3111" i="1"/>
  <c r="L3111" i="1"/>
  <c r="K3111" i="1"/>
  <c r="J3110" i="1"/>
  <c r="L3104" i="1"/>
  <c r="K3104" i="1"/>
  <c r="L3103" i="1"/>
  <c r="K3103" i="1"/>
  <c r="L3102" i="1"/>
  <c r="K3102" i="1"/>
  <c r="L3101" i="1"/>
  <c r="K3101" i="1"/>
  <c r="L3100" i="1"/>
  <c r="K3100" i="1"/>
  <c r="J3099" i="1"/>
  <c r="N3097" i="1"/>
  <c r="L3097" i="1"/>
  <c r="K3097" i="1"/>
  <c r="N3096" i="1"/>
  <c r="L3096" i="1"/>
  <c r="K3096" i="1"/>
  <c r="N3095" i="1"/>
  <c r="L3095" i="1"/>
  <c r="K3095" i="1"/>
  <c r="N3094" i="1"/>
  <c r="L3094" i="1"/>
  <c r="K3094" i="1"/>
  <c r="N3093" i="1"/>
  <c r="L3093" i="1"/>
  <c r="K3093" i="1"/>
  <c r="J3092" i="1"/>
  <c r="L3086" i="1"/>
  <c r="K3086" i="1"/>
  <c r="L3085" i="1"/>
  <c r="K3085" i="1"/>
  <c r="L3084" i="1"/>
  <c r="K3084" i="1"/>
  <c r="L3083" i="1"/>
  <c r="K3083" i="1"/>
  <c r="L3082" i="1"/>
  <c r="K3082" i="1"/>
  <c r="J3081" i="1"/>
  <c r="N3079" i="1"/>
  <c r="L3079" i="1"/>
  <c r="K3079" i="1"/>
  <c r="N3078" i="1"/>
  <c r="L3078" i="1"/>
  <c r="K3078" i="1"/>
  <c r="N3077" i="1"/>
  <c r="L3077" i="1"/>
  <c r="K3077" i="1"/>
  <c r="N3076" i="1"/>
  <c r="L3076" i="1"/>
  <c r="K3076" i="1"/>
  <c r="N3075" i="1"/>
  <c r="L3075" i="1"/>
  <c r="K3075" i="1"/>
  <c r="J3074" i="1"/>
  <c r="L3068" i="1"/>
  <c r="K3068" i="1"/>
  <c r="L3067" i="1"/>
  <c r="K3067" i="1"/>
  <c r="L3066" i="1"/>
  <c r="K3066" i="1"/>
  <c r="L3065" i="1"/>
  <c r="K3065" i="1"/>
  <c r="L3064" i="1"/>
  <c r="K3064" i="1"/>
  <c r="J3063" i="1"/>
  <c r="N3061" i="1"/>
  <c r="L3061" i="1"/>
  <c r="K3061" i="1"/>
  <c r="N3060" i="1"/>
  <c r="L3060" i="1"/>
  <c r="K3060" i="1"/>
  <c r="N3059" i="1"/>
  <c r="L3059" i="1"/>
  <c r="K3059" i="1"/>
  <c r="N3058" i="1"/>
  <c r="L3058" i="1"/>
  <c r="K3058" i="1"/>
  <c r="N3057" i="1"/>
  <c r="L3057" i="1"/>
  <c r="K3057" i="1"/>
  <c r="J3056" i="1"/>
  <c r="N3045" i="1"/>
  <c r="L3045" i="1"/>
  <c r="K3045" i="1"/>
  <c r="N3044" i="1"/>
  <c r="L3044" i="1"/>
  <c r="K3044" i="1"/>
  <c r="N3043" i="1"/>
  <c r="L3043" i="1"/>
  <c r="K3043" i="1"/>
  <c r="N3042" i="1"/>
  <c r="L3042" i="1"/>
  <c r="K3042" i="1"/>
  <c r="N3041" i="1"/>
  <c r="L3041" i="1"/>
  <c r="K3041" i="1"/>
  <c r="J3040" i="1"/>
  <c r="P3038" i="1"/>
  <c r="N3038" i="1"/>
  <c r="L3038" i="1"/>
  <c r="K3038" i="1"/>
  <c r="P3037" i="1"/>
  <c r="N3037" i="1"/>
  <c r="L3037" i="1"/>
  <c r="K3037" i="1"/>
  <c r="P3036" i="1"/>
  <c r="N3036" i="1"/>
  <c r="L3036" i="1"/>
  <c r="K3036" i="1"/>
  <c r="P3035" i="1"/>
  <c r="N3035" i="1"/>
  <c r="L3035" i="1"/>
  <c r="K3035" i="1"/>
  <c r="P3034" i="1"/>
  <c r="N3034" i="1"/>
  <c r="L3034" i="1"/>
  <c r="K3034" i="1"/>
  <c r="J3033" i="1"/>
  <c r="N3022" i="1"/>
  <c r="L3022" i="1"/>
  <c r="K3022" i="1"/>
  <c r="N3021" i="1"/>
  <c r="L3021" i="1"/>
  <c r="K3021" i="1"/>
  <c r="N3020" i="1"/>
  <c r="L3020" i="1"/>
  <c r="K3020" i="1"/>
  <c r="N3019" i="1"/>
  <c r="L3019" i="1"/>
  <c r="K3019" i="1"/>
  <c r="N3018" i="1"/>
  <c r="L3018" i="1"/>
  <c r="K3018" i="1"/>
  <c r="J3017" i="1"/>
  <c r="P3015" i="1"/>
  <c r="N3015" i="1"/>
  <c r="L3015" i="1"/>
  <c r="K3015" i="1"/>
  <c r="P3014" i="1"/>
  <c r="N3014" i="1"/>
  <c r="L3014" i="1"/>
  <c r="K3014" i="1"/>
  <c r="P3013" i="1"/>
  <c r="N3013" i="1"/>
  <c r="L3013" i="1"/>
  <c r="K3013" i="1"/>
  <c r="P3012" i="1"/>
  <c r="N3012" i="1"/>
  <c r="L3012" i="1"/>
  <c r="K3012" i="1"/>
  <c r="P3011" i="1"/>
  <c r="N3011" i="1"/>
  <c r="L3011" i="1"/>
  <c r="K3011" i="1"/>
  <c r="J301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L3004" i="1"/>
  <c r="K3004" i="1"/>
  <c r="L3003" i="1"/>
  <c r="K3003" i="1"/>
  <c r="L3002" i="1"/>
  <c r="K3002" i="1"/>
  <c r="L3001" i="1"/>
  <c r="K3001" i="1"/>
  <c r="L3000" i="1"/>
  <c r="K3000" i="1"/>
  <c r="J2999" i="1"/>
  <c r="N2997" i="1"/>
  <c r="L2997" i="1"/>
  <c r="K2997" i="1"/>
  <c r="N2996" i="1"/>
  <c r="L2996" i="1"/>
  <c r="K2996" i="1"/>
  <c r="N2995" i="1"/>
  <c r="L2995" i="1"/>
  <c r="K2995" i="1"/>
  <c r="N2994" i="1"/>
  <c r="L2994" i="1"/>
  <c r="K2994" i="1"/>
  <c r="N2993" i="1"/>
  <c r="L2993" i="1"/>
  <c r="K2993" i="1"/>
  <c r="J2992" i="1"/>
  <c r="L2986" i="1"/>
  <c r="K2986" i="1"/>
  <c r="L2985" i="1"/>
  <c r="K2985" i="1"/>
  <c r="L2984" i="1"/>
  <c r="K2984" i="1"/>
  <c r="L2983" i="1"/>
  <c r="K2983" i="1"/>
  <c r="L2982" i="1"/>
  <c r="K2982" i="1"/>
  <c r="J2981" i="1"/>
  <c r="N2979" i="1"/>
  <c r="L2979" i="1"/>
  <c r="K2979" i="1"/>
  <c r="N2978" i="1"/>
  <c r="L2978" i="1"/>
  <c r="K2978" i="1"/>
  <c r="N2977" i="1"/>
  <c r="L2977" i="1"/>
  <c r="K2977" i="1"/>
  <c r="N2976" i="1"/>
  <c r="L2976" i="1"/>
  <c r="K2976" i="1"/>
  <c r="N2975" i="1"/>
  <c r="L2975" i="1"/>
  <c r="K2975" i="1"/>
  <c r="J2974" i="1"/>
  <c r="L2968" i="1"/>
  <c r="K2968" i="1"/>
  <c r="L2967" i="1"/>
  <c r="K2967" i="1"/>
  <c r="L2966" i="1"/>
  <c r="K2966" i="1"/>
  <c r="L2965" i="1"/>
  <c r="K2965" i="1"/>
  <c r="L2964" i="1"/>
  <c r="K2964" i="1"/>
  <c r="J2963" i="1"/>
  <c r="N2961" i="1"/>
  <c r="L2961" i="1"/>
  <c r="K2961" i="1"/>
  <c r="N2960" i="1"/>
  <c r="L2960" i="1"/>
  <c r="K2960" i="1"/>
  <c r="N2959" i="1"/>
  <c r="L2959" i="1"/>
  <c r="K2959" i="1"/>
  <c r="N2958" i="1"/>
  <c r="L2958" i="1"/>
  <c r="K2958" i="1"/>
  <c r="N2957" i="1"/>
  <c r="L2957" i="1"/>
  <c r="K2957" i="1"/>
  <c r="J2956" i="1"/>
  <c r="L2950" i="1"/>
  <c r="K2950" i="1"/>
  <c r="L2949" i="1"/>
  <c r="K2949" i="1"/>
  <c r="L2948" i="1"/>
  <c r="K2948" i="1"/>
  <c r="L2947" i="1"/>
  <c r="K2947" i="1"/>
  <c r="L2946" i="1"/>
  <c r="K2946" i="1"/>
  <c r="J2945" i="1"/>
  <c r="N2943" i="1"/>
  <c r="L2943" i="1"/>
  <c r="K2943" i="1"/>
  <c r="N2942" i="1"/>
  <c r="L2942" i="1"/>
  <c r="K2942" i="1"/>
  <c r="N2941" i="1"/>
  <c r="L2941" i="1"/>
  <c r="K2941" i="1"/>
  <c r="N2940" i="1"/>
  <c r="L2940" i="1"/>
  <c r="K2940" i="1"/>
  <c r="N2939" i="1"/>
  <c r="L2939" i="1"/>
  <c r="K2939" i="1"/>
  <c r="J2938" i="1"/>
  <c r="L2932" i="1"/>
  <c r="K2932" i="1"/>
  <c r="L2931" i="1"/>
  <c r="K2931" i="1"/>
  <c r="L2930" i="1"/>
  <c r="K2930" i="1"/>
  <c r="L2929" i="1"/>
  <c r="K2929" i="1"/>
  <c r="L2928" i="1"/>
  <c r="K2928" i="1"/>
  <c r="J2927" i="1"/>
  <c r="N2925" i="1"/>
  <c r="L2925" i="1"/>
  <c r="K2925" i="1"/>
  <c r="N2924" i="1"/>
  <c r="L2924" i="1"/>
  <c r="K2924" i="1"/>
  <c r="N2923" i="1"/>
  <c r="L2923" i="1"/>
  <c r="K2923" i="1"/>
  <c r="N2922" i="1"/>
  <c r="L2922" i="1"/>
  <c r="K2922" i="1"/>
  <c r="N2921" i="1"/>
  <c r="L2921" i="1"/>
  <c r="K2921" i="1"/>
  <c r="J2920" i="1"/>
  <c r="N2878" i="1"/>
  <c r="L2878" i="1"/>
  <c r="K2878" i="1"/>
  <c r="N2877" i="1"/>
  <c r="L2877" i="1"/>
  <c r="K2877" i="1"/>
  <c r="N2876" i="1"/>
  <c r="L2876" i="1"/>
  <c r="K2876" i="1"/>
  <c r="N2875" i="1"/>
  <c r="L2875" i="1"/>
  <c r="K2875" i="1"/>
  <c r="N2874" i="1"/>
  <c r="L2874" i="1"/>
  <c r="K2874" i="1"/>
  <c r="P2820" i="1"/>
  <c r="L2820" i="1"/>
  <c r="K2820" i="1"/>
  <c r="P2819" i="1"/>
  <c r="L2819" i="1"/>
  <c r="K2819" i="1"/>
  <c r="P2818" i="1"/>
  <c r="L2818" i="1"/>
  <c r="K2818" i="1"/>
  <c r="P2817" i="1"/>
  <c r="L2817" i="1"/>
  <c r="K2817" i="1"/>
  <c r="P2816" i="1"/>
  <c r="N2816" i="1"/>
  <c r="L2816" i="1"/>
  <c r="K2816" i="1"/>
  <c r="P2815" i="1"/>
  <c r="L2815" i="1"/>
  <c r="K2815" i="1"/>
  <c r="P2814" i="1"/>
  <c r="L2814" i="1"/>
  <c r="K2814" i="1"/>
  <c r="P2813" i="1"/>
  <c r="L2813" i="1"/>
  <c r="K2813" i="1"/>
  <c r="P2812" i="1"/>
  <c r="L2812" i="1"/>
  <c r="K2812" i="1"/>
  <c r="P2811" i="1"/>
  <c r="L2811" i="1"/>
  <c r="K2811" i="1"/>
  <c r="P2810" i="1"/>
  <c r="L2810" i="1"/>
  <c r="K2810" i="1"/>
  <c r="P2809" i="1"/>
  <c r="L2809" i="1"/>
  <c r="K2809" i="1"/>
  <c r="P2808" i="1"/>
  <c r="L2808" i="1"/>
  <c r="K2808" i="1"/>
  <c r="P2807" i="1"/>
  <c r="L2807" i="1"/>
  <c r="K2807" i="1"/>
  <c r="P2806" i="1"/>
  <c r="N2806" i="1"/>
  <c r="L2806" i="1"/>
  <c r="K2806" i="1"/>
  <c r="P2805" i="1"/>
  <c r="L2805" i="1"/>
  <c r="K2805" i="1"/>
  <c r="P2804" i="1"/>
  <c r="L2804" i="1"/>
  <c r="K2804" i="1"/>
  <c r="P2803" i="1"/>
  <c r="L2803" i="1"/>
  <c r="K2803" i="1"/>
  <c r="P2802" i="1"/>
  <c r="L2802" i="1"/>
  <c r="K2802" i="1"/>
  <c r="P2801" i="1"/>
  <c r="N2801" i="1"/>
  <c r="L2801" i="1"/>
  <c r="K2801" i="1"/>
  <c r="P2800" i="1"/>
  <c r="N2800" i="1"/>
  <c r="L2800" i="1"/>
  <c r="K2800" i="1"/>
  <c r="P2799" i="1"/>
  <c r="N2799" i="1"/>
  <c r="L2799" i="1"/>
  <c r="K2799" i="1"/>
  <c r="P2747" i="1"/>
  <c r="L2747" i="1"/>
  <c r="K2747" i="1"/>
  <c r="P2746" i="1"/>
  <c r="L2746" i="1"/>
  <c r="K2746" i="1"/>
  <c r="P2745" i="1"/>
  <c r="L2745" i="1"/>
  <c r="K2745" i="1"/>
  <c r="P2744" i="1"/>
  <c r="L2744" i="1"/>
  <c r="K2744" i="1"/>
  <c r="P2743" i="1"/>
  <c r="N2743" i="1"/>
  <c r="L2743" i="1"/>
  <c r="K2743" i="1"/>
  <c r="P2742" i="1"/>
  <c r="L2742" i="1"/>
  <c r="K2742" i="1"/>
  <c r="P2741" i="1"/>
  <c r="L2741" i="1"/>
  <c r="K2741" i="1"/>
  <c r="P2740" i="1"/>
  <c r="L2740" i="1"/>
  <c r="K2740" i="1"/>
  <c r="P2739" i="1"/>
  <c r="L2739" i="1"/>
  <c r="K2739" i="1"/>
  <c r="P2738" i="1"/>
  <c r="L2738" i="1"/>
  <c r="K2738" i="1"/>
  <c r="P2737" i="1"/>
  <c r="L2737" i="1"/>
  <c r="K2737" i="1"/>
  <c r="P2736" i="1"/>
  <c r="L2736" i="1"/>
  <c r="K2736" i="1"/>
  <c r="P2735" i="1"/>
  <c r="L2735" i="1"/>
  <c r="K2735" i="1"/>
  <c r="P2734" i="1"/>
  <c r="L2734" i="1"/>
  <c r="K2734" i="1"/>
  <c r="P2733" i="1"/>
  <c r="N2733" i="1"/>
  <c r="L2733" i="1"/>
  <c r="K2733" i="1"/>
  <c r="P2732" i="1"/>
  <c r="L2732" i="1"/>
  <c r="K2732" i="1"/>
  <c r="P2731" i="1"/>
  <c r="L2731" i="1"/>
  <c r="K2731" i="1"/>
  <c r="P2730" i="1"/>
  <c r="L2730" i="1"/>
  <c r="K2730" i="1"/>
  <c r="P2729" i="1"/>
  <c r="L2729" i="1"/>
  <c r="K2729" i="1"/>
  <c r="P2728" i="1"/>
  <c r="N2728" i="1"/>
  <c r="L2728" i="1"/>
  <c r="K2728" i="1"/>
  <c r="P2727" i="1"/>
  <c r="N2727" i="1"/>
  <c r="L2727" i="1"/>
  <c r="K2727" i="1"/>
  <c r="P2726" i="1"/>
  <c r="N2726" i="1"/>
  <c r="L2726" i="1"/>
  <c r="K2710" i="1"/>
  <c r="K2726" i="1"/>
  <c r="N2714" i="1"/>
  <c r="L2714" i="1"/>
  <c r="K2714" i="1"/>
  <c r="L2713" i="1"/>
  <c r="K2713" i="1"/>
  <c r="L2712" i="1"/>
  <c r="K2712" i="1"/>
  <c r="N2711" i="1"/>
  <c r="L2711" i="1"/>
  <c r="K2711" i="1"/>
  <c r="N2710" i="1"/>
  <c r="L2710" i="1"/>
  <c r="N2713" i="1"/>
  <c r="N2712" i="1"/>
  <c r="I47" i="5"/>
  <c r="E54" i="5" s="1"/>
  <c r="L2703" i="1"/>
  <c r="K2703" i="1"/>
  <c r="L2702" i="1"/>
  <c r="K2702" i="1"/>
  <c r="L2701" i="1"/>
  <c r="K2701" i="1"/>
  <c r="L2700" i="1"/>
  <c r="K2700" i="1"/>
  <c r="L2699" i="1"/>
  <c r="K2699" i="1"/>
  <c r="J2698" i="1"/>
  <c r="N2696" i="1"/>
  <c r="L2696" i="1"/>
  <c r="K2696" i="1"/>
  <c r="N2695" i="1"/>
  <c r="L2695" i="1"/>
  <c r="K2695" i="1"/>
  <c r="N2694" i="1"/>
  <c r="L2694" i="1"/>
  <c r="K2694" i="1"/>
  <c r="N2693" i="1"/>
  <c r="L2693" i="1"/>
  <c r="K2693" i="1"/>
  <c r="N2692" i="1"/>
  <c r="L2692" i="1"/>
  <c r="K2692" i="1"/>
  <c r="J2691" i="1"/>
  <c r="L2685" i="1"/>
  <c r="K2685" i="1"/>
  <c r="L2684" i="1"/>
  <c r="K2684" i="1"/>
  <c r="L2683" i="1"/>
  <c r="K2683" i="1"/>
  <c r="L2682" i="1"/>
  <c r="K2682" i="1"/>
  <c r="L2681" i="1"/>
  <c r="K2681" i="1"/>
  <c r="J2680" i="1"/>
  <c r="N2678" i="1"/>
  <c r="L2678" i="1"/>
  <c r="K2678" i="1"/>
  <c r="N2677" i="1"/>
  <c r="L2677" i="1"/>
  <c r="K2677" i="1"/>
  <c r="N2676" i="1"/>
  <c r="L2676" i="1"/>
  <c r="K2676" i="1"/>
  <c r="N2675" i="1"/>
  <c r="L2675" i="1"/>
  <c r="K2675" i="1"/>
  <c r="N2674" i="1"/>
  <c r="L2674" i="1"/>
  <c r="K2674" i="1"/>
  <c r="J2673" i="1"/>
  <c r="L2667" i="1"/>
  <c r="K2667" i="1"/>
  <c r="L2666" i="1"/>
  <c r="K2666" i="1"/>
  <c r="L2665" i="1"/>
  <c r="K2665" i="1"/>
  <c r="L2664" i="1"/>
  <c r="K2664" i="1"/>
  <c r="L2663" i="1"/>
  <c r="K2663" i="1"/>
  <c r="J2662" i="1"/>
  <c r="N2660" i="1"/>
  <c r="L2660" i="1"/>
  <c r="K2660" i="1"/>
  <c r="N2659" i="1"/>
  <c r="L2659" i="1"/>
  <c r="K2659" i="1"/>
  <c r="N2658" i="1"/>
  <c r="L2658" i="1"/>
  <c r="K2658" i="1"/>
  <c r="N2657" i="1"/>
  <c r="L2657" i="1"/>
  <c r="K2657" i="1"/>
  <c r="N2656" i="1"/>
  <c r="L2656" i="1"/>
  <c r="K2656" i="1"/>
  <c r="J2655" i="1"/>
  <c r="L2649" i="1"/>
  <c r="K2649" i="1"/>
  <c r="L2648" i="1"/>
  <c r="K2648" i="1"/>
  <c r="L2647" i="1"/>
  <c r="K2647" i="1"/>
  <c r="L2646" i="1"/>
  <c r="K2646" i="1"/>
  <c r="L2645" i="1"/>
  <c r="K2645" i="1"/>
  <c r="J2644" i="1"/>
  <c r="N2642" i="1"/>
  <c r="L2642" i="1"/>
  <c r="K2642" i="1"/>
  <c r="N2641" i="1"/>
  <c r="L2641" i="1"/>
  <c r="K2641" i="1"/>
  <c r="N2640" i="1"/>
  <c r="L2640" i="1"/>
  <c r="K2640" i="1"/>
  <c r="N2639" i="1"/>
  <c r="L2639" i="1"/>
  <c r="K2639" i="1"/>
  <c r="N2638" i="1"/>
  <c r="L2638" i="1"/>
  <c r="K2638" i="1"/>
  <c r="J2637" i="1"/>
  <c r="L2631" i="1"/>
  <c r="K2631" i="1"/>
  <c r="L2630" i="1"/>
  <c r="K2630" i="1"/>
  <c r="L2629" i="1"/>
  <c r="K2629" i="1"/>
  <c r="L2628" i="1"/>
  <c r="K2628" i="1"/>
  <c r="L2627" i="1"/>
  <c r="K2627" i="1"/>
  <c r="J2626" i="1"/>
  <c r="N2624" i="1"/>
  <c r="L2624" i="1"/>
  <c r="K2624" i="1"/>
  <c r="N2623" i="1"/>
  <c r="L2623" i="1"/>
  <c r="K2623" i="1"/>
  <c r="N2622" i="1"/>
  <c r="L2622" i="1"/>
  <c r="K2622" i="1"/>
  <c r="N2621" i="1"/>
  <c r="L2621" i="1"/>
  <c r="K2621" i="1"/>
  <c r="N2620" i="1"/>
  <c r="L2620" i="1"/>
  <c r="K2620" i="1"/>
  <c r="J2619" i="1"/>
  <c r="N2608" i="1"/>
  <c r="L2608" i="1"/>
  <c r="K2608" i="1"/>
  <c r="N2607" i="1"/>
  <c r="L2607" i="1"/>
  <c r="K2607" i="1"/>
  <c r="N2606" i="1"/>
  <c r="L2606" i="1"/>
  <c r="K2606" i="1"/>
  <c r="N2605" i="1"/>
  <c r="L2605" i="1"/>
  <c r="K2605" i="1"/>
  <c r="N2604" i="1"/>
  <c r="L2604" i="1"/>
  <c r="K2604" i="1"/>
  <c r="J2603" i="1"/>
  <c r="P2601" i="1"/>
  <c r="N2601" i="1"/>
  <c r="L2601" i="1"/>
  <c r="K2601" i="1"/>
  <c r="P2600" i="1"/>
  <c r="N2600" i="1"/>
  <c r="L2600" i="1"/>
  <c r="K2600" i="1"/>
  <c r="P2599" i="1"/>
  <c r="N2599" i="1"/>
  <c r="L2599" i="1"/>
  <c r="K2599" i="1"/>
  <c r="P2598" i="1"/>
  <c r="N2598" i="1"/>
  <c r="L2598" i="1"/>
  <c r="K2598" i="1"/>
  <c r="P2597" i="1"/>
  <c r="N2597" i="1"/>
  <c r="L2597" i="1"/>
  <c r="K2597" i="1"/>
  <c r="J2596" i="1"/>
  <c r="L2590" i="1"/>
  <c r="K2590" i="1"/>
  <c r="L2589" i="1"/>
  <c r="K2589" i="1"/>
  <c r="L2588" i="1"/>
  <c r="K2588" i="1"/>
  <c r="L2587" i="1"/>
  <c r="K2587" i="1"/>
  <c r="L2586" i="1"/>
  <c r="K2586" i="1"/>
  <c r="J2585" i="1"/>
  <c r="N2583" i="1"/>
  <c r="L2583" i="1"/>
  <c r="K2583" i="1"/>
  <c r="N2582" i="1"/>
  <c r="L2582" i="1"/>
  <c r="K2582" i="1"/>
  <c r="N2581" i="1"/>
  <c r="L2581" i="1"/>
  <c r="K2581" i="1"/>
  <c r="N2580" i="1"/>
  <c r="L2580" i="1"/>
  <c r="K2580" i="1"/>
  <c r="N2579" i="1"/>
  <c r="L2579" i="1"/>
  <c r="K2579" i="1"/>
  <c r="J2578" i="1"/>
  <c r="L2572" i="1"/>
  <c r="K2572" i="1"/>
  <c r="L2571" i="1"/>
  <c r="K2571" i="1"/>
  <c r="L2570" i="1"/>
  <c r="K2570" i="1"/>
  <c r="L2569" i="1"/>
  <c r="K2569" i="1"/>
  <c r="L2568" i="1"/>
  <c r="K2568" i="1"/>
  <c r="J2567" i="1"/>
  <c r="N2565" i="1"/>
  <c r="L2565" i="1"/>
  <c r="K2565" i="1"/>
  <c r="N2564" i="1"/>
  <c r="L2564" i="1"/>
  <c r="K2564" i="1"/>
  <c r="N2563" i="1"/>
  <c r="L2563" i="1"/>
  <c r="K2563" i="1"/>
  <c r="N2562" i="1"/>
  <c r="L2562" i="1"/>
  <c r="K2562" i="1"/>
  <c r="N2561" i="1"/>
  <c r="L2561" i="1"/>
  <c r="K2561" i="1"/>
  <c r="J2560" i="1"/>
  <c r="L2554" i="1"/>
  <c r="K2554" i="1"/>
  <c r="L2553" i="1"/>
  <c r="K2553" i="1"/>
  <c r="L2552" i="1"/>
  <c r="K2552" i="1"/>
  <c r="L2551" i="1"/>
  <c r="K2551" i="1"/>
  <c r="L2550" i="1"/>
  <c r="K2550" i="1"/>
  <c r="J2549" i="1"/>
  <c r="N2547" i="1"/>
  <c r="L2547" i="1"/>
  <c r="K2547" i="1"/>
  <c r="N2546" i="1"/>
  <c r="L2546" i="1"/>
  <c r="K2546" i="1"/>
  <c r="N2545" i="1"/>
  <c r="L2545" i="1"/>
  <c r="K2545" i="1"/>
  <c r="N2544" i="1"/>
  <c r="L2544" i="1"/>
  <c r="K2544" i="1"/>
  <c r="N2543" i="1"/>
  <c r="L2543" i="1"/>
  <c r="K2543" i="1"/>
  <c r="N2531" i="1"/>
  <c r="L2531" i="1"/>
  <c r="K2531" i="1"/>
  <c r="N2530" i="1"/>
  <c r="L2530" i="1"/>
  <c r="K2530" i="1"/>
  <c r="N2529" i="1"/>
  <c r="L2529" i="1"/>
  <c r="K2529" i="1"/>
  <c r="N2528" i="1"/>
  <c r="L2528" i="1"/>
  <c r="K2528" i="1"/>
  <c r="N2527" i="1"/>
  <c r="L2527" i="1"/>
  <c r="K2527" i="1"/>
  <c r="J2526" i="1"/>
  <c r="P2524" i="1"/>
  <c r="N2524" i="1"/>
  <c r="L2524" i="1"/>
  <c r="K2524" i="1"/>
  <c r="P2523" i="1"/>
  <c r="N2523" i="1"/>
  <c r="L2523" i="1"/>
  <c r="K2523" i="1"/>
  <c r="P2522" i="1"/>
  <c r="N2522" i="1"/>
  <c r="L2522" i="1"/>
  <c r="K2522" i="1"/>
  <c r="P2521" i="1"/>
  <c r="N2521" i="1"/>
  <c r="L2521" i="1"/>
  <c r="K2521" i="1"/>
  <c r="P2520" i="1"/>
  <c r="N2520" i="1"/>
  <c r="L2520" i="1"/>
  <c r="K2520" i="1"/>
  <c r="J2519" i="1"/>
  <c r="J2506" i="1"/>
  <c r="L2511" i="1"/>
  <c r="K2511" i="1"/>
  <c r="L2510" i="1"/>
  <c r="K2510" i="1"/>
  <c r="L2509" i="1"/>
  <c r="K2509" i="1"/>
  <c r="L2508" i="1"/>
  <c r="K2508" i="1"/>
  <c r="L2507" i="1"/>
  <c r="K2507" i="1"/>
  <c r="N2459" i="1"/>
  <c r="L2459" i="1"/>
  <c r="K2459" i="1"/>
  <c r="N2458" i="1"/>
  <c r="L2458" i="1"/>
  <c r="K2458" i="1"/>
  <c r="N2457" i="1"/>
  <c r="L2457" i="1"/>
  <c r="K2457" i="1"/>
  <c r="N2456" i="1"/>
  <c r="L2456" i="1"/>
  <c r="K2456" i="1"/>
  <c r="N2455" i="1"/>
  <c r="L2455" i="1"/>
  <c r="K2455" i="1"/>
  <c r="J2454" i="1"/>
  <c r="P2452" i="1"/>
  <c r="N2452" i="1"/>
  <c r="L2452" i="1"/>
  <c r="K2452" i="1"/>
  <c r="P2451" i="1"/>
  <c r="N2451" i="1"/>
  <c r="L2451" i="1"/>
  <c r="K2451" i="1"/>
  <c r="P2450" i="1"/>
  <c r="N2450" i="1"/>
  <c r="L2450" i="1"/>
  <c r="K2450" i="1"/>
  <c r="P2449" i="1"/>
  <c r="N2449" i="1"/>
  <c r="L2449" i="1"/>
  <c r="K2449" i="1"/>
  <c r="P2448" i="1"/>
  <c r="N2448" i="1"/>
  <c r="L2448" i="1"/>
  <c r="K2448" i="1"/>
  <c r="J2447" i="1"/>
  <c r="N2436" i="1"/>
  <c r="L2436" i="1"/>
  <c r="K2436" i="1"/>
  <c r="N2435" i="1"/>
  <c r="L2435" i="1"/>
  <c r="K2435" i="1"/>
  <c r="N2434" i="1"/>
  <c r="L2434" i="1"/>
  <c r="K2434" i="1"/>
  <c r="N2433" i="1"/>
  <c r="L2433" i="1"/>
  <c r="K2433" i="1"/>
  <c r="N2432" i="1"/>
  <c r="L2432" i="1"/>
  <c r="K2432" i="1"/>
  <c r="J2431" i="1"/>
  <c r="P2429" i="1"/>
  <c r="N2429" i="1"/>
  <c r="L2429" i="1"/>
  <c r="K2429" i="1"/>
  <c r="P2428" i="1"/>
  <c r="N2428" i="1"/>
  <c r="L2428" i="1"/>
  <c r="K2428" i="1"/>
  <c r="P2427" i="1"/>
  <c r="N2427" i="1"/>
  <c r="L2427" i="1"/>
  <c r="K2427" i="1"/>
  <c r="P2426" i="1"/>
  <c r="N2426" i="1"/>
  <c r="L2426" i="1"/>
  <c r="K2426" i="1"/>
  <c r="P2425" i="1"/>
  <c r="N2425" i="1"/>
  <c r="L2425" i="1"/>
  <c r="K2425" i="1"/>
  <c r="J2424" i="1"/>
  <c r="L2500" i="1"/>
  <c r="K2500" i="1"/>
  <c r="L2499" i="1"/>
  <c r="K2499" i="1"/>
  <c r="L2498" i="1"/>
  <c r="K2498" i="1"/>
  <c r="L2497" i="1"/>
  <c r="K2497" i="1"/>
  <c r="L2496" i="1"/>
  <c r="K2496" i="1"/>
  <c r="J2495" i="1"/>
  <c r="N2493" i="1"/>
  <c r="L2493" i="1"/>
  <c r="K2493" i="1"/>
  <c r="N2492" i="1"/>
  <c r="L2492" i="1"/>
  <c r="K2492" i="1"/>
  <c r="N2491" i="1"/>
  <c r="L2491" i="1"/>
  <c r="K2491" i="1"/>
  <c r="N2490" i="1"/>
  <c r="L2490" i="1"/>
  <c r="K2490" i="1"/>
  <c r="N2489" i="1"/>
  <c r="L2489" i="1"/>
  <c r="K2489" i="1"/>
  <c r="J2488" i="1"/>
  <c r="L2482" i="1"/>
  <c r="K2482" i="1"/>
  <c r="L2481" i="1"/>
  <c r="K2481" i="1"/>
  <c r="L2480" i="1"/>
  <c r="K2480" i="1"/>
  <c r="L2479" i="1"/>
  <c r="K2479" i="1"/>
  <c r="L2478" i="1"/>
  <c r="K2478" i="1"/>
  <c r="J2477" i="1"/>
  <c r="N2475" i="1"/>
  <c r="L2475" i="1"/>
  <c r="K2475" i="1"/>
  <c r="N2474" i="1"/>
  <c r="L2474" i="1"/>
  <c r="K2474" i="1"/>
  <c r="N2473" i="1"/>
  <c r="L2473" i="1"/>
  <c r="K2473" i="1"/>
  <c r="N2472" i="1"/>
  <c r="L2472" i="1"/>
  <c r="K2472" i="1"/>
  <c r="N2471" i="1"/>
  <c r="L2471" i="1"/>
  <c r="K2471" i="1"/>
  <c r="J2470" i="1"/>
  <c r="J2408" i="1"/>
  <c r="J2401" i="1"/>
  <c r="N2413" i="1"/>
  <c r="L2413" i="1"/>
  <c r="K2413" i="1"/>
  <c r="N2412" i="1"/>
  <c r="L2412" i="1"/>
  <c r="K2412" i="1"/>
  <c r="N2411" i="1"/>
  <c r="L2411" i="1"/>
  <c r="K2411" i="1"/>
  <c r="N2410" i="1"/>
  <c r="L2410" i="1"/>
  <c r="K2410" i="1"/>
  <c r="N2409" i="1"/>
  <c r="L2409" i="1"/>
  <c r="K2409" i="1"/>
  <c r="P2406" i="1"/>
  <c r="N2406" i="1"/>
  <c r="L2406" i="1"/>
  <c r="K2406" i="1"/>
  <c r="P2405" i="1"/>
  <c r="N2405" i="1"/>
  <c r="L2405" i="1"/>
  <c r="K2405" i="1"/>
  <c r="P2404" i="1"/>
  <c r="N2404" i="1"/>
  <c r="L2404" i="1"/>
  <c r="K2404" i="1"/>
  <c r="P2403" i="1"/>
  <c r="N2403" i="1"/>
  <c r="L2403" i="1"/>
  <c r="K2403" i="1"/>
  <c r="P2402" i="1"/>
  <c r="N2402" i="1"/>
  <c r="L2402" i="1"/>
  <c r="K2402" i="1"/>
  <c r="L2395" i="1"/>
  <c r="K2395" i="1"/>
  <c r="L2394" i="1"/>
  <c r="K2394" i="1"/>
  <c r="L2393" i="1"/>
  <c r="K2393" i="1"/>
  <c r="L2392" i="1"/>
  <c r="K2392" i="1"/>
  <c r="L2391" i="1"/>
  <c r="K2391" i="1"/>
  <c r="J2390" i="1"/>
  <c r="N2388" i="1"/>
  <c r="L2388" i="1"/>
  <c r="K2388" i="1"/>
  <c r="N2387" i="1"/>
  <c r="L2387" i="1"/>
  <c r="K2387" i="1"/>
  <c r="N2386" i="1"/>
  <c r="L2386" i="1"/>
  <c r="K2386" i="1"/>
  <c r="N2385" i="1"/>
  <c r="L2385" i="1"/>
  <c r="K2385" i="1"/>
  <c r="N2384" i="1"/>
  <c r="L2384" i="1"/>
  <c r="K2384" i="1"/>
  <c r="J2383" i="1"/>
  <c r="L2377" i="1"/>
  <c r="K2377" i="1"/>
  <c r="L2376" i="1"/>
  <c r="K2376" i="1"/>
  <c r="L2375" i="1"/>
  <c r="K2375" i="1"/>
  <c r="L2374" i="1"/>
  <c r="K2374" i="1"/>
  <c r="L2373" i="1"/>
  <c r="K2373" i="1"/>
  <c r="J2372" i="1"/>
  <c r="N2370" i="1"/>
  <c r="L2370" i="1"/>
  <c r="K2370" i="1"/>
  <c r="N2369" i="1"/>
  <c r="L2369" i="1"/>
  <c r="K2369" i="1"/>
  <c r="N2368" i="1"/>
  <c r="L2368" i="1"/>
  <c r="K2368" i="1"/>
  <c r="N2367" i="1"/>
  <c r="L2367" i="1"/>
  <c r="K2367" i="1"/>
  <c r="N2366" i="1"/>
  <c r="L2366" i="1"/>
  <c r="K2366" i="1"/>
  <c r="J2365" i="1"/>
  <c r="L2359" i="1"/>
  <c r="K2359" i="1"/>
  <c r="L2358" i="1"/>
  <c r="K2358" i="1"/>
  <c r="L2357" i="1"/>
  <c r="K2357" i="1"/>
  <c r="L2356" i="1"/>
  <c r="K2356" i="1"/>
  <c r="L2355" i="1"/>
  <c r="K2355" i="1"/>
  <c r="J2354" i="1"/>
  <c r="N2352" i="1"/>
  <c r="L2352" i="1"/>
  <c r="K2352" i="1"/>
  <c r="N2351" i="1"/>
  <c r="L2351" i="1"/>
  <c r="K2351" i="1"/>
  <c r="N2350" i="1"/>
  <c r="L2350" i="1"/>
  <c r="K2350" i="1"/>
  <c r="N2349" i="1"/>
  <c r="L2349" i="1"/>
  <c r="K2349" i="1"/>
  <c r="N2348" i="1"/>
  <c r="L2348" i="1"/>
  <c r="K2348" i="1"/>
  <c r="J2347" i="1"/>
  <c r="L2341" i="1"/>
  <c r="K2341" i="1"/>
  <c r="L2340" i="1"/>
  <c r="K2340" i="1"/>
  <c r="L2339" i="1"/>
  <c r="K2339" i="1"/>
  <c r="L2338" i="1"/>
  <c r="K2338" i="1"/>
  <c r="L2337" i="1"/>
  <c r="K2337" i="1"/>
  <c r="J2336" i="1"/>
  <c r="N2334" i="1"/>
  <c r="L2334" i="1"/>
  <c r="K2334" i="1"/>
  <c r="N2333" i="1"/>
  <c r="L2333" i="1"/>
  <c r="K2333" i="1"/>
  <c r="N2332" i="1"/>
  <c r="L2332" i="1"/>
  <c r="K2332" i="1"/>
  <c r="N2331" i="1"/>
  <c r="L2331" i="1"/>
  <c r="K2331" i="1"/>
  <c r="N2330" i="1"/>
  <c r="L2330" i="1"/>
  <c r="K2330" i="1"/>
  <c r="J2329" i="1"/>
  <c r="L2323" i="1"/>
  <c r="K2323" i="1"/>
  <c r="L2322" i="1"/>
  <c r="K2322" i="1"/>
  <c r="L2321" i="1"/>
  <c r="K2321" i="1"/>
  <c r="L2320" i="1"/>
  <c r="K2320" i="1"/>
  <c r="L2319" i="1"/>
  <c r="K2319" i="1"/>
  <c r="J2318" i="1"/>
  <c r="N2316" i="1"/>
  <c r="L2316" i="1"/>
  <c r="K2316" i="1"/>
  <c r="N2315" i="1"/>
  <c r="L2315" i="1"/>
  <c r="K2315" i="1"/>
  <c r="N2314" i="1"/>
  <c r="L2314" i="1"/>
  <c r="K2314" i="1"/>
  <c r="N2313" i="1"/>
  <c r="L2313" i="1"/>
  <c r="K2313" i="1"/>
  <c r="N2312" i="1"/>
  <c r="L2312" i="1"/>
  <c r="K2312" i="1"/>
  <c r="J2311" i="1"/>
  <c r="L2305" i="1"/>
  <c r="K2305" i="1"/>
  <c r="L2304" i="1"/>
  <c r="K2304" i="1"/>
  <c r="L2303" i="1"/>
  <c r="K2303" i="1"/>
  <c r="L2302" i="1"/>
  <c r="K2302" i="1"/>
  <c r="L2301" i="1"/>
  <c r="K2301" i="1"/>
  <c r="J2300" i="1"/>
  <c r="N2298" i="1"/>
  <c r="L2298" i="1"/>
  <c r="K2298" i="1"/>
  <c r="N2297" i="1"/>
  <c r="L2297" i="1"/>
  <c r="K2297" i="1"/>
  <c r="N2296" i="1"/>
  <c r="L2296" i="1"/>
  <c r="K2296" i="1"/>
  <c r="N2295" i="1"/>
  <c r="L2295" i="1"/>
  <c r="K2295" i="1"/>
  <c r="N2294" i="1"/>
  <c r="L2294" i="1"/>
  <c r="K2294" i="1"/>
  <c r="J2293" i="1"/>
  <c r="J2282" i="1"/>
  <c r="J2275" i="1"/>
  <c r="L2287" i="1"/>
  <c r="K2287" i="1"/>
  <c r="L2286" i="1"/>
  <c r="K2286" i="1"/>
  <c r="L2285" i="1"/>
  <c r="K2285" i="1"/>
  <c r="L2284" i="1"/>
  <c r="K2284" i="1"/>
  <c r="L2283" i="1"/>
  <c r="K2283" i="1"/>
  <c r="N2280" i="1"/>
  <c r="L2280" i="1"/>
  <c r="K2280" i="1"/>
  <c r="N2279" i="1"/>
  <c r="L2279" i="1"/>
  <c r="K2279" i="1"/>
  <c r="N2278" i="1"/>
  <c r="L2278" i="1"/>
  <c r="K2278" i="1"/>
  <c r="N2277" i="1"/>
  <c r="L2277" i="1"/>
  <c r="K2277" i="1"/>
  <c r="N2276" i="1"/>
  <c r="L2276" i="1"/>
  <c r="K2276" i="1"/>
  <c r="L2269" i="1"/>
  <c r="K2269" i="1"/>
  <c r="L2268" i="1"/>
  <c r="K2268" i="1"/>
  <c r="L2267" i="1"/>
  <c r="K2267" i="1"/>
  <c r="L2263" i="1"/>
  <c r="K2263" i="1"/>
  <c r="L2262" i="1"/>
  <c r="K2262" i="1"/>
  <c r="L2261" i="1"/>
  <c r="K2261" i="1"/>
  <c r="L2257" i="1"/>
  <c r="K2257" i="1"/>
  <c r="L2256" i="1"/>
  <c r="K2256" i="1"/>
  <c r="L2255" i="1"/>
  <c r="K2255" i="1"/>
  <c r="L2251" i="1"/>
  <c r="K2251" i="1"/>
  <c r="L2250" i="1"/>
  <c r="K2250" i="1"/>
  <c r="L2249" i="1"/>
  <c r="K2249" i="1"/>
  <c r="L2245" i="1"/>
  <c r="K2245" i="1"/>
  <c r="L2244" i="1"/>
  <c r="K2244" i="1"/>
  <c r="L2243" i="1"/>
  <c r="K2243" i="1"/>
  <c r="AJ13" i="2"/>
  <c r="AJ20" i="2"/>
  <c r="L2236" i="1"/>
  <c r="K2236" i="1"/>
  <c r="L2235" i="1"/>
  <c r="K2235" i="1"/>
  <c r="L2234" i="1"/>
  <c r="K2234" i="1"/>
  <c r="L2233" i="1"/>
  <c r="K2233" i="1"/>
  <c r="L2232" i="1"/>
  <c r="K2232" i="1"/>
  <c r="J2231" i="1"/>
  <c r="N2229" i="1"/>
  <c r="L2229" i="1"/>
  <c r="K2229" i="1"/>
  <c r="N2228" i="1"/>
  <c r="L2228" i="1"/>
  <c r="K2228" i="1"/>
  <c r="N2227" i="1"/>
  <c r="L2227" i="1"/>
  <c r="K2227" i="1"/>
  <c r="N2226" i="1"/>
  <c r="L2226" i="1"/>
  <c r="K2226" i="1"/>
  <c r="N2225" i="1"/>
  <c r="L2225" i="1"/>
  <c r="K2225" i="1"/>
  <c r="J2224" i="1"/>
  <c r="L2218" i="1"/>
  <c r="K2218" i="1"/>
  <c r="L2217" i="1"/>
  <c r="K2217" i="1"/>
  <c r="L2216" i="1"/>
  <c r="K2216" i="1"/>
  <c r="L2215" i="1"/>
  <c r="K2215" i="1"/>
  <c r="L2214" i="1"/>
  <c r="K2214" i="1"/>
  <c r="J2213" i="1"/>
  <c r="N2211" i="1"/>
  <c r="L2211" i="1"/>
  <c r="K2211" i="1"/>
  <c r="N2210" i="1"/>
  <c r="L2210" i="1"/>
  <c r="K2210" i="1"/>
  <c r="N2209" i="1"/>
  <c r="L2209" i="1"/>
  <c r="K2209" i="1"/>
  <c r="N2208" i="1"/>
  <c r="L2208" i="1"/>
  <c r="K2208" i="1"/>
  <c r="N2207" i="1"/>
  <c r="L2207" i="1"/>
  <c r="K2207" i="1"/>
  <c r="J2206" i="1"/>
  <c r="L2200" i="1"/>
  <c r="K2200" i="1"/>
  <c r="L2199" i="1"/>
  <c r="K2199" i="1"/>
  <c r="L2198" i="1"/>
  <c r="K2198" i="1"/>
  <c r="L2197" i="1"/>
  <c r="K2197" i="1"/>
  <c r="L2196" i="1"/>
  <c r="K2196" i="1"/>
  <c r="J2195" i="1"/>
  <c r="N2193" i="1"/>
  <c r="L2193" i="1"/>
  <c r="K2193" i="1"/>
  <c r="N2192" i="1"/>
  <c r="L2192" i="1"/>
  <c r="K2192" i="1"/>
  <c r="N2191" i="1"/>
  <c r="L2191" i="1"/>
  <c r="K2191" i="1"/>
  <c r="N2190" i="1"/>
  <c r="L2190" i="1"/>
  <c r="K2190" i="1"/>
  <c r="N2189" i="1"/>
  <c r="L2189" i="1"/>
  <c r="K2189" i="1"/>
  <c r="J2188" i="1"/>
  <c r="L2182" i="1"/>
  <c r="K2182" i="1"/>
  <c r="L2181" i="1"/>
  <c r="K2181" i="1"/>
  <c r="L2180" i="1"/>
  <c r="K2180" i="1"/>
  <c r="L2179" i="1"/>
  <c r="K2179" i="1"/>
  <c r="L2178" i="1"/>
  <c r="K2178" i="1"/>
  <c r="J2177" i="1"/>
  <c r="N2175" i="1"/>
  <c r="L2175" i="1"/>
  <c r="K2175" i="1"/>
  <c r="N2174" i="1"/>
  <c r="L2174" i="1"/>
  <c r="K2174" i="1"/>
  <c r="N2173" i="1"/>
  <c r="L2173" i="1"/>
  <c r="K2173" i="1"/>
  <c r="N2172" i="1"/>
  <c r="L2172" i="1"/>
  <c r="K2172" i="1"/>
  <c r="N2171" i="1"/>
  <c r="L2171" i="1"/>
  <c r="K2171" i="1"/>
  <c r="J2170" i="1"/>
  <c r="J2159" i="1"/>
  <c r="J2152" i="1"/>
  <c r="L2164" i="1"/>
  <c r="K2164" i="1"/>
  <c r="L2163" i="1"/>
  <c r="K2163" i="1"/>
  <c r="L2162" i="1"/>
  <c r="K2162" i="1"/>
  <c r="L2161" i="1"/>
  <c r="K2161" i="1"/>
  <c r="L2160" i="1"/>
  <c r="K2160" i="1"/>
  <c r="N2157" i="1"/>
  <c r="L2157" i="1"/>
  <c r="K2157" i="1"/>
  <c r="N2156" i="1"/>
  <c r="L2156" i="1"/>
  <c r="K2156" i="1"/>
  <c r="N2155" i="1"/>
  <c r="L2155" i="1"/>
  <c r="K2155" i="1"/>
  <c r="N2154" i="1"/>
  <c r="L2154" i="1"/>
  <c r="K2154" i="1"/>
  <c r="N2153" i="1"/>
  <c r="L2153" i="1"/>
  <c r="K2153" i="1"/>
  <c r="N2141" i="1"/>
  <c r="L2141" i="1"/>
  <c r="K2141" i="1"/>
  <c r="N2140" i="1"/>
  <c r="L2140" i="1"/>
  <c r="K2140" i="1"/>
  <c r="N2139" i="1"/>
  <c r="L2139" i="1"/>
  <c r="K2139" i="1"/>
  <c r="N2138" i="1"/>
  <c r="L2138" i="1"/>
  <c r="K2138" i="1"/>
  <c r="N2137" i="1"/>
  <c r="L2137" i="1"/>
  <c r="K2137" i="1"/>
  <c r="P2134" i="1"/>
  <c r="N2134" i="1"/>
  <c r="L2134" i="1"/>
  <c r="K2134" i="1"/>
  <c r="P2133" i="1"/>
  <c r="N2133" i="1"/>
  <c r="L2133" i="1"/>
  <c r="K2133" i="1"/>
  <c r="P2132" i="1"/>
  <c r="N2132" i="1"/>
  <c r="L2132" i="1"/>
  <c r="K2132" i="1"/>
  <c r="P2131" i="1"/>
  <c r="N2131" i="1"/>
  <c r="L2131" i="1"/>
  <c r="K2131" i="1"/>
  <c r="P2130" i="1"/>
  <c r="N2130" i="1"/>
  <c r="L2130" i="1"/>
  <c r="K2130" i="1"/>
  <c r="L2123" i="1"/>
  <c r="K2123" i="1"/>
  <c r="L2122" i="1"/>
  <c r="K2122" i="1"/>
  <c r="L2121" i="1"/>
  <c r="K2121" i="1"/>
  <c r="L2120" i="1"/>
  <c r="K2120" i="1"/>
  <c r="L2119" i="1"/>
  <c r="K2119" i="1"/>
  <c r="N2116" i="1"/>
  <c r="L2116" i="1"/>
  <c r="K2116" i="1"/>
  <c r="N2115" i="1"/>
  <c r="L2115" i="1"/>
  <c r="K2115" i="1"/>
  <c r="N2114" i="1"/>
  <c r="L2114" i="1"/>
  <c r="K2114" i="1"/>
  <c r="N2113" i="1"/>
  <c r="L2113" i="1"/>
  <c r="K2113" i="1"/>
  <c r="N2112" i="1"/>
  <c r="L2112" i="1"/>
  <c r="K2112" i="1"/>
  <c r="L2105" i="1"/>
  <c r="K2105" i="1"/>
  <c r="L2104" i="1"/>
  <c r="K2104" i="1"/>
  <c r="L2103" i="1"/>
  <c r="K2103" i="1"/>
  <c r="L2102" i="1"/>
  <c r="K2102" i="1"/>
  <c r="L2101" i="1"/>
  <c r="K2101" i="1"/>
  <c r="N2098" i="1"/>
  <c r="L2098" i="1"/>
  <c r="K2098" i="1"/>
  <c r="N2097" i="1"/>
  <c r="L2097" i="1"/>
  <c r="K2097" i="1"/>
  <c r="N2096" i="1"/>
  <c r="L2096" i="1"/>
  <c r="K2096" i="1"/>
  <c r="N2095" i="1"/>
  <c r="L2095" i="1"/>
  <c r="K2095" i="1"/>
  <c r="N2094" i="1"/>
  <c r="L2094" i="1"/>
  <c r="K2094" i="1"/>
  <c r="P2075" i="1"/>
  <c r="N2075" i="1"/>
  <c r="L2075" i="1"/>
  <c r="K2075" i="1"/>
  <c r="P2074" i="1"/>
  <c r="N2074" i="1"/>
  <c r="L2074" i="1"/>
  <c r="K2074" i="1"/>
  <c r="P2073" i="1"/>
  <c r="N2073" i="1"/>
  <c r="L2073" i="1"/>
  <c r="K2073" i="1"/>
  <c r="P2072" i="1"/>
  <c r="N2072" i="1"/>
  <c r="L2072" i="1"/>
  <c r="K2072" i="1"/>
  <c r="P2071" i="1"/>
  <c r="N2071" i="1"/>
  <c r="L2071" i="1"/>
  <c r="K2071" i="1"/>
  <c r="P2052" i="1"/>
  <c r="N2052" i="1"/>
  <c r="L2052" i="1"/>
  <c r="K2052" i="1"/>
  <c r="P2051" i="1"/>
  <c r="N2051" i="1"/>
  <c r="L2051" i="1"/>
  <c r="K2051" i="1"/>
  <c r="P2050" i="1"/>
  <c r="N2050" i="1"/>
  <c r="L2050" i="1"/>
  <c r="K2050" i="1"/>
  <c r="P2049" i="1"/>
  <c r="N2049" i="1"/>
  <c r="L2049" i="1"/>
  <c r="K2049" i="1"/>
  <c r="P2048" i="1"/>
  <c r="N2048" i="1"/>
  <c r="L2048" i="1"/>
  <c r="K2048" i="1"/>
  <c r="N2082" i="1"/>
  <c r="L2082" i="1"/>
  <c r="K2082" i="1"/>
  <c r="N2081" i="1"/>
  <c r="L2081" i="1"/>
  <c r="K2081" i="1"/>
  <c r="N2080" i="1"/>
  <c r="L2080" i="1"/>
  <c r="K2080" i="1"/>
  <c r="N2079" i="1"/>
  <c r="L2079" i="1"/>
  <c r="K2079" i="1"/>
  <c r="N2078" i="1"/>
  <c r="L2078" i="1"/>
  <c r="K2078" i="1"/>
  <c r="N2059" i="1"/>
  <c r="L2059" i="1"/>
  <c r="K2059" i="1"/>
  <c r="N2058" i="1"/>
  <c r="L2058" i="1"/>
  <c r="K2058" i="1"/>
  <c r="N2057" i="1"/>
  <c r="L2057" i="1"/>
  <c r="K2057" i="1"/>
  <c r="N2056" i="1"/>
  <c r="L2056" i="1"/>
  <c r="K2056" i="1"/>
  <c r="N2055" i="1"/>
  <c r="L2055" i="1"/>
  <c r="K2055" i="1"/>
  <c r="N2036" i="1"/>
  <c r="L2036" i="1"/>
  <c r="K2036" i="1"/>
  <c r="N2035" i="1"/>
  <c r="L2035" i="1"/>
  <c r="K2035" i="1"/>
  <c r="N2034" i="1"/>
  <c r="L2034" i="1"/>
  <c r="K2034" i="1"/>
  <c r="N2033" i="1"/>
  <c r="L2033" i="1"/>
  <c r="K2033" i="1"/>
  <c r="N2032" i="1"/>
  <c r="L2032" i="1"/>
  <c r="K2032" i="1"/>
  <c r="P2029" i="1"/>
  <c r="N2029" i="1"/>
  <c r="L2029" i="1"/>
  <c r="K2029" i="1"/>
  <c r="P2028" i="1"/>
  <c r="N2028" i="1"/>
  <c r="L2028" i="1"/>
  <c r="K2028" i="1"/>
  <c r="P2027" i="1"/>
  <c r="N2027" i="1"/>
  <c r="L2027" i="1"/>
  <c r="K2027" i="1"/>
  <c r="P2026" i="1"/>
  <c r="N2026" i="1"/>
  <c r="L2026" i="1"/>
  <c r="K2026" i="1"/>
  <c r="P2025" i="1"/>
  <c r="N2025" i="1"/>
  <c r="L2025" i="1"/>
  <c r="K2025" i="1"/>
  <c r="L2016" i="1"/>
  <c r="K2016" i="1"/>
  <c r="L2015" i="1"/>
  <c r="K2015" i="1"/>
  <c r="L2014" i="1"/>
  <c r="K2014" i="1"/>
  <c r="L2013" i="1"/>
  <c r="K2013" i="1"/>
  <c r="L2012" i="1"/>
  <c r="K2012" i="1"/>
  <c r="N1733" i="1"/>
  <c r="L1733" i="1"/>
  <c r="K1733" i="1"/>
  <c r="N1732" i="1"/>
  <c r="L1732" i="1"/>
  <c r="K1732" i="1"/>
  <c r="N1731" i="1"/>
  <c r="L1731" i="1"/>
  <c r="K1731" i="1"/>
  <c r="N1730" i="1"/>
  <c r="L1730" i="1"/>
  <c r="K1730" i="1"/>
  <c r="N1729" i="1"/>
  <c r="L1729" i="1"/>
  <c r="K1729" i="1"/>
  <c r="N1756" i="1"/>
  <c r="L1756" i="1"/>
  <c r="K1756" i="1"/>
  <c r="N1755" i="1"/>
  <c r="L1755" i="1"/>
  <c r="K1755" i="1"/>
  <c r="N1754" i="1"/>
  <c r="L1754" i="1"/>
  <c r="K1754" i="1"/>
  <c r="N1753" i="1"/>
  <c r="L1753" i="1"/>
  <c r="K1753" i="1"/>
  <c r="N1752" i="1"/>
  <c r="L1752" i="1"/>
  <c r="K1752" i="1"/>
  <c r="L1779" i="1"/>
  <c r="K1779" i="1"/>
  <c r="L1778" i="1"/>
  <c r="K1778" i="1"/>
  <c r="L1777" i="1"/>
  <c r="K1777" i="1"/>
  <c r="L1776" i="1"/>
  <c r="K1776" i="1"/>
  <c r="L1775" i="1"/>
  <c r="K1775" i="1"/>
  <c r="L1797" i="1"/>
  <c r="K1797" i="1"/>
  <c r="L1796" i="1"/>
  <c r="K1796" i="1"/>
  <c r="L1795" i="1"/>
  <c r="K1795" i="1"/>
  <c r="L1794" i="1"/>
  <c r="K1794" i="1"/>
  <c r="L1793" i="1"/>
  <c r="K1793" i="1"/>
  <c r="L1815" i="1"/>
  <c r="K1815" i="1"/>
  <c r="L1814" i="1"/>
  <c r="K1814" i="1"/>
  <c r="L1813" i="1"/>
  <c r="K1813" i="1"/>
  <c r="L1812" i="1"/>
  <c r="K1812" i="1"/>
  <c r="L1811" i="1"/>
  <c r="K1811" i="1"/>
  <c r="L1833" i="1"/>
  <c r="K1833" i="1"/>
  <c r="L1832" i="1"/>
  <c r="K1832" i="1"/>
  <c r="L1831" i="1"/>
  <c r="K1831" i="1"/>
  <c r="L1830" i="1"/>
  <c r="K1830" i="1"/>
  <c r="L1829" i="1"/>
  <c r="K1829" i="1"/>
  <c r="N1946" i="1"/>
  <c r="L1946" i="1"/>
  <c r="K1946" i="1"/>
  <c r="N1945" i="1"/>
  <c r="L1945" i="1"/>
  <c r="K1945" i="1"/>
  <c r="N1944" i="1"/>
  <c r="L1944" i="1"/>
  <c r="K1944" i="1"/>
  <c r="N1943" i="1"/>
  <c r="L1943" i="1"/>
  <c r="K1943" i="1"/>
  <c r="N1942" i="1"/>
  <c r="L1942" i="1"/>
  <c r="K1942" i="1"/>
  <c r="K1851" i="1"/>
  <c r="K1850" i="1"/>
  <c r="K1849" i="1"/>
  <c r="K1848" i="1"/>
  <c r="N1851" i="1"/>
  <c r="N1850" i="1"/>
  <c r="N1849" i="1"/>
  <c r="N1848" i="1"/>
  <c r="N1847" i="1"/>
  <c r="L1851" i="1"/>
  <c r="L1850" i="1"/>
  <c r="L1849" i="1"/>
  <c r="L1848" i="1"/>
  <c r="L1847" i="1"/>
  <c r="K1847" i="1"/>
  <c r="L1874" i="1"/>
  <c r="K1874" i="1"/>
  <c r="L1873" i="1"/>
  <c r="K1873" i="1"/>
  <c r="L1872" i="1"/>
  <c r="K1872" i="1"/>
  <c r="L1871" i="1"/>
  <c r="K1871" i="1"/>
  <c r="L1870" i="1"/>
  <c r="K1870" i="1"/>
  <c r="L1892" i="1"/>
  <c r="K1892" i="1"/>
  <c r="L1891" i="1"/>
  <c r="K1891" i="1"/>
  <c r="L1890" i="1"/>
  <c r="K1890" i="1"/>
  <c r="L1889" i="1"/>
  <c r="K1889" i="1"/>
  <c r="L1888" i="1"/>
  <c r="K1888" i="1"/>
  <c r="L1910" i="1"/>
  <c r="K1910" i="1"/>
  <c r="L1909" i="1"/>
  <c r="K1909" i="1"/>
  <c r="L1908" i="1"/>
  <c r="K1908" i="1"/>
  <c r="L1907" i="1"/>
  <c r="K1907" i="1"/>
  <c r="L1906" i="1"/>
  <c r="K1906" i="1"/>
  <c r="L1928" i="1"/>
  <c r="K1928" i="1"/>
  <c r="L1927" i="1"/>
  <c r="K1927" i="1"/>
  <c r="L1926" i="1"/>
  <c r="K1926" i="1"/>
  <c r="L1925" i="1"/>
  <c r="K1925" i="1"/>
  <c r="L1924" i="1"/>
  <c r="K1924" i="1"/>
  <c r="L1969" i="1"/>
  <c r="K1969" i="1"/>
  <c r="L1968" i="1"/>
  <c r="K1968" i="1"/>
  <c r="L1967" i="1"/>
  <c r="K1967" i="1"/>
  <c r="L1966" i="1"/>
  <c r="K1966" i="1"/>
  <c r="L1965" i="1"/>
  <c r="K1965" i="1"/>
  <c r="L1987" i="1"/>
  <c r="K1987" i="1"/>
  <c r="L1986" i="1"/>
  <c r="K1986" i="1"/>
  <c r="L1985" i="1"/>
  <c r="K1985" i="1"/>
  <c r="L1984" i="1"/>
  <c r="K1984" i="1"/>
  <c r="L1983" i="1"/>
  <c r="K1983" i="1"/>
  <c r="L2005" i="1"/>
  <c r="L2004" i="1"/>
  <c r="L2003" i="1"/>
  <c r="L2002" i="1"/>
  <c r="K2005" i="1"/>
  <c r="K2004" i="1"/>
  <c r="K2003" i="1"/>
  <c r="K2002" i="1"/>
  <c r="L2001" i="1"/>
  <c r="K2001" i="1"/>
  <c r="N1998" i="1"/>
  <c r="L1998" i="1"/>
  <c r="K1998" i="1"/>
  <c r="N1997" i="1"/>
  <c r="L1997" i="1"/>
  <c r="K1997" i="1"/>
  <c r="N1996" i="1"/>
  <c r="L1996" i="1"/>
  <c r="K1996" i="1"/>
  <c r="N1995" i="1"/>
  <c r="L1995" i="1"/>
  <c r="K1995" i="1"/>
  <c r="N1994" i="1"/>
  <c r="L1994" i="1"/>
  <c r="K1994" i="1"/>
  <c r="N1980" i="1"/>
  <c r="L1980" i="1"/>
  <c r="K1980" i="1"/>
  <c r="N1979" i="1"/>
  <c r="L1979" i="1"/>
  <c r="K1979" i="1"/>
  <c r="N1978" i="1"/>
  <c r="L1978" i="1"/>
  <c r="K1978" i="1"/>
  <c r="N1977" i="1"/>
  <c r="L1977" i="1"/>
  <c r="K1977" i="1"/>
  <c r="N1976" i="1"/>
  <c r="L1976" i="1"/>
  <c r="K1976" i="1"/>
  <c r="N1962" i="1"/>
  <c r="L1962" i="1"/>
  <c r="K1962" i="1"/>
  <c r="N1961" i="1"/>
  <c r="L1961" i="1"/>
  <c r="K1961" i="1"/>
  <c r="N1960" i="1"/>
  <c r="L1960" i="1"/>
  <c r="K1960" i="1"/>
  <c r="N1959" i="1"/>
  <c r="L1959" i="1"/>
  <c r="K1959" i="1"/>
  <c r="N1958" i="1"/>
  <c r="L1958" i="1"/>
  <c r="K1958" i="1"/>
  <c r="P1939" i="1"/>
  <c r="N1939" i="1"/>
  <c r="L1939" i="1"/>
  <c r="K1939" i="1"/>
  <c r="P1938" i="1"/>
  <c r="N1938" i="1"/>
  <c r="L1938" i="1"/>
  <c r="K1938" i="1"/>
  <c r="P1937" i="1"/>
  <c r="N1937" i="1"/>
  <c r="L1937" i="1"/>
  <c r="K1937" i="1"/>
  <c r="P1936" i="1"/>
  <c r="N1936" i="1"/>
  <c r="L1936" i="1"/>
  <c r="K1936" i="1"/>
  <c r="P1935" i="1"/>
  <c r="N1935" i="1"/>
  <c r="L1935" i="1"/>
  <c r="K1935" i="1"/>
  <c r="N1921" i="1"/>
  <c r="L1921" i="1"/>
  <c r="K1921" i="1"/>
  <c r="N1920" i="1"/>
  <c r="L1920" i="1"/>
  <c r="K1920" i="1"/>
  <c r="N1919" i="1"/>
  <c r="L1919" i="1"/>
  <c r="K1919" i="1"/>
  <c r="N1918" i="1"/>
  <c r="L1918" i="1"/>
  <c r="K1918" i="1"/>
  <c r="N1917" i="1"/>
  <c r="L1917" i="1"/>
  <c r="K1917" i="1"/>
  <c r="N1903" i="1"/>
  <c r="L1903" i="1"/>
  <c r="K1903" i="1"/>
  <c r="N1902" i="1"/>
  <c r="L1902" i="1"/>
  <c r="K1902" i="1"/>
  <c r="N1901" i="1"/>
  <c r="L1901" i="1"/>
  <c r="K1901" i="1"/>
  <c r="N1900" i="1"/>
  <c r="L1900" i="1"/>
  <c r="K1900" i="1"/>
  <c r="N1899" i="1"/>
  <c r="L1899" i="1"/>
  <c r="K1899" i="1"/>
  <c r="N1885" i="1"/>
  <c r="L1885" i="1"/>
  <c r="K1885" i="1"/>
  <c r="N1884" i="1"/>
  <c r="L1884" i="1"/>
  <c r="K1884" i="1"/>
  <c r="N1883" i="1"/>
  <c r="L1883" i="1"/>
  <c r="K1883" i="1"/>
  <c r="N1882" i="1"/>
  <c r="L1882" i="1"/>
  <c r="K1882" i="1"/>
  <c r="N1881" i="1"/>
  <c r="L1881" i="1"/>
  <c r="K1881" i="1"/>
  <c r="N1867" i="1"/>
  <c r="L1867" i="1"/>
  <c r="K1867" i="1"/>
  <c r="N1866" i="1"/>
  <c r="L1866" i="1"/>
  <c r="K1866" i="1"/>
  <c r="N1865" i="1"/>
  <c r="L1865" i="1"/>
  <c r="K1865" i="1"/>
  <c r="N1864" i="1"/>
  <c r="L1864" i="1"/>
  <c r="K1864" i="1"/>
  <c r="N1863" i="1"/>
  <c r="L1863" i="1"/>
  <c r="K1863" i="1"/>
  <c r="P1844" i="1"/>
  <c r="N1844" i="1"/>
  <c r="L1844" i="1"/>
  <c r="K1844" i="1"/>
  <c r="P1843" i="1"/>
  <c r="N1843" i="1"/>
  <c r="L1843" i="1"/>
  <c r="K1843" i="1"/>
  <c r="P1842" i="1"/>
  <c r="N1842" i="1"/>
  <c r="L1842" i="1"/>
  <c r="K1842" i="1"/>
  <c r="P1841" i="1"/>
  <c r="N1841" i="1"/>
  <c r="L1841" i="1"/>
  <c r="K1841" i="1"/>
  <c r="P1840" i="1"/>
  <c r="N1840" i="1"/>
  <c r="L1840" i="1"/>
  <c r="K1840" i="1"/>
  <c r="N1826" i="1"/>
  <c r="L1826" i="1"/>
  <c r="K1826" i="1"/>
  <c r="N1825" i="1"/>
  <c r="L1825" i="1"/>
  <c r="K1825" i="1"/>
  <c r="N1824" i="1"/>
  <c r="L1824" i="1"/>
  <c r="K1824" i="1"/>
  <c r="N1823" i="1"/>
  <c r="L1823" i="1"/>
  <c r="K1823" i="1"/>
  <c r="N1822" i="1"/>
  <c r="L1822" i="1"/>
  <c r="K1822" i="1"/>
  <c r="N1808" i="1"/>
  <c r="L1808" i="1"/>
  <c r="K1808" i="1"/>
  <c r="N1807" i="1"/>
  <c r="L1807" i="1"/>
  <c r="K1807" i="1"/>
  <c r="N1806" i="1"/>
  <c r="L1806" i="1"/>
  <c r="K1806" i="1"/>
  <c r="N1805" i="1"/>
  <c r="L1805" i="1"/>
  <c r="K1805" i="1"/>
  <c r="N1804" i="1"/>
  <c r="L1804" i="1"/>
  <c r="K1804" i="1"/>
  <c r="N1790" i="1"/>
  <c r="L1790" i="1"/>
  <c r="K1790" i="1"/>
  <c r="N1789" i="1"/>
  <c r="L1789" i="1"/>
  <c r="K1789" i="1"/>
  <c r="N1788" i="1"/>
  <c r="L1788" i="1"/>
  <c r="K1788" i="1"/>
  <c r="N1787" i="1"/>
  <c r="L1787" i="1"/>
  <c r="K1787" i="1"/>
  <c r="N1786" i="1"/>
  <c r="L1786" i="1"/>
  <c r="K1786" i="1"/>
  <c r="N1772" i="1"/>
  <c r="L1772" i="1"/>
  <c r="K1772" i="1"/>
  <c r="N1771" i="1"/>
  <c r="L1771" i="1"/>
  <c r="K1771" i="1"/>
  <c r="N1770" i="1"/>
  <c r="L1770" i="1"/>
  <c r="K1770" i="1"/>
  <c r="N1769" i="1"/>
  <c r="L1769" i="1"/>
  <c r="K1769" i="1"/>
  <c r="N1768" i="1"/>
  <c r="L1768" i="1"/>
  <c r="K1768" i="1"/>
  <c r="P1749" i="1"/>
  <c r="N1749" i="1"/>
  <c r="L1749" i="1"/>
  <c r="K1749" i="1"/>
  <c r="P1748" i="1"/>
  <c r="N1748" i="1"/>
  <c r="L1748" i="1"/>
  <c r="K1748" i="1"/>
  <c r="P1747" i="1"/>
  <c r="N1747" i="1"/>
  <c r="L1747" i="1"/>
  <c r="K1747" i="1"/>
  <c r="P1746" i="1"/>
  <c r="N1746" i="1"/>
  <c r="L1746" i="1"/>
  <c r="K1746" i="1"/>
  <c r="P1745" i="1"/>
  <c r="N1745" i="1"/>
  <c r="L1745" i="1"/>
  <c r="K1745" i="1"/>
  <c r="P1726" i="1"/>
  <c r="N1726" i="1"/>
  <c r="L1726" i="1"/>
  <c r="K1726" i="1"/>
  <c r="P1725" i="1"/>
  <c r="N1725" i="1"/>
  <c r="L1725" i="1"/>
  <c r="K1725" i="1"/>
  <c r="P1724" i="1"/>
  <c r="N1724" i="1"/>
  <c r="L1724" i="1"/>
  <c r="K1724" i="1"/>
  <c r="P1723" i="1"/>
  <c r="N1723" i="1"/>
  <c r="L1723" i="1"/>
  <c r="K1723" i="1"/>
  <c r="P1722" i="1"/>
  <c r="N1722" i="1"/>
  <c r="L1722" i="1"/>
  <c r="K1722" i="1"/>
  <c r="N1708" i="1"/>
  <c r="L1708" i="1"/>
  <c r="K1708" i="1"/>
  <c r="N1707" i="1"/>
  <c r="L1707" i="1"/>
  <c r="K1707" i="1"/>
  <c r="N1706" i="1"/>
  <c r="L1706" i="1"/>
  <c r="K1706" i="1"/>
  <c r="N1705" i="1"/>
  <c r="L1705" i="1"/>
  <c r="K1705" i="1"/>
  <c r="N1704" i="1"/>
  <c r="L1704" i="1"/>
  <c r="K1704" i="1"/>
  <c r="N1690" i="1"/>
  <c r="L1690" i="1"/>
  <c r="K1690" i="1"/>
  <c r="N1689" i="1"/>
  <c r="L1689" i="1"/>
  <c r="K1689" i="1"/>
  <c r="N1688" i="1"/>
  <c r="L1688" i="1"/>
  <c r="K1688" i="1"/>
  <c r="N1687" i="1"/>
  <c r="L1687" i="1"/>
  <c r="K1687" i="1"/>
  <c r="N1686" i="1"/>
  <c r="L1686" i="1"/>
  <c r="K1686" i="1"/>
  <c r="N1672" i="1"/>
  <c r="L1672" i="1"/>
  <c r="K1672" i="1"/>
  <c r="N1671" i="1"/>
  <c r="L1671" i="1"/>
  <c r="K1671" i="1"/>
  <c r="N1670" i="1"/>
  <c r="L1670" i="1"/>
  <c r="K1670" i="1"/>
  <c r="N1669" i="1"/>
  <c r="L1669" i="1"/>
  <c r="K1669" i="1"/>
  <c r="N1668" i="1"/>
  <c r="L1668" i="1"/>
  <c r="K1668" i="1"/>
  <c r="N1654" i="1"/>
  <c r="L1654" i="1"/>
  <c r="K1654" i="1"/>
  <c r="N1653" i="1"/>
  <c r="L1653" i="1"/>
  <c r="K1653" i="1"/>
  <c r="N1652" i="1"/>
  <c r="L1652" i="1"/>
  <c r="K1652" i="1"/>
  <c r="N1651" i="1"/>
  <c r="L1651" i="1"/>
  <c r="K1651" i="1"/>
  <c r="N1650" i="1"/>
  <c r="L1650" i="1"/>
  <c r="K1650" i="1"/>
  <c r="N1636" i="1"/>
  <c r="L1636" i="1"/>
  <c r="K1636" i="1"/>
  <c r="N1635" i="1"/>
  <c r="L1635" i="1"/>
  <c r="K1635" i="1"/>
  <c r="N1634" i="1"/>
  <c r="L1634" i="1"/>
  <c r="K1634" i="1"/>
  <c r="N1633" i="1"/>
  <c r="L1633" i="1"/>
  <c r="K1633" i="1"/>
  <c r="N1632" i="1"/>
  <c r="L1632" i="1"/>
  <c r="K1632" i="1"/>
  <c r="AA39" i="2"/>
  <c r="L1438" i="1"/>
  <c r="K1438" i="1"/>
  <c r="N1592" i="1"/>
  <c r="L1592" i="1"/>
  <c r="K1592" i="1"/>
  <c r="N1591" i="1"/>
  <c r="L1591" i="1"/>
  <c r="K1591" i="1"/>
  <c r="N1590" i="1"/>
  <c r="L1590" i="1"/>
  <c r="K1590" i="1"/>
  <c r="N1589" i="1"/>
  <c r="L1589" i="1"/>
  <c r="K1589" i="1"/>
  <c r="N1588" i="1"/>
  <c r="L1588" i="1"/>
  <c r="K1588" i="1"/>
  <c r="K1510" i="1"/>
  <c r="N1574" i="1"/>
  <c r="L1574" i="1"/>
  <c r="K1574" i="1"/>
  <c r="N1573" i="1"/>
  <c r="L1573" i="1"/>
  <c r="K1573" i="1"/>
  <c r="N1572" i="1"/>
  <c r="L1572" i="1"/>
  <c r="K1572" i="1"/>
  <c r="N1571" i="1"/>
  <c r="L1571" i="1"/>
  <c r="K1571" i="1"/>
  <c r="N1570" i="1"/>
  <c r="L1570" i="1"/>
  <c r="K1570" i="1"/>
  <c r="N1556" i="1"/>
  <c r="L1556" i="1"/>
  <c r="K1556" i="1"/>
  <c r="N1555" i="1"/>
  <c r="L1555" i="1"/>
  <c r="K1555" i="1"/>
  <c r="N1554" i="1"/>
  <c r="L1554" i="1"/>
  <c r="K1554" i="1"/>
  <c r="N1553" i="1"/>
  <c r="L1553" i="1"/>
  <c r="K1553" i="1"/>
  <c r="N1552" i="1"/>
  <c r="L1552" i="1"/>
  <c r="K1552" i="1"/>
  <c r="L1538" i="1"/>
  <c r="K1538" i="1"/>
  <c r="L1537" i="1"/>
  <c r="K1537" i="1"/>
  <c r="K1536" i="1"/>
  <c r="L1536" i="1"/>
  <c r="L1535" i="1"/>
  <c r="K1535" i="1"/>
  <c r="L1534" i="1"/>
  <c r="K1534" i="1"/>
  <c r="L1533" i="1"/>
  <c r="K1533" i="1"/>
  <c r="L1532" i="1"/>
  <c r="L1531" i="1"/>
  <c r="K1532" i="1"/>
  <c r="K1531" i="1"/>
  <c r="L1530" i="1"/>
  <c r="K1530" i="1"/>
  <c r="L1529" i="1"/>
  <c r="K1529" i="1"/>
  <c r="P1510" i="1"/>
  <c r="N1510" i="1"/>
  <c r="L1510" i="1"/>
  <c r="P1509" i="1"/>
  <c r="N1509" i="1"/>
  <c r="L1509" i="1"/>
  <c r="K1509" i="1"/>
  <c r="P1508" i="1"/>
  <c r="N1508" i="1"/>
  <c r="L1508" i="1"/>
  <c r="K1508" i="1"/>
  <c r="P1507" i="1"/>
  <c r="N1507" i="1"/>
  <c r="L1507" i="1"/>
  <c r="K1507" i="1"/>
  <c r="P1506" i="1"/>
  <c r="N1506" i="1"/>
  <c r="L1506" i="1"/>
  <c r="K1506" i="1"/>
  <c r="P1487" i="1"/>
  <c r="N1487" i="1"/>
  <c r="L1487" i="1"/>
  <c r="K1487" i="1"/>
  <c r="P1486" i="1"/>
  <c r="N1486" i="1"/>
  <c r="L1486" i="1"/>
  <c r="K1486" i="1"/>
  <c r="P1485" i="1"/>
  <c r="N1485" i="1"/>
  <c r="L1485" i="1"/>
  <c r="K1485" i="1"/>
  <c r="P1484" i="1"/>
  <c r="N1484" i="1"/>
  <c r="L1484" i="1"/>
  <c r="K1484" i="1"/>
  <c r="P1483" i="1"/>
  <c r="N1483" i="1"/>
  <c r="L1483" i="1"/>
  <c r="K1483" i="1"/>
  <c r="N1469" i="1"/>
  <c r="L1469" i="1"/>
  <c r="K1469" i="1"/>
  <c r="N1468" i="1"/>
  <c r="L1468" i="1"/>
  <c r="K1468" i="1"/>
  <c r="N1467" i="1"/>
  <c r="L1467" i="1"/>
  <c r="K1467" i="1"/>
  <c r="N1466" i="1"/>
  <c r="L1466" i="1"/>
  <c r="K1466" i="1"/>
  <c r="N1465" i="1"/>
  <c r="L1465" i="1"/>
  <c r="K1465" i="1"/>
  <c r="N1451" i="1"/>
  <c r="L1451" i="1"/>
  <c r="K1451" i="1"/>
  <c r="N1450" i="1"/>
  <c r="L1450" i="1"/>
  <c r="K1450" i="1"/>
  <c r="N1449" i="1"/>
  <c r="L1449" i="1"/>
  <c r="K1449" i="1"/>
  <c r="N1448" i="1"/>
  <c r="L1448" i="1"/>
  <c r="K1448" i="1"/>
  <c r="N1447" i="1"/>
  <c r="L1447" i="1"/>
  <c r="K1447" i="1"/>
  <c r="L1437" i="1"/>
  <c r="K1437" i="1"/>
  <c r="L1436" i="1"/>
  <c r="K1436" i="1"/>
  <c r="L1435" i="1"/>
  <c r="K1435" i="1"/>
  <c r="L1434" i="1"/>
  <c r="K1434" i="1"/>
  <c r="N1420" i="1"/>
  <c r="L1420" i="1"/>
  <c r="K1420" i="1"/>
  <c r="N1419" i="1"/>
  <c r="L1419" i="1"/>
  <c r="K1419" i="1"/>
  <c r="N1418" i="1"/>
  <c r="L1418" i="1"/>
  <c r="K1418" i="1"/>
  <c r="N1417" i="1"/>
  <c r="L1417" i="1"/>
  <c r="K1417" i="1"/>
  <c r="N1416" i="1"/>
  <c r="L1416" i="1"/>
  <c r="K1416" i="1"/>
  <c r="N1402" i="1"/>
  <c r="L1402" i="1"/>
  <c r="K1402" i="1"/>
  <c r="N1401" i="1"/>
  <c r="L1401" i="1"/>
  <c r="K1401" i="1"/>
  <c r="N1400" i="1"/>
  <c r="L1400" i="1"/>
  <c r="K1400" i="1"/>
  <c r="N1399" i="1"/>
  <c r="L1399" i="1"/>
  <c r="K1399" i="1"/>
  <c r="N1398" i="1"/>
  <c r="L1398" i="1"/>
  <c r="K1398" i="1"/>
  <c r="N1384" i="1"/>
  <c r="L1384" i="1"/>
  <c r="K1384" i="1"/>
  <c r="N1383" i="1"/>
  <c r="L1383" i="1"/>
  <c r="K1383" i="1"/>
  <c r="N1382" i="1"/>
  <c r="L1382" i="1"/>
  <c r="K1382" i="1"/>
  <c r="N1381" i="1"/>
  <c r="L1381" i="1"/>
  <c r="K1381" i="1"/>
  <c r="N1380" i="1"/>
  <c r="L1380" i="1"/>
  <c r="K1380" i="1"/>
  <c r="N1366" i="1"/>
  <c r="L1366" i="1"/>
  <c r="K1366" i="1"/>
  <c r="N1365" i="1"/>
  <c r="L1365" i="1"/>
  <c r="K1365" i="1"/>
  <c r="N1364" i="1"/>
  <c r="L1364" i="1"/>
  <c r="K1364" i="1"/>
  <c r="N1363" i="1"/>
  <c r="L1363" i="1"/>
  <c r="K1363" i="1"/>
  <c r="N1362" i="1"/>
  <c r="L1362" i="1"/>
  <c r="K1362" i="1"/>
  <c r="N1348" i="1"/>
  <c r="L1348" i="1"/>
  <c r="K1348" i="1"/>
  <c r="N1347" i="1"/>
  <c r="L1347" i="1"/>
  <c r="K1347" i="1"/>
  <c r="N1346" i="1"/>
  <c r="L1346" i="1"/>
  <c r="K1346" i="1"/>
  <c r="N1345" i="1"/>
  <c r="L1345" i="1"/>
  <c r="K1345" i="1"/>
  <c r="N1344" i="1"/>
  <c r="L1344" i="1"/>
  <c r="K1344" i="1"/>
  <c r="N1330" i="1"/>
  <c r="L1330" i="1"/>
  <c r="K1330" i="1"/>
  <c r="N1329" i="1"/>
  <c r="L1329" i="1"/>
  <c r="K1329" i="1"/>
  <c r="N1328" i="1"/>
  <c r="L1328" i="1"/>
  <c r="K1328" i="1"/>
  <c r="N1327" i="1"/>
  <c r="L1327" i="1"/>
  <c r="K1327" i="1"/>
  <c r="N1326" i="1"/>
  <c r="L1326" i="1"/>
  <c r="K1326" i="1"/>
  <c r="N1312" i="1"/>
  <c r="L1312" i="1"/>
  <c r="K1312" i="1"/>
  <c r="N1311" i="1"/>
  <c r="L1311" i="1"/>
  <c r="K1311" i="1"/>
  <c r="N1310" i="1"/>
  <c r="L1310" i="1"/>
  <c r="K1310" i="1"/>
  <c r="N1309" i="1"/>
  <c r="L1309" i="1"/>
  <c r="K1309" i="1"/>
  <c r="N1308" i="1"/>
  <c r="L1308" i="1"/>
  <c r="K1308" i="1"/>
  <c r="L1295" i="1"/>
  <c r="L1299" i="1"/>
  <c r="K1299" i="1"/>
  <c r="K1295" i="1"/>
  <c r="L1298" i="1"/>
  <c r="K1298" i="1"/>
  <c r="L1297" i="1"/>
  <c r="K1297" i="1"/>
  <c r="L1296" i="1"/>
  <c r="K1296" i="1"/>
  <c r="N1281" i="1"/>
  <c r="L1281" i="1"/>
  <c r="K1281" i="1"/>
  <c r="N1280" i="1"/>
  <c r="L1280" i="1"/>
  <c r="K1280" i="1"/>
  <c r="N1279" i="1"/>
  <c r="L1279" i="1"/>
  <c r="K1279" i="1"/>
  <c r="N1278" i="1"/>
  <c r="L1278" i="1"/>
  <c r="K1278" i="1"/>
  <c r="N1277" i="1"/>
  <c r="L1277" i="1"/>
  <c r="K1277" i="1"/>
  <c r="N1263" i="1"/>
  <c r="L1263" i="1"/>
  <c r="K1263" i="1"/>
  <c r="N1262" i="1"/>
  <c r="L1262" i="1"/>
  <c r="K1262" i="1"/>
  <c r="N1261" i="1"/>
  <c r="L1261" i="1"/>
  <c r="K1261" i="1"/>
  <c r="N1260" i="1"/>
  <c r="L1260" i="1"/>
  <c r="K1260" i="1"/>
  <c r="N1259" i="1"/>
  <c r="L1259" i="1"/>
  <c r="K1259" i="1"/>
  <c r="N1245" i="1"/>
  <c r="L1245" i="1"/>
  <c r="K1245" i="1"/>
  <c r="N1244" i="1"/>
  <c r="L1244" i="1"/>
  <c r="K1244" i="1"/>
  <c r="N1243" i="1"/>
  <c r="L1243" i="1"/>
  <c r="K1243" i="1"/>
  <c r="N1242" i="1"/>
  <c r="L1242" i="1"/>
  <c r="K1242" i="1"/>
  <c r="N1241" i="1"/>
  <c r="L1241" i="1"/>
  <c r="K1241" i="1"/>
  <c r="K1232" i="1"/>
  <c r="L1232" i="1"/>
  <c r="L1231" i="1"/>
  <c r="L1230" i="1"/>
  <c r="L1229" i="1"/>
  <c r="L1228" i="1"/>
  <c r="K1230" i="1"/>
  <c r="K1231" i="1"/>
  <c r="K1229" i="1"/>
  <c r="K1228" i="1"/>
  <c r="N1214" i="1"/>
  <c r="L1214" i="1"/>
  <c r="K1214" i="1"/>
  <c r="N1213" i="1"/>
  <c r="L1213" i="1"/>
  <c r="K1213" i="1"/>
  <c r="N1212" i="1"/>
  <c r="L1212" i="1"/>
  <c r="K1212" i="1"/>
  <c r="N1211" i="1"/>
  <c r="L1211" i="1"/>
  <c r="K1211" i="1"/>
  <c r="N1210" i="1"/>
  <c r="L1210" i="1"/>
  <c r="K1210" i="1"/>
  <c r="P1191" i="1"/>
  <c r="N1191" i="1"/>
  <c r="L1191" i="1"/>
  <c r="K1191" i="1"/>
  <c r="P1190" i="1"/>
  <c r="N1190" i="1"/>
  <c r="L1190" i="1"/>
  <c r="K1190" i="1"/>
  <c r="P1189" i="1"/>
  <c r="N1189" i="1"/>
  <c r="L1189" i="1"/>
  <c r="K1189" i="1"/>
  <c r="P1188" i="1"/>
  <c r="N1188" i="1"/>
  <c r="L1188" i="1"/>
  <c r="K1188" i="1"/>
  <c r="P1187" i="1"/>
  <c r="N1187" i="1"/>
  <c r="L1187" i="1"/>
  <c r="K1187" i="1"/>
  <c r="P1168" i="1"/>
  <c r="N1168" i="1"/>
  <c r="L1168" i="1"/>
  <c r="K1168" i="1"/>
  <c r="P1167" i="1"/>
  <c r="N1167" i="1"/>
  <c r="L1167" i="1"/>
  <c r="K1167" i="1"/>
  <c r="P1166" i="1"/>
  <c r="N1166" i="1"/>
  <c r="L1166" i="1"/>
  <c r="K1166" i="1"/>
  <c r="P1165" i="1"/>
  <c r="N1165" i="1"/>
  <c r="L1165" i="1"/>
  <c r="K1165" i="1"/>
  <c r="P1164" i="1"/>
  <c r="N1164" i="1"/>
  <c r="L1164" i="1"/>
  <c r="K1164" i="1"/>
  <c r="P1145" i="1"/>
  <c r="N1145" i="1"/>
  <c r="N1144" i="1"/>
  <c r="L1145" i="1"/>
  <c r="K1145" i="1"/>
  <c r="P1144" i="1"/>
  <c r="L1144" i="1"/>
  <c r="K1144" i="1"/>
  <c r="P1143" i="1"/>
  <c r="N1143" i="1"/>
  <c r="L1143" i="1"/>
  <c r="K1143" i="1"/>
  <c r="P1142" i="1"/>
  <c r="N1142" i="1"/>
  <c r="L1142" i="1"/>
  <c r="K1142" i="1"/>
  <c r="P1141" i="1"/>
  <c r="N1141" i="1"/>
  <c r="L1141" i="1"/>
  <c r="K1141" i="1"/>
  <c r="N1127" i="1"/>
  <c r="L1127" i="1"/>
  <c r="K1127" i="1"/>
  <c r="N1126" i="1"/>
  <c r="L1126" i="1"/>
  <c r="K1126" i="1"/>
  <c r="N1125" i="1"/>
  <c r="L1125" i="1"/>
  <c r="K1125" i="1"/>
  <c r="N1124" i="1"/>
  <c r="L1124" i="1"/>
  <c r="K1124" i="1"/>
  <c r="N1123" i="1"/>
  <c r="L1123" i="1"/>
  <c r="K1123" i="1"/>
  <c r="N1109" i="1"/>
  <c r="L1109" i="1"/>
  <c r="K1109" i="1"/>
  <c r="N1108" i="1"/>
  <c r="L1108" i="1"/>
  <c r="K1108" i="1"/>
  <c r="N1107" i="1"/>
  <c r="L1107" i="1"/>
  <c r="K1107" i="1"/>
  <c r="N1106" i="1"/>
  <c r="L1106" i="1"/>
  <c r="K1106" i="1"/>
  <c r="N1105" i="1"/>
  <c r="L1105" i="1"/>
  <c r="K1105" i="1"/>
  <c r="N1091" i="1"/>
  <c r="L1091" i="1"/>
  <c r="K1091" i="1"/>
  <c r="N1090" i="1"/>
  <c r="L1090" i="1"/>
  <c r="K1090" i="1"/>
  <c r="N1089" i="1"/>
  <c r="L1089" i="1"/>
  <c r="K1089" i="1"/>
  <c r="N1088" i="1"/>
  <c r="L1088" i="1"/>
  <c r="K1088" i="1"/>
  <c r="N1087" i="1"/>
  <c r="L1087" i="1"/>
  <c r="K1087" i="1"/>
  <c r="N1073" i="1"/>
  <c r="L1073" i="1"/>
  <c r="K1073" i="1"/>
  <c r="N1072" i="1"/>
  <c r="L1072" i="1"/>
  <c r="K1072" i="1"/>
  <c r="N1071" i="1"/>
  <c r="L1071" i="1"/>
  <c r="K1071" i="1"/>
  <c r="N1070" i="1"/>
  <c r="L1070" i="1"/>
  <c r="K1070" i="1"/>
  <c r="N1069" i="1"/>
  <c r="L1069" i="1"/>
  <c r="K1069" i="1"/>
  <c r="N1055" i="1"/>
  <c r="L1055" i="1"/>
  <c r="K1055" i="1"/>
  <c r="N1054" i="1"/>
  <c r="L1054" i="1"/>
  <c r="K1054" i="1"/>
  <c r="N1053" i="1"/>
  <c r="L1053" i="1"/>
  <c r="K1053" i="1"/>
  <c r="N1052" i="1"/>
  <c r="L1052" i="1"/>
  <c r="K1052" i="1"/>
  <c r="N1051" i="1"/>
  <c r="L1051" i="1"/>
  <c r="K1051" i="1"/>
  <c r="N1037" i="1"/>
  <c r="L1037" i="1"/>
  <c r="K1037" i="1"/>
  <c r="N1036" i="1"/>
  <c r="L1036" i="1"/>
  <c r="K1036" i="1"/>
  <c r="N1035" i="1"/>
  <c r="L1035" i="1"/>
  <c r="K1035" i="1"/>
  <c r="N1034" i="1"/>
  <c r="L1034" i="1"/>
  <c r="K1034" i="1"/>
  <c r="N1033" i="1"/>
  <c r="L1033" i="1"/>
  <c r="K1033" i="1"/>
  <c r="P1020" i="1"/>
  <c r="N1020" i="1"/>
  <c r="L1020" i="1"/>
  <c r="K1020" i="1"/>
  <c r="P1019" i="1"/>
  <c r="N1019" i="1"/>
  <c r="L1019" i="1"/>
  <c r="K1019" i="1"/>
  <c r="P1018" i="1"/>
  <c r="N1018" i="1"/>
  <c r="L1018" i="1"/>
  <c r="K1018" i="1"/>
  <c r="N1008" i="1"/>
  <c r="L1008" i="1"/>
  <c r="K1008" i="1"/>
  <c r="N1007" i="1"/>
  <c r="L1007" i="1"/>
  <c r="K1007" i="1"/>
  <c r="N1006" i="1"/>
  <c r="L1006" i="1"/>
  <c r="K1006" i="1"/>
  <c r="N996" i="1"/>
  <c r="L996" i="1"/>
  <c r="K996" i="1"/>
  <c r="N995" i="1"/>
  <c r="L995" i="1"/>
  <c r="K995" i="1"/>
  <c r="N994" i="1"/>
  <c r="L994" i="1"/>
  <c r="K994" i="1"/>
  <c r="P981" i="1"/>
  <c r="N981" i="1"/>
  <c r="L981" i="1"/>
  <c r="K981" i="1"/>
  <c r="P980" i="1"/>
  <c r="N980" i="1"/>
  <c r="L980" i="1"/>
  <c r="K980" i="1"/>
  <c r="P979" i="1"/>
  <c r="N979" i="1"/>
  <c r="L979" i="1"/>
  <c r="K979" i="1"/>
  <c r="P966" i="1"/>
  <c r="N966" i="1"/>
  <c r="L966" i="1"/>
  <c r="K966" i="1"/>
  <c r="P965" i="1"/>
  <c r="N965" i="1"/>
  <c r="L965" i="1"/>
  <c r="K965" i="1"/>
  <c r="P964" i="1"/>
  <c r="N964" i="1"/>
  <c r="L964" i="1"/>
  <c r="K964" i="1"/>
  <c r="N954" i="1"/>
  <c r="L954" i="1"/>
  <c r="K954" i="1"/>
  <c r="N953" i="1"/>
  <c r="L953" i="1"/>
  <c r="K953" i="1"/>
  <c r="N952" i="1"/>
  <c r="L952" i="1"/>
  <c r="K952" i="1"/>
  <c r="N942" i="1"/>
  <c r="L942" i="1"/>
  <c r="K942" i="1"/>
  <c r="N941" i="1"/>
  <c r="L941" i="1"/>
  <c r="K941" i="1"/>
  <c r="N940" i="1"/>
  <c r="L940" i="1"/>
  <c r="K940" i="1"/>
  <c r="N930" i="1"/>
  <c r="L930" i="1"/>
  <c r="K930" i="1"/>
  <c r="N929" i="1"/>
  <c r="L929" i="1"/>
  <c r="K929" i="1"/>
  <c r="N928" i="1"/>
  <c r="L928" i="1"/>
  <c r="K928" i="1"/>
  <c r="P915" i="1"/>
  <c r="N915" i="1"/>
  <c r="L915" i="1"/>
  <c r="K915" i="1"/>
  <c r="P914" i="1"/>
  <c r="N914" i="1"/>
  <c r="L914" i="1"/>
  <c r="K914" i="1"/>
  <c r="P913" i="1"/>
  <c r="N913" i="1"/>
  <c r="L913" i="1"/>
  <c r="K913" i="1"/>
  <c r="N903" i="1"/>
  <c r="L903" i="1"/>
  <c r="K903" i="1"/>
  <c r="N902" i="1"/>
  <c r="L902" i="1"/>
  <c r="K902" i="1"/>
  <c r="N901" i="1"/>
  <c r="L901" i="1"/>
  <c r="K901" i="1"/>
  <c r="N891" i="1"/>
  <c r="L891" i="1"/>
  <c r="K891" i="1"/>
  <c r="N890" i="1"/>
  <c r="L890" i="1"/>
  <c r="K890" i="1"/>
  <c r="N889" i="1"/>
  <c r="L889" i="1"/>
  <c r="K889" i="1"/>
  <c r="P876" i="1"/>
  <c r="N876" i="1"/>
  <c r="L876" i="1"/>
  <c r="K876" i="1"/>
  <c r="P875" i="1"/>
  <c r="N875" i="1"/>
  <c r="L875" i="1"/>
  <c r="K875" i="1"/>
  <c r="P874" i="1"/>
  <c r="N874" i="1"/>
  <c r="L874" i="1"/>
  <c r="K874" i="1"/>
  <c r="P861" i="1"/>
  <c r="N861" i="1"/>
  <c r="L861" i="1"/>
  <c r="K861" i="1"/>
  <c r="P860" i="1"/>
  <c r="N860" i="1"/>
  <c r="L860" i="1"/>
  <c r="K860" i="1"/>
  <c r="P859" i="1"/>
  <c r="N859" i="1"/>
  <c r="L859" i="1"/>
  <c r="K859" i="1"/>
  <c r="N849" i="1"/>
  <c r="L849" i="1"/>
  <c r="K849" i="1"/>
  <c r="N848" i="1"/>
  <c r="L848" i="1"/>
  <c r="K848" i="1"/>
  <c r="N847" i="1"/>
  <c r="L847" i="1"/>
  <c r="K847" i="1"/>
  <c r="N837" i="1"/>
  <c r="L837" i="1"/>
  <c r="K837" i="1"/>
  <c r="N836" i="1"/>
  <c r="L836" i="1"/>
  <c r="K836" i="1"/>
  <c r="N835" i="1"/>
  <c r="L835" i="1"/>
  <c r="K835" i="1"/>
  <c r="N825" i="1"/>
  <c r="L825" i="1"/>
  <c r="K825" i="1"/>
  <c r="N824" i="1"/>
  <c r="L824" i="1"/>
  <c r="K824" i="1"/>
  <c r="N823" i="1"/>
  <c r="L823" i="1"/>
  <c r="K823" i="1"/>
  <c r="P810" i="1"/>
  <c r="N810" i="1"/>
  <c r="L810" i="1"/>
  <c r="K810" i="1"/>
  <c r="P809" i="1"/>
  <c r="N809" i="1"/>
  <c r="L809" i="1"/>
  <c r="K809" i="1"/>
  <c r="P808" i="1"/>
  <c r="N808" i="1"/>
  <c r="L808" i="1"/>
  <c r="K808" i="1"/>
  <c r="P795" i="1"/>
  <c r="N795" i="1"/>
  <c r="L795" i="1"/>
  <c r="K795" i="1"/>
  <c r="P794" i="1"/>
  <c r="N794" i="1"/>
  <c r="L794" i="1"/>
  <c r="K794" i="1"/>
  <c r="P793" i="1"/>
  <c r="N793" i="1"/>
  <c r="L793" i="1"/>
  <c r="K793" i="1"/>
  <c r="P780" i="1"/>
  <c r="N780" i="1"/>
  <c r="L780" i="1"/>
  <c r="K780" i="1"/>
  <c r="P779" i="1"/>
  <c r="N779" i="1"/>
  <c r="L779" i="1"/>
  <c r="K779" i="1"/>
  <c r="P778" i="1"/>
  <c r="N778" i="1"/>
  <c r="L778" i="1"/>
  <c r="K778" i="1"/>
  <c r="N768" i="1"/>
  <c r="L768" i="1"/>
  <c r="K768" i="1"/>
  <c r="N767" i="1"/>
  <c r="L767" i="1"/>
  <c r="K767" i="1"/>
  <c r="N766" i="1"/>
  <c r="L766" i="1"/>
  <c r="K766" i="1"/>
  <c r="N756" i="1"/>
  <c r="L756" i="1"/>
  <c r="K756" i="1"/>
  <c r="N755" i="1"/>
  <c r="L755" i="1"/>
  <c r="K755" i="1"/>
  <c r="N754" i="1"/>
  <c r="L754" i="1"/>
  <c r="K754" i="1"/>
  <c r="P741" i="1"/>
  <c r="N741" i="1"/>
  <c r="L741" i="1"/>
  <c r="K741" i="1"/>
  <c r="P740" i="1"/>
  <c r="N740" i="1"/>
  <c r="L740" i="1"/>
  <c r="K740" i="1"/>
  <c r="P739" i="1"/>
  <c r="N739" i="1"/>
  <c r="L739" i="1"/>
  <c r="K739" i="1"/>
  <c r="N729" i="1"/>
  <c r="L729" i="1"/>
  <c r="K729" i="1"/>
  <c r="N728" i="1"/>
  <c r="L728" i="1"/>
  <c r="K728" i="1"/>
  <c r="N727" i="1"/>
  <c r="L727" i="1"/>
  <c r="K727" i="1"/>
  <c r="N717" i="1"/>
  <c r="L717" i="1"/>
  <c r="K717" i="1"/>
  <c r="N716" i="1"/>
  <c r="L716" i="1"/>
  <c r="K716" i="1"/>
  <c r="N715" i="1"/>
  <c r="L715" i="1"/>
  <c r="K715" i="1"/>
  <c r="N705" i="1"/>
  <c r="L705" i="1"/>
  <c r="K705" i="1"/>
  <c r="N704" i="1"/>
  <c r="L704" i="1"/>
  <c r="K704" i="1"/>
  <c r="N703" i="1"/>
  <c r="L703" i="1"/>
  <c r="K703" i="1"/>
  <c r="P690" i="1"/>
  <c r="N690" i="1"/>
  <c r="L690" i="1"/>
  <c r="K690" i="1"/>
  <c r="P689" i="1"/>
  <c r="N689" i="1"/>
  <c r="L689" i="1"/>
  <c r="K689" i="1"/>
  <c r="P688" i="1"/>
  <c r="N688" i="1"/>
  <c r="L688" i="1"/>
  <c r="K688" i="1"/>
  <c r="P675" i="1"/>
  <c r="N675" i="1"/>
  <c r="L675" i="1"/>
  <c r="K675" i="1"/>
  <c r="P674" i="1"/>
  <c r="N674" i="1"/>
  <c r="L674" i="1"/>
  <c r="K674" i="1"/>
  <c r="P673" i="1"/>
  <c r="N673" i="1"/>
  <c r="L673" i="1"/>
  <c r="K673" i="1"/>
  <c r="N663" i="1"/>
  <c r="L663" i="1"/>
  <c r="K663" i="1"/>
  <c r="N662" i="1"/>
  <c r="L662" i="1"/>
  <c r="K662" i="1"/>
  <c r="N661" i="1"/>
  <c r="L661" i="1"/>
  <c r="K661" i="1"/>
  <c r="N651" i="1"/>
  <c r="L651" i="1"/>
  <c r="K651" i="1"/>
  <c r="N650" i="1"/>
  <c r="L650" i="1"/>
  <c r="K650" i="1"/>
  <c r="N649" i="1"/>
  <c r="L649" i="1"/>
  <c r="K649" i="1"/>
  <c r="N639" i="1"/>
  <c r="L639" i="1"/>
  <c r="K639" i="1"/>
  <c r="N638" i="1"/>
  <c r="L638" i="1"/>
  <c r="K638" i="1"/>
  <c r="N637" i="1"/>
  <c r="L637" i="1"/>
  <c r="K637" i="1"/>
  <c r="N627" i="1"/>
  <c r="L627" i="1"/>
  <c r="K627" i="1"/>
  <c r="N626" i="1"/>
  <c r="L626" i="1"/>
  <c r="K626" i="1"/>
  <c r="N625" i="1"/>
  <c r="L625" i="1"/>
  <c r="K625" i="1"/>
  <c r="N615" i="1"/>
  <c r="L615" i="1"/>
  <c r="K615" i="1"/>
  <c r="N614" i="1"/>
  <c r="L614" i="1"/>
  <c r="K614" i="1"/>
  <c r="N613" i="1"/>
  <c r="L613" i="1"/>
  <c r="K613" i="1"/>
  <c r="N599" i="1"/>
  <c r="L599" i="1"/>
  <c r="K599" i="1"/>
  <c r="N598" i="1"/>
  <c r="L598" i="1"/>
  <c r="K598" i="1"/>
  <c r="N597" i="1"/>
  <c r="L597" i="1"/>
  <c r="K597" i="1"/>
  <c r="N596" i="1"/>
  <c r="L596" i="1"/>
  <c r="K596" i="1"/>
  <c r="N595" i="1"/>
  <c r="L595" i="1"/>
  <c r="K595" i="1"/>
  <c r="N581" i="1"/>
  <c r="L581" i="1"/>
  <c r="K581" i="1"/>
  <c r="N580" i="1"/>
  <c r="L580" i="1"/>
  <c r="K580" i="1"/>
  <c r="N579" i="1"/>
  <c r="L579" i="1"/>
  <c r="K579" i="1"/>
  <c r="N578" i="1"/>
  <c r="L578" i="1"/>
  <c r="K578" i="1"/>
  <c r="N577" i="1"/>
  <c r="L577" i="1"/>
  <c r="K577" i="1"/>
  <c r="N563" i="1"/>
  <c r="L563" i="1"/>
  <c r="K563" i="1"/>
  <c r="N562" i="1"/>
  <c r="L562" i="1"/>
  <c r="K562" i="1"/>
  <c r="N561" i="1"/>
  <c r="L561" i="1"/>
  <c r="K561" i="1"/>
  <c r="N560" i="1"/>
  <c r="L560" i="1"/>
  <c r="K560" i="1"/>
  <c r="N559" i="1"/>
  <c r="L559" i="1"/>
  <c r="K559" i="1"/>
  <c r="N545" i="1"/>
  <c r="L545" i="1"/>
  <c r="K545" i="1"/>
  <c r="N544" i="1"/>
  <c r="L544" i="1"/>
  <c r="K544" i="1"/>
  <c r="N543" i="1"/>
  <c r="L543" i="1"/>
  <c r="K543" i="1"/>
  <c r="N542" i="1"/>
  <c r="L542" i="1"/>
  <c r="K542" i="1"/>
  <c r="N541" i="1"/>
  <c r="L541" i="1"/>
  <c r="K541" i="1"/>
  <c r="N527" i="1"/>
  <c r="L527" i="1"/>
  <c r="K527" i="1"/>
  <c r="N526" i="1"/>
  <c r="L526" i="1"/>
  <c r="K526" i="1"/>
  <c r="N525" i="1"/>
  <c r="L525" i="1"/>
  <c r="K525" i="1"/>
  <c r="N524" i="1"/>
  <c r="L524" i="1"/>
  <c r="K524" i="1"/>
  <c r="N523" i="1"/>
  <c r="L523" i="1"/>
  <c r="K523" i="1"/>
  <c r="N509" i="1"/>
  <c r="L509" i="1"/>
  <c r="K509" i="1"/>
  <c r="N508" i="1"/>
  <c r="L508" i="1"/>
  <c r="K508" i="1"/>
  <c r="N507" i="1"/>
  <c r="L507" i="1"/>
  <c r="K507" i="1"/>
  <c r="N506" i="1"/>
  <c r="L506" i="1"/>
  <c r="K506" i="1"/>
  <c r="N505" i="1"/>
  <c r="L505" i="1"/>
  <c r="K505" i="1"/>
  <c r="N491" i="1"/>
  <c r="L491" i="1"/>
  <c r="K491" i="1"/>
  <c r="N490" i="1"/>
  <c r="L490" i="1"/>
  <c r="K490" i="1"/>
  <c r="N489" i="1"/>
  <c r="L489" i="1"/>
  <c r="K489" i="1"/>
  <c r="N488" i="1"/>
  <c r="L488" i="1"/>
  <c r="K488" i="1"/>
  <c r="N487" i="1"/>
  <c r="L487" i="1"/>
  <c r="K487" i="1"/>
  <c r="N473" i="1"/>
  <c r="L473" i="1"/>
  <c r="K473" i="1"/>
  <c r="N472" i="1"/>
  <c r="L472" i="1"/>
  <c r="K472" i="1"/>
  <c r="N471" i="1"/>
  <c r="L471" i="1"/>
  <c r="K471" i="1"/>
  <c r="N470" i="1"/>
  <c r="L470" i="1"/>
  <c r="K470" i="1"/>
  <c r="N469" i="1"/>
  <c r="L469" i="1"/>
  <c r="K469" i="1"/>
  <c r="P450" i="1"/>
  <c r="N450" i="1"/>
  <c r="L450" i="1"/>
  <c r="K450" i="1"/>
  <c r="P449" i="1"/>
  <c r="N449" i="1"/>
  <c r="L449" i="1"/>
  <c r="K449" i="1"/>
  <c r="P448" i="1"/>
  <c r="N448" i="1"/>
  <c r="L448" i="1"/>
  <c r="K448" i="1"/>
  <c r="P447" i="1"/>
  <c r="N447" i="1"/>
  <c r="L447" i="1"/>
  <c r="K447" i="1"/>
  <c r="P446" i="1"/>
  <c r="N446" i="1"/>
  <c r="L446" i="1"/>
  <c r="K446" i="1"/>
  <c r="P427" i="1"/>
  <c r="N427" i="1"/>
  <c r="L427" i="1"/>
  <c r="K427" i="1"/>
  <c r="P426" i="1"/>
  <c r="N426" i="1"/>
  <c r="L426" i="1"/>
  <c r="K426" i="1"/>
  <c r="P425" i="1"/>
  <c r="N425" i="1"/>
  <c r="L425" i="1"/>
  <c r="K425" i="1"/>
  <c r="P424" i="1"/>
  <c r="N424" i="1"/>
  <c r="L424" i="1"/>
  <c r="K424" i="1"/>
  <c r="P423" i="1"/>
  <c r="N423" i="1"/>
  <c r="L423" i="1"/>
  <c r="K423" i="1"/>
  <c r="N409" i="1"/>
  <c r="L409" i="1"/>
  <c r="K409" i="1"/>
  <c r="N408" i="1"/>
  <c r="L408" i="1"/>
  <c r="K408" i="1"/>
  <c r="N407" i="1"/>
  <c r="L407" i="1"/>
  <c r="K407" i="1"/>
  <c r="N406" i="1"/>
  <c r="L406" i="1"/>
  <c r="K406" i="1"/>
  <c r="N405" i="1"/>
  <c r="L405" i="1"/>
  <c r="K405" i="1"/>
  <c r="N391" i="1"/>
  <c r="L391" i="1"/>
  <c r="K391" i="1"/>
  <c r="N390" i="1"/>
  <c r="L390" i="1"/>
  <c r="K390" i="1"/>
  <c r="N389" i="1"/>
  <c r="L389" i="1"/>
  <c r="K389" i="1"/>
  <c r="N388" i="1"/>
  <c r="L388" i="1"/>
  <c r="K388" i="1"/>
  <c r="N387" i="1"/>
  <c r="L387" i="1"/>
  <c r="K387" i="1"/>
  <c r="N373" i="1"/>
  <c r="L373" i="1"/>
  <c r="K373" i="1"/>
  <c r="N372" i="1"/>
  <c r="L372" i="1"/>
  <c r="K372" i="1"/>
  <c r="N371" i="1"/>
  <c r="L371" i="1"/>
  <c r="K371" i="1"/>
  <c r="N370" i="1"/>
  <c r="L370" i="1"/>
  <c r="K370" i="1"/>
  <c r="N369" i="1"/>
  <c r="L369" i="1"/>
  <c r="K369" i="1"/>
  <c r="O257" i="1"/>
  <c r="O256" i="1"/>
  <c r="O255" i="1"/>
  <c r="O254" i="1"/>
  <c r="O253" i="1"/>
  <c r="O239" i="1"/>
  <c r="O238" i="1"/>
  <c r="O237" i="1"/>
  <c r="O236" i="1"/>
  <c r="O235" i="1"/>
  <c r="O221" i="1"/>
  <c r="O220" i="1"/>
  <c r="O219" i="1"/>
  <c r="O218" i="1"/>
  <c r="O217" i="1"/>
  <c r="O203" i="1"/>
  <c r="O202" i="1"/>
  <c r="O201" i="1"/>
  <c r="O200" i="1"/>
  <c r="O199" i="1"/>
  <c r="O185" i="1"/>
  <c r="O184" i="1"/>
  <c r="O183" i="1"/>
  <c r="O182" i="1"/>
  <c r="O181" i="1"/>
  <c r="Q162" i="1"/>
  <c r="Q161" i="1"/>
  <c r="Q160" i="1"/>
  <c r="Q159" i="1"/>
  <c r="Q158" i="1"/>
  <c r="Q139" i="1"/>
  <c r="Q138" i="1"/>
  <c r="Q137" i="1"/>
  <c r="Q136" i="1"/>
  <c r="Q135" i="1"/>
  <c r="O162" i="1"/>
  <c r="O161" i="1"/>
  <c r="O160" i="1"/>
  <c r="O159" i="1"/>
  <c r="O158" i="1"/>
  <c r="O139" i="1"/>
  <c r="O138" i="1"/>
  <c r="O137" i="1"/>
  <c r="O136" i="1"/>
  <c r="O135" i="1"/>
  <c r="Q116" i="1"/>
  <c r="Q115" i="1"/>
  <c r="Q114" i="1"/>
  <c r="Q113" i="1"/>
  <c r="Q112" i="1"/>
  <c r="O116" i="1"/>
  <c r="O115" i="1"/>
  <c r="O114" i="1"/>
  <c r="O113" i="1"/>
  <c r="O112" i="1"/>
  <c r="O98" i="1"/>
  <c r="O97" i="1"/>
  <c r="O96" i="1"/>
  <c r="O95" i="1"/>
  <c r="O94" i="1"/>
  <c r="O80" i="1"/>
  <c r="O79" i="1"/>
  <c r="O78" i="1"/>
  <c r="O77" i="1"/>
  <c r="O76" i="1"/>
  <c r="O62" i="1"/>
  <c r="O61" i="1"/>
  <c r="O60" i="1"/>
  <c r="O59" i="1"/>
  <c r="O58" i="1"/>
  <c r="O44" i="1"/>
  <c r="O43" i="1"/>
  <c r="O42" i="1"/>
  <c r="O41" i="1"/>
  <c r="O40" i="1"/>
  <c r="O26" i="1"/>
  <c r="O25" i="1"/>
  <c r="O24" i="1"/>
  <c r="O23" i="1"/>
  <c r="O22" i="1"/>
  <c r="O8" i="1"/>
  <c r="O7" i="1"/>
  <c r="O6" i="1"/>
  <c r="O5" i="1"/>
  <c r="O4" i="1"/>
  <c r="M257" i="1"/>
  <c r="M256" i="1"/>
  <c r="M255" i="1"/>
  <c r="M254" i="1"/>
  <c r="M253" i="1"/>
  <c r="M239" i="1"/>
  <c r="M238" i="1"/>
  <c r="M237" i="1"/>
  <c r="M236" i="1"/>
  <c r="M235" i="1"/>
  <c r="M221" i="1"/>
  <c r="M220" i="1"/>
  <c r="M219" i="1"/>
  <c r="M218" i="1"/>
  <c r="M217" i="1"/>
  <c r="M203" i="1"/>
  <c r="M202" i="1"/>
  <c r="M201" i="1"/>
  <c r="M200" i="1"/>
  <c r="M199" i="1"/>
  <c r="M185" i="1"/>
  <c r="M184" i="1"/>
  <c r="M183" i="1"/>
  <c r="M182" i="1"/>
  <c r="M181" i="1"/>
  <c r="M162" i="1"/>
  <c r="M161" i="1"/>
  <c r="M160" i="1"/>
  <c r="M159" i="1"/>
  <c r="M158" i="1"/>
  <c r="M139" i="1"/>
  <c r="M138" i="1"/>
  <c r="M137" i="1"/>
  <c r="M136" i="1"/>
  <c r="M135" i="1"/>
  <c r="M116" i="1"/>
  <c r="M115" i="1"/>
  <c r="M114" i="1"/>
  <c r="M113" i="1"/>
  <c r="M112" i="1"/>
  <c r="M98" i="1"/>
  <c r="M97" i="1"/>
  <c r="M96" i="1"/>
  <c r="M95" i="1"/>
  <c r="M94" i="1"/>
  <c r="M80" i="1"/>
  <c r="M79" i="1"/>
  <c r="M78" i="1"/>
  <c r="M77" i="1"/>
  <c r="M76" i="1"/>
  <c r="M62" i="1"/>
  <c r="M61" i="1"/>
  <c r="M60" i="1"/>
  <c r="M59" i="1"/>
  <c r="M58" i="1"/>
  <c r="M44" i="1"/>
  <c r="M43" i="1"/>
  <c r="M42" i="1"/>
  <c r="M41" i="1"/>
  <c r="M40" i="1"/>
  <c r="M26" i="1"/>
  <c r="M25" i="1"/>
  <c r="M24" i="1"/>
  <c r="M23" i="1"/>
  <c r="M22" i="1"/>
  <c r="M8" i="1"/>
  <c r="M7" i="1"/>
  <c r="M6" i="1"/>
  <c r="M5" i="1"/>
  <c r="M4" i="1"/>
  <c r="N257" i="1"/>
  <c r="L257" i="1"/>
  <c r="K257" i="1"/>
  <c r="N256" i="1"/>
  <c r="L256" i="1"/>
  <c r="K256" i="1"/>
  <c r="N255" i="1"/>
  <c r="L255" i="1"/>
  <c r="K255" i="1"/>
  <c r="N254" i="1"/>
  <c r="L254" i="1"/>
  <c r="K254" i="1"/>
  <c r="N253" i="1"/>
  <c r="L253" i="1"/>
  <c r="K253" i="1"/>
  <c r="N239" i="1"/>
  <c r="L239" i="1"/>
  <c r="K239" i="1"/>
  <c r="N238" i="1"/>
  <c r="L238" i="1"/>
  <c r="K238" i="1"/>
  <c r="N237" i="1"/>
  <c r="L237" i="1"/>
  <c r="K237" i="1"/>
  <c r="N236" i="1"/>
  <c r="L236" i="1"/>
  <c r="K236" i="1"/>
  <c r="N235" i="1"/>
  <c r="L235" i="1"/>
  <c r="K235" i="1"/>
  <c r="N221" i="1"/>
  <c r="L221" i="1"/>
  <c r="K221" i="1"/>
  <c r="N220" i="1"/>
  <c r="L220" i="1"/>
  <c r="K220" i="1"/>
  <c r="N219" i="1"/>
  <c r="L219" i="1"/>
  <c r="K219" i="1"/>
  <c r="N218" i="1"/>
  <c r="L218" i="1"/>
  <c r="K218" i="1"/>
  <c r="N217" i="1"/>
  <c r="L217" i="1"/>
  <c r="K217" i="1"/>
  <c r="N203" i="1"/>
  <c r="L203" i="1"/>
  <c r="K203" i="1"/>
  <c r="N202" i="1"/>
  <c r="L202" i="1"/>
  <c r="K202" i="1"/>
  <c r="N201" i="1"/>
  <c r="L201" i="1"/>
  <c r="K201" i="1"/>
  <c r="N200" i="1"/>
  <c r="L200" i="1"/>
  <c r="K200" i="1"/>
  <c r="N199" i="1"/>
  <c r="L199" i="1"/>
  <c r="K199" i="1"/>
  <c r="N185" i="1"/>
  <c r="L185" i="1"/>
  <c r="K185" i="1"/>
  <c r="N184" i="1"/>
  <c r="L184" i="1"/>
  <c r="K184" i="1"/>
  <c r="N183" i="1"/>
  <c r="L183" i="1"/>
  <c r="K183" i="1"/>
  <c r="N182" i="1"/>
  <c r="L182" i="1"/>
  <c r="K182" i="1"/>
  <c r="N181" i="1"/>
  <c r="L181" i="1"/>
  <c r="K181" i="1"/>
  <c r="P139" i="1"/>
  <c r="P138" i="1"/>
  <c r="P137" i="1"/>
  <c r="P136" i="1"/>
  <c r="P135" i="1"/>
  <c r="P116" i="1"/>
  <c r="P115" i="1"/>
  <c r="P114" i="1"/>
  <c r="P113" i="1"/>
  <c r="P112" i="1"/>
  <c r="P162" i="1"/>
  <c r="N162" i="1"/>
  <c r="L162" i="1"/>
  <c r="K162" i="1"/>
  <c r="P161" i="1"/>
  <c r="N161" i="1"/>
  <c r="L161" i="1"/>
  <c r="K161" i="1"/>
  <c r="P160" i="1"/>
  <c r="N160" i="1"/>
  <c r="L160" i="1"/>
  <c r="K160" i="1"/>
  <c r="P159" i="1"/>
  <c r="N159" i="1"/>
  <c r="L159" i="1"/>
  <c r="K159" i="1"/>
  <c r="P158" i="1"/>
  <c r="N158" i="1"/>
  <c r="L158" i="1"/>
  <c r="K158" i="1"/>
  <c r="N139" i="1"/>
  <c r="L139" i="1"/>
  <c r="K139" i="1"/>
  <c r="N138" i="1"/>
  <c r="L138" i="1"/>
  <c r="K138" i="1"/>
  <c r="N137" i="1"/>
  <c r="L137" i="1"/>
  <c r="K137" i="1"/>
  <c r="N136" i="1"/>
  <c r="L136" i="1"/>
  <c r="K136" i="1"/>
  <c r="N135" i="1"/>
  <c r="L135" i="1"/>
  <c r="K135" i="1"/>
  <c r="N116" i="1"/>
  <c r="L116" i="1"/>
  <c r="K116" i="1"/>
  <c r="N115" i="1"/>
  <c r="L115" i="1"/>
  <c r="K115" i="1"/>
  <c r="N114" i="1"/>
  <c r="L114" i="1"/>
  <c r="K114" i="1"/>
  <c r="N113" i="1"/>
  <c r="L113" i="1"/>
  <c r="K113" i="1"/>
  <c r="N112" i="1"/>
  <c r="L112" i="1"/>
  <c r="K112" i="1"/>
  <c r="N98" i="1"/>
  <c r="L98" i="1"/>
  <c r="K98" i="1"/>
  <c r="N97" i="1"/>
  <c r="L97" i="1"/>
  <c r="K97" i="1"/>
  <c r="N96" i="1"/>
  <c r="L96" i="1"/>
  <c r="K96" i="1"/>
  <c r="N95" i="1"/>
  <c r="L95" i="1"/>
  <c r="K95" i="1"/>
  <c r="N94" i="1"/>
  <c r="L94" i="1"/>
  <c r="K94" i="1"/>
  <c r="N80" i="1"/>
  <c r="L80" i="1"/>
  <c r="K80" i="1"/>
  <c r="N79" i="1"/>
  <c r="L79" i="1"/>
  <c r="K79" i="1"/>
  <c r="N78" i="1"/>
  <c r="L78" i="1"/>
  <c r="K78" i="1"/>
  <c r="N77" i="1"/>
  <c r="L77" i="1"/>
  <c r="K77" i="1"/>
  <c r="N76" i="1"/>
  <c r="L76" i="1"/>
  <c r="K76" i="1"/>
  <c r="N62" i="1"/>
  <c r="L62" i="1"/>
  <c r="K62" i="1"/>
  <c r="N61" i="1"/>
  <c r="L61" i="1"/>
  <c r="K61" i="1"/>
  <c r="N60" i="1"/>
  <c r="L60" i="1"/>
  <c r="K60" i="1"/>
  <c r="N59" i="1"/>
  <c r="L59" i="1"/>
  <c r="K59" i="1"/>
  <c r="N58" i="1"/>
  <c r="L58" i="1"/>
  <c r="K58" i="1"/>
  <c r="N44" i="1"/>
  <c r="L44" i="1"/>
  <c r="K44" i="1"/>
  <c r="N43" i="1"/>
  <c r="L43" i="1"/>
  <c r="K43" i="1"/>
  <c r="N42" i="1"/>
  <c r="L42" i="1"/>
  <c r="K42" i="1"/>
  <c r="N41" i="1"/>
  <c r="L41" i="1"/>
  <c r="K41" i="1"/>
  <c r="N40" i="1"/>
  <c r="L40" i="1"/>
  <c r="K40" i="1"/>
  <c r="N26" i="1"/>
  <c r="L26" i="1"/>
  <c r="K26" i="1"/>
  <c r="N25" i="1"/>
  <c r="L25" i="1"/>
  <c r="K25" i="1"/>
  <c r="N24" i="1"/>
  <c r="L24" i="1"/>
  <c r="K24" i="1"/>
  <c r="N23" i="1"/>
  <c r="L23" i="1"/>
  <c r="K23" i="1"/>
  <c r="N22" i="1"/>
  <c r="L22" i="1"/>
  <c r="K22" i="1"/>
  <c r="N8" i="1"/>
  <c r="L8" i="1"/>
  <c r="K8" i="1"/>
  <c r="N7" i="1"/>
  <c r="L7" i="1"/>
  <c r="K7" i="1"/>
  <c r="N6" i="1"/>
  <c r="L6" i="1"/>
  <c r="K6" i="1"/>
  <c r="N5" i="1"/>
  <c r="L5" i="1"/>
  <c r="K5" i="1"/>
  <c r="N4" i="1"/>
  <c r="L4" i="1"/>
  <c r="K4" i="1"/>
  <c r="M3206" i="1" l="1"/>
  <c r="O3410" i="1"/>
  <c r="O3312" i="1"/>
  <c r="O3350" i="1"/>
  <c r="M3313" i="1"/>
  <c r="M3393" i="1"/>
  <c r="M3282" i="1"/>
  <c r="O3329" i="1"/>
  <c r="M3339" i="1"/>
  <c r="O3367" i="1"/>
  <c r="M3373" i="1"/>
  <c r="M3390" i="1"/>
  <c r="M3414" i="1"/>
  <c r="M3190" i="1"/>
  <c r="M3284" i="1"/>
  <c r="M3336" i="1"/>
  <c r="M3417" i="1"/>
  <c r="M3375" i="1"/>
  <c r="M3392" i="1"/>
  <c r="O3277" i="1"/>
  <c r="O3333" i="1"/>
  <c r="O2907" i="1"/>
  <c r="Q3236" i="1"/>
  <c r="M3304" i="1"/>
  <c r="M3311" i="1"/>
  <c r="M3320" i="1"/>
  <c r="Q3159" i="1"/>
  <c r="M3355" i="1"/>
  <c r="M3391" i="1"/>
  <c r="M3357" i="1"/>
  <c r="O3218" i="1"/>
  <c r="O3261" i="1"/>
  <c r="M3315" i="1"/>
  <c r="O3276" i="1"/>
  <c r="O3332" i="1"/>
  <c r="O3387" i="1"/>
  <c r="Q3387" i="1"/>
  <c r="M3208" i="1"/>
  <c r="O3202" i="1"/>
  <c r="M3244" i="1"/>
  <c r="M3321" i="1"/>
  <c r="M3365" i="1"/>
  <c r="M3384" i="1"/>
  <c r="Q3410" i="1"/>
  <c r="M3111" i="1"/>
  <c r="Q3138" i="1"/>
  <c r="Q3384" i="1"/>
  <c r="O3217" i="1"/>
  <c r="M3238" i="1"/>
  <c r="M3303" i="1"/>
  <c r="M3329" i="1"/>
  <c r="Q3409" i="1"/>
  <c r="O3441" i="1"/>
  <c r="M3144" i="1"/>
  <c r="M3187" i="1"/>
  <c r="O3293" i="1"/>
  <c r="M3383" i="1"/>
  <c r="M3297" i="1"/>
  <c r="Q3406" i="1"/>
  <c r="O3158" i="1"/>
  <c r="O3165" i="1"/>
  <c r="O3183" i="1"/>
  <c r="O3198" i="1"/>
  <c r="O3297" i="1"/>
  <c r="M3223" i="1"/>
  <c r="M3267" i="1"/>
  <c r="O3349" i="1"/>
  <c r="O3135" i="1"/>
  <c r="M3143" i="1"/>
  <c r="M3167" i="1"/>
  <c r="M3224" i="1"/>
  <c r="O3234" i="1"/>
  <c r="Q3237" i="1"/>
  <c r="M3301" i="1"/>
  <c r="M3322" i="1"/>
  <c r="M3356" i="1"/>
  <c r="Q3136" i="1"/>
  <c r="M3225" i="1"/>
  <c r="Q3234" i="1"/>
  <c r="M3245" i="1"/>
  <c r="O3259" i="1"/>
  <c r="M3264" i="1"/>
  <c r="M2904" i="1"/>
  <c r="M3135" i="1"/>
  <c r="M3142" i="1"/>
  <c r="M3166" i="1"/>
  <c r="O3180" i="1"/>
  <c r="M3189" i="1"/>
  <c r="M3207" i="1"/>
  <c r="M3227" i="1"/>
  <c r="M3243" i="1"/>
  <c r="O3257" i="1"/>
  <c r="M3266" i="1"/>
  <c r="M3286" i="1"/>
  <c r="M3338" i="1"/>
  <c r="O3348" i="1"/>
  <c r="M3372" i="1"/>
  <c r="M3406" i="1"/>
  <c r="O3415" i="1"/>
  <c r="O3440" i="1"/>
  <c r="O3161" i="1"/>
  <c r="O3238" i="1"/>
  <c r="O3313" i="1"/>
  <c r="O3142" i="1"/>
  <c r="Q3161" i="1"/>
  <c r="Q3238" i="1"/>
  <c r="O3243" i="1"/>
  <c r="M3319" i="1"/>
  <c r="M3413" i="1"/>
  <c r="Q3135" i="1"/>
  <c r="O3157" i="1"/>
  <c r="M3184" i="1"/>
  <c r="O3258" i="1"/>
  <c r="O3330" i="1"/>
  <c r="M3409" i="1"/>
  <c r="O3416" i="1"/>
  <c r="O3138" i="1"/>
  <c r="M3164" i="1"/>
  <c r="O3184" i="1"/>
  <c r="M3191" i="1"/>
  <c r="M3200" i="1"/>
  <c r="M3205" i="1"/>
  <c r="M3234" i="1"/>
  <c r="M3241" i="1"/>
  <c r="M3268" i="1"/>
  <c r="O3295" i="1"/>
  <c r="M3300" i="1"/>
  <c r="M3283" i="1"/>
  <c r="M3340" i="1"/>
  <c r="M3349" i="1"/>
  <c r="M3354" i="1"/>
  <c r="M3374" i="1"/>
  <c r="O3409" i="1"/>
  <c r="O3393" i="1"/>
  <c r="Q3134" i="1"/>
  <c r="M3410" i="1"/>
  <c r="O2903" i="1"/>
  <c r="M3141" i="1"/>
  <c r="M3158" i="1"/>
  <c r="M3165" i="1"/>
  <c r="M3182" i="1"/>
  <c r="M3198" i="1"/>
  <c r="M3235" i="1"/>
  <c r="M3242" i="1"/>
  <c r="O3366" i="1"/>
  <c r="O3182" i="1"/>
  <c r="M3188" i="1"/>
  <c r="O3216" i="1"/>
  <c r="O3220" i="1"/>
  <c r="M3226" i="1"/>
  <c r="O3275" i="1"/>
  <c r="O3279" i="1"/>
  <c r="M3285" i="1"/>
  <c r="O3331" i="1"/>
  <c r="M3337" i="1"/>
  <c r="M3376" i="1"/>
  <c r="O3391" i="1"/>
  <c r="M3415" i="1"/>
  <c r="M3138" i="1"/>
  <c r="O3145" i="1"/>
  <c r="M3161" i="1"/>
  <c r="O3168" i="1"/>
  <c r="O3199" i="1"/>
  <c r="M3202" i="1"/>
  <c r="O3294" i="1"/>
  <c r="M3302" i="1"/>
  <c r="O3314" i="1"/>
  <c r="O3368" i="1"/>
  <c r="Q3385" i="1"/>
  <c r="M3387" i="1"/>
  <c r="O3443" i="1"/>
  <c r="M3394" i="1"/>
  <c r="M3407" i="1"/>
  <c r="M2906" i="1"/>
  <c r="M3134" i="1"/>
  <c r="M3220" i="1"/>
  <c r="M3279" i="1"/>
  <c r="O3311" i="1"/>
  <c r="O3383" i="1"/>
  <c r="O2906" i="1"/>
  <c r="M3157" i="1"/>
  <c r="M3347" i="1"/>
  <c r="O3365" i="1"/>
  <c r="Q3383" i="1"/>
  <c r="O3394" i="1"/>
  <c r="M3416" i="1"/>
  <c r="O3134" i="1"/>
  <c r="O3143" i="1"/>
  <c r="O3166" i="1"/>
  <c r="M3180" i="1"/>
  <c r="O3244" i="1"/>
  <c r="M3295" i="1"/>
  <c r="O3347" i="1"/>
  <c r="M3369" i="1"/>
  <c r="Q3386" i="1"/>
  <c r="O3413" i="1"/>
  <c r="M3218" i="1"/>
  <c r="O3241" i="1"/>
  <c r="M3277" i="1"/>
  <c r="M3333" i="1"/>
  <c r="M3351" i="1"/>
  <c r="O3369" i="1"/>
  <c r="Q3407" i="1"/>
  <c r="Q3137" i="1"/>
  <c r="Q3157" i="1"/>
  <c r="Q3160" i="1"/>
  <c r="M3183" i="1"/>
  <c r="O3200" i="1"/>
  <c r="O3315" i="1"/>
  <c r="O3351" i="1"/>
  <c r="M3386" i="1"/>
  <c r="O3392" i="1"/>
  <c r="Q3408" i="1"/>
  <c r="O2904" i="1"/>
  <c r="O3144" i="1"/>
  <c r="O3167" i="1"/>
  <c r="O3181" i="1"/>
  <c r="O3201" i="1"/>
  <c r="O3235" i="1"/>
  <c r="O3245" i="1"/>
  <c r="M3293" i="1"/>
  <c r="O3296" i="1"/>
  <c r="O3384" i="1"/>
  <c r="O3417" i="1"/>
  <c r="O3442" i="1"/>
  <c r="O3076" i="1"/>
  <c r="O2905" i="1"/>
  <c r="O3141" i="1"/>
  <c r="M3145" i="1"/>
  <c r="O3164" i="1"/>
  <c r="M3168" i="1"/>
  <c r="M3181" i="1"/>
  <c r="M3216" i="1"/>
  <c r="O3219" i="1"/>
  <c r="Q3235" i="1"/>
  <c r="O3242" i="1"/>
  <c r="O3260" i="1"/>
  <c r="M3265" i="1"/>
  <c r="M3275" i="1"/>
  <c r="O3278" i="1"/>
  <c r="M3318" i="1"/>
  <c r="M3331" i="1"/>
  <c r="M3358" i="1"/>
  <c r="M3367" i="1"/>
  <c r="O3386" i="1"/>
  <c r="O3390" i="1"/>
  <c r="O3406" i="1"/>
  <c r="O3414" i="1"/>
  <c r="O3439" i="1"/>
  <c r="M3440" i="1"/>
  <c r="M3442" i="1"/>
  <c r="M3439" i="1"/>
  <c r="M3441" i="1"/>
  <c r="M3443" i="1"/>
  <c r="O3407" i="1"/>
  <c r="M3408" i="1"/>
  <c r="O3408" i="1"/>
  <c r="M3385" i="1"/>
  <c r="O3385" i="1"/>
  <c r="M3366" i="1"/>
  <c r="M3368" i="1"/>
  <c r="M3348" i="1"/>
  <c r="M3350" i="1"/>
  <c r="M3330" i="1"/>
  <c r="M3332" i="1"/>
  <c r="M3312" i="1"/>
  <c r="M3314" i="1"/>
  <c r="M3276" i="1"/>
  <c r="M3278" i="1"/>
  <c r="M3294" i="1"/>
  <c r="M3296" i="1"/>
  <c r="M3257" i="1"/>
  <c r="M3259" i="1"/>
  <c r="M3261" i="1"/>
  <c r="M3258" i="1"/>
  <c r="M3260" i="1"/>
  <c r="M3237" i="1"/>
  <c r="O3237" i="1"/>
  <c r="M3236" i="1"/>
  <c r="O3236" i="1"/>
  <c r="M3217" i="1"/>
  <c r="M3219" i="1"/>
  <c r="M3199" i="1"/>
  <c r="M3201" i="1"/>
  <c r="Q3158" i="1"/>
  <c r="M3160" i="1"/>
  <c r="O3160" i="1"/>
  <c r="M3159" i="1"/>
  <c r="O3159" i="1"/>
  <c r="M3137" i="1"/>
  <c r="O3137" i="1"/>
  <c r="M3136" i="1"/>
  <c r="O3136" i="1"/>
  <c r="E51" i="5"/>
  <c r="E53" i="5"/>
  <c r="M2903" i="1"/>
  <c r="M2905" i="1"/>
  <c r="M2907" i="1"/>
  <c r="M1995" i="1"/>
  <c r="Q2747" i="1"/>
  <c r="O3011" i="1"/>
  <c r="R2813" i="1"/>
  <c r="S2816" i="1"/>
  <c r="M2355" i="1"/>
  <c r="M2369" i="1"/>
  <c r="M2685" i="1"/>
  <c r="R2745" i="1"/>
  <c r="O3019" i="1"/>
  <c r="M1928" i="1"/>
  <c r="M1833" i="1"/>
  <c r="M1815" i="1"/>
  <c r="O3045" i="1"/>
  <c r="M2928" i="1"/>
  <c r="M3001" i="1"/>
  <c r="O3079" i="1"/>
  <c r="M848" i="1"/>
  <c r="M2105" i="1"/>
  <c r="M3119" i="1"/>
  <c r="M1797" i="1"/>
  <c r="O2806" i="1"/>
  <c r="O2923" i="1"/>
  <c r="O2471" i="1"/>
  <c r="O2605" i="1"/>
  <c r="O2800" i="1"/>
  <c r="O2875" i="1"/>
  <c r="M2160" i="1"/>
  <c r="M2303" i="1"/>
  <c r="M2313" i="1"/>
  <c r="M2376" i="1"/>
  <c r="M2589" i="1"/>
  <c r="M2628" i="1"/>
  <c r="M2667" i="1"/>
  <c r="R2743" i="1"/>
  <c r="M2816" i="1"/>
  <c r="O3093" i="1"/>
  <c r="M3102" i="1"/>
  <c r="M3104" i="1"/>
  <c r="O2157" i="1"/>
  <c r="O2312" i="1"/>
  <c r="O2331" i="1"/>
  <c r="Q2739" i="1"/>
  <c r="M3101" i="1"/>
  <c r="M2263" i="1"/>
  <c r="M2339" i="1"/>
  <c r="M2368" i="1"/>
  <c r="M2449" i="1"/>
  <c r="M2511" i="1"/>
  <c r="M2543" i="1"/>
  <c r="S2728" i="1"/>
  <c r="M2738" i="1"/>
  <c r="R2747" i="1"/>
  <c r="M2801" i="1"/>
  <c r="M2949" i="1"/>
  <c r="M2959" i="1"/>
  <c r="M3003" i="1"/>
  <c r="M3083" i="1"/>
  <c r="O3021" i="1"/>
  <c r="M3059" i="1"/>
  <c r="M3064" i="1"/>
  <c r="O2277" i="1"/>
  <c r="R2801" i="1"/>
  <c r="O3059" i="1"/>
  <c r="O3112" i="1"/>
  <c r="O3094" i="1"/>
  <c r="Q3112" i="1"/>
  <c r="M2947" i="1"/>
  <c r="M3015" i="1"/>
  <c r="R2800" i="1"/>
  <c r="Q2803" i="1"/>
  <c r="O473" i="1"/>
  <c r="O509" i="1"/>
  <c r="O545" i="1"/>
  <c r="O1554" i="1"/>
  <c r="O1654" i="1"/>
  <c r="O1772" i="1"/>
  <c r="O1808" i="1"/>
  <c r="O1867" i="1"/>
  <c r="O1962" i="1"/>
  <c r="O1946" i="1"/>
  <c r="O2059" i="1"/>
  <c r="M2496" i="1"/>
  <c r="M2510" i="1"/>
  <c r="M2521" i="1"/>
  <c r="M2551" i="1"/>
  <c r="M2590" i="1"/>
  <c r="M2629" i="1"/>
  <c r="M2663" i="1"/>
  <c r="Q2731" i="1"/>
  <c r="R2737" i="1"/>
  <c r="S2800" i="1"/>
  <c r="O2993" i="1"/>
  <c r="M3002" i="1"/>
  <c r="O3013" i="1"/>
  <c r="O3077" i="1"/>
  <c r="M3118" i="1"/>
  <c r="M3004" i="1"/>
  <c r="O3042" i="1"/>
  <c r="O3075" i="1"/>
  <c r="M3084" i="1"/>
  <c r="M3094" i="1"/>
  <c r="M2182" i="1"/>
  <c r="M2216" i="1"/>
  <c r="M2406" i="1"/>
  <c r="M2563" i="1"/>
  <c r="M2646" i="1"/>
  <c r="M3065" i="1"/>
  <c r="M2385" i="1"/>
  <c r="M2508" i="1"/>
  <c r="M2520" i="1"/>
  <c r="M2957" i="1"/>
  <c r="O3022" i="1"/>
  <c r="M3060" i="1"/>
  <c r="O3122" i="1"/>
  <c r="O2957" i="1"/>
  <c r="M1968" i="1"/>
  <c r="M2977" i="1"/>
  <c r="Q1487" i="1"/>
  <c r="Q2425" i="1"/>
  <c r="O2726" i="1"/>
  <c r="M2993" i="1"/>
  <c r="O3020" i="1"/>
  <c r="O3034" i="1"/>
  <c r="O3044" i="1"/>
  <c r="O2349" i="1"/>
  <c r="O2432" i="1"/>
  <c r="O2456" i="1"/>
  <c r="O2524" i="1"/>
  <c r="O2562" i="1"/>
  <c r="O2997" i="1"/>
  <c r="M3093" i="1"/>
  <c r="M2153" i="1"/>
  <c r="M2287" i="1"/>
  <c r="M2320" i="1"/>
  <c r="M2403" i="1"/>
  <c r="M2473" i="1"/>
  <c r="M2478" i="1"/>
  <c r="M2597" i="1"/>
  <c r="M2684" i="1"/>
  <c r="R2820" i="1"/>
  <c r="O3078" i="1"/>
  <c r="O3096" i="1"/>
  <c r="Q3014" i="1"/>
  <c r="M560" i="1"/>
  <c r="M825" i="1"/>
  <c r="M1090" i="1"/>
  <c r="M1126" i="1"/>
  <c r="O1753" i="1"/>
  <c r="O2033" i="1"/>
  <c r="O2079" i="1"/>
  <c r="O2113" i="1"/>
  <c r="M2123" i="1"/>
  <c r="R2739" i="1"/>
  <c r="M2932" i="1"/>
  <c r="M2966" i="1"/>
  <c r="O2976" i="1"/>
  <c r="M2979" i="1"/>
  <c r="M3000" i="1"/>
  <c r="Q3011" i="1"/>
  <c r="O3018" i="1"/>
  <c r="M3038" i="1"/>
  <c r="M3068" i="1"/>
  <c r="M3082" i="1"/>
  <c r="O3095" i="1"/>
  <c r="M3122" i="1"/>
  <c r="M1997" i="1"/>
  <c r="M1985" i="1"/>
  <c r="M1967" i="1"/>
  <c r="M2395" i="1"/>
  <c r="M2569" i="1"/>
  <c r="R2736" i="1"/>
  <c r="R2802" i="1"/>
  <c r="M2812" i="1"/>
  <c r="R2815" i="1"/>
  <c r="M2986" i="1"/>
  <c r="M3012" i="1"/>
  <c r="M3115" i="1"/>
  <c r="M1909" i="1"/>
  <c r="M1873" i="1"/>
  <c r="M1832" i="1"/>
  <c r="M1796" i="1"/>
  <c r="M2029" i="1"/>
  <c r="R2730" i="1"/>
  <c r="O3043" i="1"/>
  <c r="M3096" i="1"/>
  <c r="O1903" i="1"/>
  <c r="M2161" i="1"/>
  <c r="O3057" i="1"/>
  <c r="O3060" i="1"/>
  <c r="O3115" i="1"/>
  <c r="M1036" i="1"/>
  <c r="R2731" i="1"/>
  <c r="M3034" i="1"/>
  <c r="Q3037" i="1"/>
  <c r="Q3111" i="1"/>
  <c r="Q2741" i="1"/>
  <c r="O2994" i="1"/>
  <c r="M3011" i="1"/>
  <c r="Q3034" i="1"/>
  <c r="O3041" i="1"/>
  <c r="O3058" i="1"/>
  <c r="O3061" i="1"/>
  <c r="M3097" i="1"/>
  <c r="Q3114" i="1"/>
  <c r="O2072" i="1"/>
  <c r="R2732" i="1"/>
  <c r="S2801" i="1"/>
  <c r="M2811" i="1"/>
  <c r="M2931" i="1"/>
  <c r="M2975" i="1"/>
  <c r="M3035" i="1"/>
  <c r="M3067" i="1"/>
  <c r="O3097" i="1"/>
  <c r="Q2404" i="1"/>
  <c r="M2480" i="1"/>
  <c r="O2563" i="1"/>
  <c r="M2700" i="1"/>
  <c r="R2741" i="1"/>
  <c r="Q2815" i="1"/>
  <c r="M3013" i="1"/>
  <c r="Q3036" i="1"/>
  <c r="O3038" i="1"/>
  <c r="M3061" i="1"/>
  <c r="O3118" i="1"/>
  <c r="O2034" i="1"/>
  <c r="O2080" i="1"/>
  <c r="O2227" i="1"/>
  <c r="O2412" i="1"/>
  <c r="Q2426" i="1"/>
  <c r="O2564" i="1"/>
  <c r="O2583" i="1"/>
  <c r="O2714" i="1"/>
  <c r="O2733" i="1"/>
  <c r="Q2744" i="1"/>
  <c r="Q2812" i="1"/>
  <c r="Q2819" i="1"/>
  <c r="O2995" i="1"/>
  <c r="M3079" i="1"/>
  <c r="O3111" i="1"/>
  <c r="M2051" i="1"/>
  <c r="M2074" i="1"/>
  <c r="M2098" i="1"/>
  <c r="M2120" i="1"/>
  <c r="M2179" i="1"/>
  <c r="M2285" i="1"/>
  <c r="M2323" i="1"/>
  <c r="Q2402" i="1"/>
  <c r="M2455" i="1"/>
  <c r="Q2520" i="1"/>
  <c r="O2531" i="1"/>
  <c r="M2561" i="1"/>
  <c r="O2580" i="1"/>
  <c r="Q2736" i="1"/>
  <c r="R2744" i="1"/>
  <c r="R2816" i="1"/>
  <c r="M2929" i="1"/>
  <c r="M2948" i="1"/>
  <c r="M2961" i="1"/>
  <c r="M2967" i="1"/>
  <c r="Q3038" i="1"/>
  <c r="M3057" i="1"/>
  <c r="M3085" i="1"/>
  <c r="O3119" i="1"/>
  <c r="Q3113" i="1"/>
  <c r="O928" i="1"/>
  <c r="Q2804" i="1"/>
  <c r="Q2807" i="1"/>
  <c r="O2876" i="1"/>
  <c r="O2924" i="1"/>
  <c r="O2958" i="1"/>
  <c r="M2392" i="1"/>
  <c r="O2435" i="1"/>
  <c r="O2459" i="1"/>
  <c r="M2571" i="1"/>
  <c r="M2683" i="1"/>
  <c r="R2728" i="1"/>
  <c r="R2804" i="1"/>
  <c r="O2921" i="1"/>
  <c r="M2930" i="1"/>
  <c r="O2940" i="1"/>
  <c r="M2968" i="1"/>
  <c r="M3077" i="1"/>
  <c r="M3086" i="1"/>
  <c r="M3120" i="1"/>
  <c r="O2492" i="1"/>
  <c r="M2586" i="1"/>
  <c r="O2621" i="1"/>
  <c r="O2659" i="1"/>
  <c r="O2678" i="1"/>
  <c r="R2726" i="1"/>
  <c r="O2877" i="1"/>
  <c r="O2925" i="1"/>
  <c r="O2978" i="1"/>
  <c r="M2983" i="1"/>
  <c r="O3012" i="1"/>
  <c r="O727" i="1"/>
  <c r="O766" i="1"/>
  <c r="O995" i="1"/>
  <c r="O1106" i="1"/>
  <c r="O1211" i="1"/>
  <c r="M1830" i="1"/>
  <c r="M1812" i="1"/>
  <c r="O1756" i="1"/>
  <c r="M2102" i="1"/>
  <c r="O2116" i="1"/>
  <c r="M2163" i="1"/>
  <c r="O2172" i="1"/>
  <c r="M2196" i="1"/>
  <c r="O2210" i="1"/>
  <c r="M2235" i="1"/>
  <c r="M2256" i="1"/>
  <c r="M2374" i="1"/>
  <c r="M2489" i="1"/>
  <c r="M2452" i="1"/>
  <c r="M2507" i="1"/>
  <c r="O2547" i="1"/>
  <c r="M2631" i="1"/>
  <c r="O2656" i="1"/>
  <c r="M2665" i="1"/>
  <c r="M2699" i="1"/>
  <c r="M2712" i="1"/>
  <c r="S2726" i="1"/>
  <c r="Q2734" i="1"/>
  <c r="R2740" i="1"/>
  <c r="Q2743" i="1"/>
  <c r="Q2746" i="1"/>
  <c r="S2799" i="1"/>
  <c r="M2802" i="1"/>
  <c r="R2808" i="1"/>
  <c r="M2946" i="1"/>
  <c r="M2984" i="1"/>
  <c r="M3058" i="1"/>
  <c r="M3075" i="1"/>
  <c r="M3095" i="1"/>
  <c r="M3103" i="1"/>
  <c r="M3112" i="1"/>
  <c r="O3120" i="1"/>
  <c r="Q3013" i="1"/>
  <c r="O3035" i="1"/>
  <c r="M3121" i="1"/>
  <c r="M1890" i="1"/>
  <c r="M1831" i="1"/>
  <c r="M2103" i="1"/>
  <c r="M2164" i="1"/>
  <c r="M2197" i="1"/>
  <c r="M2278" i="1"/>
  <c r="M2302" i="1"/>
  <c r="M2341" i="1"/>
  <c r="M2366" i="1"/>
  <c r="O2878" i="1"/>
  <c r="O2922" i="1"/>
  <c r="M2965" i="1"/>
  <c r="O2975" i="1"/>
  <c r="M2985" i="1"/>
  <c r="Q3035" i="1"/>
  <c r="M3066" i="1"/>
  <c r="M3100" i="1"/>
  <c r="M3114" i="1"/>
  <c r="O3121" i="1"/>
  <c r="Q3115" i="1"/>
  <c r="O3114" i="1"/>
  <c r="M3113" i="1"/>
  <c r="O3113" i="1"/>
  <c r="M3076" i="1"/>
  <c r="M3078" i="1"/>
  <c r="M3037" i="1"/>
  <c r="M3042" i="1"/>
  <c r="M3044" i="1"/>
  <c r="O3037" i="1"/>
  <c r="M3036" i="1"/>
  <c r="O3036" i="1"/>
  <c r="M3041" i="1"/>
  <c r="M3043" i="1"/>
  <c r="M3045" i="1"/>
  <c r="O3015" i="1"/>
  <c r="Q3012" i="1"/>
  <c r="M3014" i="1"/>
  <c r="M3019" i="1"/>
  <c r="M3021" i="1"/>
  <c r="Q3015" i="1"/>
  <c r="O3014" i="1"/>
  <c r="M3018" i="1"/>
  <c r="M3020" i="1"/>
  <c r="M3022" i="1"/>
  <c r="O2996" i="1"/>
  <c r="M2370" i="1"/>
  <c r="M2471" i="1"/>
  <c r="O2713" i="1"/>
  <c r="R2809" i="1"/>
  <c r="O2313" i="1"/>
  <c r="O2429" i="1"/>
  <c r="M2692" i="1"/>
  <c r="M2925" i="1"/>
  <c r="M2940" i="1"/>
  <c r="M2943" i="1"/>
  <c r="M2338" i="1"/>
  <c r="O2348" i="1"/>
  <c r="M2358" i="1"/>
  <c r="M2642" i="1"/>
  <c r="O2692" i="1"/>
  <c r="R2735" i="1"/>
  <c r="R2738" i="1"/>
  <c r="R2746" i="1"/>
  <c r="M2807" i="1"/>
  <c r="R2810" i="1"/>
  <c r="R2819" i="1"/>
  <c r="O2943" i="1"/>
  <c r="M1888" i="1"/>
  <c r="M2200" i="1"/>
  <c r="M2209" i="1"/>
  <c r="M2234" i="1"/>
  <c r="M2255" i="1"/>
  <c r="O2298" i="1"/>
  <c r="M2491" i="1"/>
  <c r="O2601" i="1"/>
  <c r="O2642" i="1"/>
  <c r="Q2810" i="1"/>
  <c r="M2997" i="1"/>
  <c r="O1848" i="1"/>
  <c r="O2491" i="1"/>
  <c r="M2599" i="1"/>
  <c r="O2620" i="1"/>
  <c r="M2630" i="1"/>
  <c r="M2674" i="1"/>
  <c r="Q2802" i="1"/>
  <c r="M2923" i="1"/>
  <c r="M2941" i="1"/>
  <c r="M2950" i="1"/>
  <c r="O2961" i="1"/>
  <c r="O2979" i="1"/>
  <c r="M2267" i="1"/>
  <c r="O2280" i="1"/>
  <c r="M2315" i="1"/>
  <c r="O2674" i="1"/>
  <c r="M2711" i="1"/>
  <c r="Q2733" i="1"/>
  <c r="O2941" i="1"/>
  <c r="Q2073" i="1"/>
  <c r="Q2132" i="1"/>
  <c r="O2581" i="1"/>
  <c r="M2817" i="1"/>
  <c r="M2921" i="1"/>
  <c r="O2942" i="1"/>
  <c r="M2964" i="1"/>
  <c r="M2995" i="1"/>
  <c r="O1866" i="1"/>
  <c r="O1902" i="1"/>
  <c r="O1961" i="1"/>
  <c r="O1851" i="1"/>
  <c r="O1945" i="1"/>
  <c r="O1732" i="1"/>
  <c r="O2097" i="1"/>
  <c r="O2140" i="1"/>
  <c r="O2154" i="1"/>
  <c r="O2384" i="1"/>
  <c r="O2411" i="1"/>
  <c r="O2433" i="1"/>
  <c r="O2582" i="1"/>
  <c r="O2597" i="1"/>
  <c r="O2600" i="1"/>
  <c r="Q2729" i="1"/>
  <c r="Q2742" i="1"/>
  <c r="R2806" i="1"/>
  <c r="R2814" i="1"/>
  <c r="M2939" i="1"/>
  <c r="O2959" i="1"/>
  <c r="M2982" i="1"/>
  <c r="O1650" i="1"/>
  <c r="O1686" i="1"/>
  <c r="O1722" i="1"/>
  <c r="O1745" i="1"/>
  <c r="O1804" i="1"/>
  <c r="O1840" i="1"/>
  <c r="O1863" i="1"/>
  <c r="O1899" i="1"/>
  <c r="O1935" i="1"/>
  <c r="O1994" i="1"/>
  <c r="O1729" i="1"/>
  <c r="O2071" i="1"/>
  <c r="Q2130" i="1"/>
  <c r="O2137" i="1"/>
  <c r="M2178" i="1"/>
  <c r="O2297" i="1"/>
  <c r="M2322" i="1"/>
  <c r="O2474" i="1"/>
  <c r="M2493" i="1"/>
  <c r="M2499" i="1"/>
  <c r="M2554" i="1"/>
  <c r="O2579" i="1"/>
  <c r="M2588" i="1"/>
  <c r="Q2597" i="1"/>
  <c r="O2608" i="1"/>
  <c r="M2622" i="1"/>
  <c r="R2729" i="1"/>
  <c r="R2734" i="1"/>
  <c r="Q2737" i="1"/>
  <c r="R2742" i="1"/>
  <c r="M2745" i="1"/>
  <c r="Q2818" i="1"/>
  <c r="M2922" i="1"/>
  <c r="O2939" i="1"/>
  <c r="M2942" i="1"/>
  <c r="O2960" i="1"/>
  <c r="O2977" i="1"/>
  <c r="O2874" i="1"/>
  <c r="M2994" i="1"/>
  <c r="M2996" i="1"/>
  <c r="M2976" i="1"/>
  <c r="M2978" i="1"/>
  <c r="M2958" i="1"/>
  <c r="M2960" i="1"/>
  <c r="M2924" i="1"/>
  <c r="E52" i="5"/>
  <c r="M2875" i="1"/>
  <c r="M2877" i="1"/>
  <c r="M2874" i="1"/>
  <c r="M2876" i="1"/>
  <c r="M2878" i="1"/>
  <c r="M2664" i="1"/>
  <c r="M2330" i="1"/>
  <c r="M1277" i="1"/>
  <c r="M2268" i="1"/>
  <c r="O2296" i="1"/>
  <c r="M2497" i="1"/>
  <c r="M2564" i="1"/>
  <c r="O2640" i="1"/>
  <c r="M2678" i="1"/>
  <c r="O2696" i="1"/>
  <c r="Q2732" i="1"/>
  <c r="Q2801" i="1"/>
  <c r="Q2808" i="1"/>
  <c r="Q2813" i="1"/>
  <c r="R2818" i="1"/>
  <c r="M1980" i="1"/>
  <c r="M2803" i="1"/>
  <c r="M1747" i="1"/>
  <c r="O1634" i="1"/>
  <c r="O1670" i="1"/>
  <c r="O1706" i="1"/>
  <c r="Q1747" i="1"/>
  <c r="O1788" i="1"/>
  <c r="O1824" i="1"/>
  <c r="O1883" i="1"/>
  <c r="O1754" i="1"/>
  <c r="M2104" i="1"/>
  <c r="M2232" i="1"/>
  <c r="M2250" i="1"/>
  <c r="M2269" i="1"/>
  <c r="M2284" i="1"/>
  <c r="M2334" i="1"/>
  <c r="M2373" i="1"/>
  <c r="M2404" i="1"/>
  <c r="M2552" i="1"/>
  <c r="O2561" i="1"/>
  <c r="M2703" i="1"/>
  <c r="Q2735" i="1"/>
  <c r="S2743" i="1"/>
  <c r="S2806" i="1"/>
  <c r="R2811" i="1"/>
  <c r="R2805" i="1"/>
  <c r="M2818" i="1"/>
  <c r="M794" i="1"/>
  <c r="M1438" i="1"/>
  <c r="M1883" i="1"/>
  <c r="O2315" i="1"/>
  <c r="O2334" i="1"/>
  <c r="O2449" i="1"/>
  <c r="Q2522" i="1"/>
  <c r="Q2600" i="1"/>
  <c r="M2660" i="1"/>
  <c r="Q2726" i="1"/>
  <c r="Q2745" i="1"/>
  <c r="M2800" i="1"/>
  <c r="Q2809" i="1"/>
  <c r="Q2814" i="1"/>
  <c r="M2319" i="1"/>
  <c r="O2801" i="1"/>
  <c r="M2425" i="1"/>
  <c r="M2600" i="1"/>
  <c r="M2808" i="1"/>
  <c r="O1006" i="1"/>
  <c r="O1213" i="1"/>
  <c r="O1687" i="1"/>
  <c r="O1769" i="1"/>
  <c r="O1943" i="1"/>
  <c r="O2138" i="1"/>
  <c r="O2174" i="1"/>
  <c r="O2279" i="1"/>
  <c r="O2316" i="1"/>
  <c r="O2387" i="1"/>
  <c r="O2409" i="1"/>
  <c r="O2490" i="1"/>
  <c r="O2457" i="1"/>
  <c r="Q2524" i="1"/>
  <c r="O2544" i="1"/>
  <c r="M2565" i="1"/>
  <c r="Q2598" i="1"/>
  <c r="O2660" i="1"/>
  <c r="O2676" i="1"/>
  <c r="R2733" i="1"/>
  <c r="M2804" i="1"/>
  <c r="M2813" i="1"/>
  <c r="M372" i="1"/>
  <c r="M408" i="1"/>
  <c r="M424" i="1"/>
  <c r="O1344" i="1"/>
  <c r="O1380" i="1"/>
  <c r="M1538" i="1"/>
  <c r="O1671" i="1"/>
  <c r="M2180" i="1"/>
  <c r="M2337" i="1"/>
  <c r="M2356" i="1"/>
  <c r="M2384" i="1"/>
  <c r="O2472" i="1"/>
  <c r="O2475" i="1"/>
  <c r="M2481" i="1"/>
  <c r="O2426" i="1"/>
  <c r="M2429" i="1"/>
  <c r="Q2450" i="1"/>
  <c r="O2565" i="1"/>
  <c r="M2581" i="1"/>
  <c r="O2606" i="1"/>
  <c r="M2620" i="1"/>
  <c r="O2638" i="1"/>
  <c r="M2681" i="1"/>
  <c r="S2733" i="1"/>
  <c r="Q2799" i="1"/>
  <c r="Q2800" i="1"/>
  <c r="R2807" i="1"/>
  <c r="M2809" i="1"/>
  <c r="R2812" i="1"/>
  <c r="M2814" i="1"/>
  <c r="Q2817" i="1"/>
  <c r="Q2820" i="1"/>
  <c r="M2579" i="1"/>
  <c r="O2799" i="1"/>
  <c r="O2607" i="1"/>
  <c r="M2640" i="1"/>
  <c r="M2696" i="1"/>
  <c r="M595" i="1"/>
  <c r="O673" i="1"/>
  <c r="O1632" i="1"/>
  <c r="O1668" i="1"/>
  <c r="O2225" i="1"/>
  <c r="O2351" i="1"/>
  <c r="Q2405" i="1"/>
  <c r="O2413" i="1"/>
  <c r="O2434" i="1"/>
  <c r="O2448" i="1"/>
  <c r="O2639" i="1"/>
  <c r="R2799" i="1"/>
  <c r="M1984" i="1"/>
  <c r="M2607" i="1"/>
  <c r="M2352" i="1"/>
  <c r="O1037" i="1"/>
  <c r="O1109" i="1"/>
  <c r="M1263" i="1"/>
  <c r="M1534" i="1"/>
  <c r="O1996" i="1"/>
  <c r="M2134" i="1"/>
  <c r="M2181" i="1"/>
  <c r="M2215" i="1"/>
  <c r="M2305" i="1"/>
  <c r="O2314" i="1"/>
  <c r="O2367" i="1"/>
  <c r="M2375" i="1"/>
  <c r="O2385" i="1"/>
  <c r="M2394" i="1"/>
  <c r="Q2427" i="1"/>
  <c r="M2448" i="1"/>
  <c r="M2509" i="1"/>
  <c r="Q2523" i="1"/>
  <c r="O2545" i="1"/>
  <c r="M2568" i="1"/>
  <c r="M2587" i="1"/>
  <c r="M2624" i="1"/>
  <c r="M2649" i="1"/>
  <c r="O2677" i="1"/>
  <c r="M2682" i="1"/>
  <c r="R2727" i="1"/>
  <c r="M2799" i="1"/>
  <c r="Q2805" i="1"/>
  <c r="M2810" i="1"/>
  <c r="M2815" i="1"/>
  <c r="M2805" i="1"/>
  <c r="Q2806" i="1"/>
  <c r="M2819" i="1"/>
  <c r="R2803" i="1"/>
  <c r="Q2811" i="1"/>
  <c r="O2816" i="1"/>
  <c r="R2817" i="1"/>
  <c r="Q2816" i="1"/>
  <c r="M2806" i="1"/>
  <c r="M2820" i="1"/>
  <c r="Q2727" i="1"/>
  <c r="Q2728" i="1"/>
  <c r="M2747" i="1"/>
  <c r="M2746" i="1"/>
  <c r="M2744" i="1"/>
  <c r="M2743" i="1"/>
  <c r="O2743" i="1"/>
  <c r="M2742" i="1"/>
  <c r="M2741" i="1"/>
  <c r="Q2740" i="1"/>
  <c r="M2740" i="1"/>
  <c r="M2739" i="1"/>
  <c r="Q2738" i="1"/>
  <c r="M2737" i="1"/>
  <c r="M2736" i="1"/>
  <c r="M2735" i="1"/>
  <c r="M2734" i="1"/>
  <c r="M2733" i="1"/>
  <c r="M2732" i="1"/>
  <c r="M2731" i="1"/>
  <c r="Q2730" i="1"/>
  <c r="M2730" i="1"/>
  <c r="M2729" i="1"/>
  <c r="M2728" i="1"/>
  <c r="O2728" i="1"/>
  <c r="S2727" i="1"/>
  <c r="M2727" i="1"/>
  <c r="O2727" i="1"/>
  <c r="M2726" i="1"/>
  <c r="O2712" i="1"/>
  <c r="M2714" i="1"/>
  <c r="M740" i="1"/>
  <c r="M779" i="1"/>
  <c r="O1689" i="1"/>
  <c r="O1787" i="1"/>
  <c r="O1882" i="1"/>
  <c r="O1918" i="1"/>
  <c r="O1937" i="1"/>
  <c r="O1977" i="1"/>
  <c r="M1889" i="1"/>
  <c r="M1871" i="1"/>
  <c r="O2032" i="1"/>
  <c r="O2078" i="1"/>
  <c r="M2101" i="1"/>
  <c r="O2112" i="1"/>
  <c r="O2141" i="1"/>
  <c r="O2155" i="1"/>
  <c r="O2207" i="1"/>
  <c r="O2229" i="1"/>
  <c r="M2236" i="1"/>
  <c r="M2249" i="1"/>
  <c r="M2257" i="1"/>
  <c r="M2280" i="1"/>
  <c r="M2286" i="1"/>
  <c r="O2295" i="1"/>
  <c r="M2298" i="1"/>
  <c r="M2304" i="1"/>
  <c r="O2333" i="1"/>
  <c r="M2348" i="1"/>
  <c r="M2357" i="1"/>
  <c r="O2366" i="1"/>
  <c r="O2386" i="1"/>
  <c r="M2391" i="1"/>
  <c r="O2402" i="1"/>
  <c r="O2404" i="1"/>
  <c r="O2473" i="1"/>
  <c r="M2482" i="1"/>
  <c r="O2493" i="1"/>
  <c r="M2426" i="1"/>
  <c r="O2436" i="1"/>
  <c r="O2520" i="1"/>
  <c r="O2622" i="1"/>
  <c r="M2627" i="1"/>
  <c r="O2641" i="1"/>
  <c r="M2656" i="1"/>
  <c r="M1849" i="1"/>
  <c r="M2500" i="1"/>
  <c r="M2572" i="1"/>
  <c r="Q2601" i="1"/>
  <c r="O2623" i="1"/>
  <c r="M2701" i="1"/>
  <c r="M2523" i="1"/>
  <c r="M2638" i="1"/>
  <c r="M2647" i="1"/>
  <c r="O2675" i="1"/>
  <c r="O2711" i="1"/>
  <c r="M388" i="1"/>
  <c r="M506" i="1"/>
  <c r="O952" i="1"/>
  <c r="O1574" i="1"/>
  <c r="M1776" i="1"/>
  <c r="O2096" i="1"/>
  <c r="O2153" i="1"/>
  <c r="O2190" i="1"/>
  <c r="M2193" i="1"/>
  <c r="M2199" i="1"/>
  <c r="M2261" i="1"/>
  <c r="M2301" i="1"/>
  <c r="O2330" i="1"/>
  <c r="O2352" i="1"/>
  <c r="M2367" i="1"/>
  <c r="M2387" i="1"/>
  <c r="M2411" i="1"/>
  <c r="O2527" i="1"/>
  <c r="M2530" i="1"/>
  <c r="M2598" i="1"/>
  <c r="O2604" i="1"/>
  <c r="O2657" i="1"/>
  <c r="M2666" i="1"/>
  <c r="O2693" i="1"/>
  <c r="M2702" i="1"/>
  <c r="Q874" i="1"/>
  <c r="M1651" i="1"/>
  <c r="M2214" i="1"/>
  <c r="M2233" i="1"/>
  <c r="M2251" i="1"/>
  <c r="M2262" i="1"/>
  <c r="M2276" i="1"/>
  <c r="M2283" i="1"/>
  <c r="M2296" i="1"/>
  <c r="M2321" i="1"/>
  <c r="M2340" i="1"/>
  <c r="M2359" i="1"/>
  <c r="M2393" i="1"/>
  <c r="O2406" i="1"/>
  <c r="M2479" i="1"/>
  <c r="O2523" i="1"/>
  <c r="O2530" i="1"/>
  <c r="M2547" i="1"/>
  <c r="M2553" i="1"/>
  <c r="M2648" i="1"/>
  <c r="M2094" i="1"/>
  <c r="O2278" i="1"/>
  <c r="Q2406" i="1"/>
  <c r="M2175" i="1"/>
  <c r="M2316" i="1"/>
  <c r="M2350" i="1"/>
  <c r="O2370" i="1"/>
  <c r="M2388" i="1"/>
  <c r="O2489" i="1"/>
  <c r="Q2429" i="1"/>
  <c r="Q2452" i="1"/>
  <c r="Q2521" i="1"/>
  <c r="M2562" i="1"/>
  <c r="M2676" i="1"/>
  <c r="M1936" i="1"/>
  <c r="O1850" i="1"/>
  <c r="Q2134" i="1"/>
  <c r="O2276" i="1"/>
  <c r="M2279" i="1"/>
  <c r="M2312" i="1"/>
  <c r="M2314" i="1"/>
  <c r="O2350" i="1"/>
  <c r="M2377" i="1"/>
  <c r="O2388" i="1"/>
  <c r="O2403" i="1"/>
  <c r="M2409" i="1"/>
  <c r="M2498" i="1"/>
  <c r="O2425" i="1"/>
  <c r="M2457" i="1"/>
  <c r="M2524" i="1"/>
  <c r="M2528" i="1"/>
  <c r="M2545" i="1"/>
  <c r="M2550" i="1"/>
  <c r="M2570" i="1"/>
  <c r="Q2599" i="1"/>
  <c r="M2601" i="1"/>
  <c r="M2605" i="1"/>
  <c r="O2624" i="1"/>
  <c r="M2645" i="1"/>
  <c r="M2658" i="1"/>
  <c r="M2694" i="1"/>
  <c r="Q1142" i="1"/>
  <c r="Q1723" i="1"/>
  <c r="O1936" i="1"/>
  <c r="M2294" i="1"/>
  <c r="M2332" i="1"/>
  <c r="O2368" i="1"/>
  <c r="M2405" i="1"/>
  <c r="Q2448" i="1"/>
  <c r="Q2451" i="1"/>
  <c r="O2455" i="1"/>
  <c r="O2528" i="1"/>
  <c r="O2543" i="1"/>
  <c r="O2658" i="1"/>
  <c r="O2694" i="1"/>
  <c r="M1669" i="1"/>
  <c r="O1885" i="1"/>
  <c r="O1921" i="1"/>
  <c r="Q1936" i="1"/>
  <c r="M1939" i="1"/>
  <c r="M1829" i="1"/>
  <c r="O2115" i="1"/>
  <c r="Q2133" i="1"/>
  <c r="M2229" i="1"/>
  <c r="M2277" i="1"/>
  <c r="O2294" i="1"/>
  <c r="O2332" i="1"/>
  <c r="O2369" i="1"/>
  <c r="M2386" i="1"/>
  <c r="Q2403" i="1"/>
  <c r="O2410" i="1"/>
  <c r="M2475" i="1"/>
  <c r="Q2428" i="1"/>
  <c r="O2458" i="1"/>
  <c r="O2529" i="1"/>
  <c r="O2546" i="1"/>
  <c r="M2583" i="1"/>
  <c r="O2695" i="1"/>
  <c r="M2713" i="1"/>
  <c r="M2710" i="1"/>
  <c r="O2710" i="1"/>
  <c r="M2693" i="1"/>
  <c r="M2695" i="1"/>
  <c r="M2675" i="1"/>
  <c r="M2677" i="1"/>
  <c r="M2657" i="1"/>
  <c r="M2659" i="1"/>
  <c r="M2639" i="1"/>
  <c r="M2641" i="1"/>
  <c r="M2621" i="1"/>
  <c r="M2623" i="1"/>
  <c r="O2598" i="1"/>
  <c r="O2599" i="1"/>
  <c r="M2604" i="1"/>
  <c r="M2606" i="1"/>
  <c r="M2608" i="1"/>
  <c r="M2580" i="1"/>
  <c r="M2582" i="1"/>
  <c r="M2544" i="1"/>
  <c r="M2546" i="1"/>
  <c r="O2521" i="1"/>
  <c r="M2522" i="1"/>
  <c r="O2522" i="1"/>
  <c r="M2527" i="1"/>
  <c r="M2529" i="1"/>
  <c r="M2531" i="1"/>
  <c r="O2452" i="1"/>
  <c r="Q2449" i="1"/>
  <c r="M2451" i="1"/>
  <c r="M2456" i="1"/>
  <c r="M2458" i="1"/>
  <c r="O2451" i="1"/>
  <c r="M2450" i="1"/>
  <c r="O2450" i="1"/>
  <c r="M2459" i="1"/>
  <c r="M2428" i="1"/>
  <c r="M2433" i="1"/>
  <c r="M2435" i="1"/>
  <c r="O2428" i="1"/>
  <c r="M2427" i="1"/>
  <c r="O2427" i="1"/>
  <c r="M2432" i="1"/>
  <c r="M2434" i="1"/>
  <c r="M2436" i="1"/>
  <c r="M2490" i="1"/>
  <c r="M2492" i="1"/>
  <c r="M2472" i="1"/>
  <c r="M2474" i="1"/>
  <c r="M2402" i="1"/>
  <c r="M2410" i="1"/>
  <c r="M2412" i="1"/>
  <c r="O2405" i="1"/>
  <c r="M2413" i="1"/>
  <c r="M2349" i="1"/>
  <c r="M2351" i="1"/>
  <c r="M2331" i="1"/>
  <c r="M2333" i="1"/>
  <c r="M2295" i="1"/>
  <c r="M2297" i="1"/>
  <c r="O1633" i="1"/>
  <c r="O1672" i="1"/>
  <c r="O1708" i="1"/>
  <c r="O1770" i="1"/>
  <c r="O1917" i="1"/>
  <c r="M1299" i="1"/>
  <c r="M1532" i="1"/>
  <c r="M1653" i="1"/>
  <c r="O1705" i="1"/>
  <c r="O1806" i="1"/>
  <c r="O1901" i="1"/>
  <c r="Q1939" i="1"/>
  <c r="O1960" i="1"/>
  <c r="O1979" i="1"/>
  <c r="M1910" i="1"/>
  <c r="M1892" i="1"/>
  <c r="M1793" i="1"/>
  <c r="M1775" i="1"/>
  <c r="O1731" i="1"/>
  <c r="M2025" i="1"/>
  <c r="Q2027" i="1"/>
  <c r="O2057" i="1"/>
  <c r="Q2075" i="1"/>
  <c r="M2096" i="1"/>
  <c r="O2134" i="1"/>
  <c r="M2162" i="1"/>
  <c r="M2171" i="1"/>
  <c r="M2189" i="1"/>
  <c r="M2198" i="1"/>
  <c r="O2208" i="1"/>
  <c r="M2211" i="1"/>
  <c r="O2226" i="1"/>
  <c r="M1965" i="1"/>
  <c r="M1906" i="1"/>
  <c r="M1874" i="1"/>
  <c r="M2013" i="1"/>
  <c r="O2171" i="1"/>
  <c r="M2174" i="1"/>
  <c r="O2189" i="1"/>
  <c r="O2211" i="1"/>
  <c r="M2217" i="1"/>
  <c r="M1259" i="1"/>
  <c r="M1308" i="1"/>
  <c r="M1842" i="1"/>
  <c r="M1966" i="1"/>
  <c r="M1925" i="1"/>
  <c r="M1907" i="1"/>
  <c r="M1847" i="1"/>
  <c r="M1813" i="1"/>
  <c r="M2014" i="1"/>
  <c r="M2050" i="1"/>
  <c r="M2115" i="1"/>
  <c r="M2121" i="1"/>
  <c r="M2131" i="1"/>
  <c r="M2157" i="1"/>
  <c r="O2193" i="1"/>
  <c r="M2218" i="1"/>
  <c r="O627" i="1"/>
  <c r="O1842" i="1"/>
  <c r="M1977" i="1"/>
  <c r="M2172" i="1"/>
  <c r="M2227" i="1"/>
  <c r="M1529" i="1"/>
  <c r="Q1842" i="1"/>
  <c r="Q2050" i="1"/>
  <c r="O2131" i="1"/>
  <c r="O2175" i="1"/>
  <c r="O2209" i="1"/>
  <c r="M778" i="1"/>
  <c r="Q861" i="1"/>
  <c r="O1849" i="1"/>
  <c r="O2094" i="1"/>
  <c r="M2113" i="1"/>
  <c r="M2122" i="1"/>
  <c r="M2155" i="1"/>
  <c r="M2191" i="1"/>
  <c r="O1467" i="1"/>
  <c r="O1588" i="1"/>
  <c r="M1746" i="1"/>
  <c r="O1748" i="1"/>
  <c r="O1805" i="1"/>
  <c r="O1900" i="1"/>
  <c r="M1938" i="1"/>
  <c r="O1959" i="1"/>
  <c r="O2029" i="1"/>
  <c r="O2056" i="1"/>
  <c r="O2095" i="1"/>
  <c r="Q2131" i="1"/>
  <c r="M2173" i="1"/>
  <c r="O2191" i="1"/>
  <c r="M2225" i="1"/>
  <c r="O2228" i="1"/>
  <c r="M390" i="1"/>
  <c r="O1008" i="1"/>
  <c r="O1345" i="1"/>
  <c r="M1535" i="1"/>
  <c r="O1688" i="1"/>
  <c r="O1723" i="1"/>
  <c r="Q1726" i="1"/>
  <c r="O1746" i="1"/>
  <c r="O1786" i="1"/>
  <c r="O1825" i="1"/>
  <c r="O1884" i="1"/>
  <c r="O1938" i="1"/>
  <c r="O1998" i="1"/>
  <c r="M1891" i="1"/>
  <c r="M1851" i="1"/>
  <c r="M1848" i="1"/>
  <c r="O1944" i="1"/>
  <c r="M1811" i="1"/>
  <c r="Q2029" i="1"/>
  <c r="O2035" i="1"/>
  <c r="O2081" i="1"/>
  <c r="Q2049" i="1"/>
  <c r="Q2072" i="1"/>
  <c r="O2098" i="1"/>
  <c r="O2114" i="1"/>
  <c r="M2119" i="1"/>
  <c r="O2132" i="1"/>
  <c r="O2139" i="1"/>
  <c r="O2156" i="1"/>
  <c r="O2173" i="1"/>
  <c r="O2192" i="1"/>
  <c r="M2207" i="1"/>
  <c r="M2244" i="1"/>
  <c r="M2243" i="1"/>
  <c r="M2245" i="1"/>
  <c r="M2226" i="1"/>
  <c r="M2228" i="1"/>
  <c r="M2208" i="1"/>
  <c r="M2210" i="1"/>
  <c r="M2190" i="1"/>
  <c r="M2192" i="1"/>
  <c r="M2154" i="1"/>
  <c r="M2156" i="1"/>
  <c r="M2130" i="1"/>
  <c r="M2138" i="1"/>
  <c r="M2140" i="1"/>
  <c r="M2133" i="1"/>
  <c r="O2130" i="1"/>
  <c r="O2133" i="1"/>
  <c r="M2132" i="1"/>
  <c r="M2137" i="1"/>
  <c r="M2139" i="1"/>
  <c r="M2141" i="1"/>
  <c r="M2112" i="1"/>
  <c r="M2114" i="1"/>
  <c r="M2116" i="1"/>
  <c r="M2095" i="1"/>
  <c r="M2097" i="1"/>
  <c r="M1885" i="1"/>
  <c r="O1997" i="1"/>
  <c r="M409" i="1"/>
  <c r="M980" i="1"/>
  <c r="O1419" i="1"/>
  <c r="Q1749" i="1"/>
  <c r="M1789" i="1"/>
  <c r="Q1840" i="1"/>
  <c r="M1843" i="1"/>
  <c r="M1976" i="1"/>
  <c r="M1986" i="1"/>
  <c r="M1926" i="1"/>
  <c r="M1870" i="1"/>
  <c r="M1814" i="1"/>
  <c r="M1778" i="1"/>
  <c r="M1732" i="1"/>
  <c r="M2026" i="1"/>
  <c r="M2028" i="1"/>
  <c r="M2075" i="1"/>
  <c r="Q979" i="1"/>
  <c r="O1669" i="1"/>
  <c r="M1753" i="1"/>
  <c r="Q1841" i="1"/>
  <c r="M1899" i="1"/>
  <c r="O1976" i="1"/>
  <c r="O2028" i="1"/>
  <c r="O2051" i="1"/>
  <c r="M2073" i="1"/>
  <c r="M1795" i="1"/>
  <c r="O2075" i="1"/>
  <c r="M688" i="1"/>
  <c r="O754" i="1"/>
  <c r="O903" i="1"/>
  <c r="O1054" i="1"/>
  <c r="M1417" i="1"/>
  <c r="M1555" i="1"/>
  <c r="O1635" i="1"/>
  <c r="O1690" i="1"/>
  <c r="M1725" i="1"/>
  <c r="O1747" i="1"/>
  <c r="M1749" i="1"/>
  <c r="O1822" i="1"/>
  <c r="O1864" i="1"/>
  <c r="O1919" i="1"/>
  <c r="O1939" i="1"/>
  <c r="O1995" i="1"/>
  <c r="M1987" i="1"/>
  <c r="M1927" i="1"/>
  <c r="M1908" i="1"/>
  <c r="M1779" i="1"/>
  <c r="O1733" i="1"/>
  <c r="Q2028" i="1"/>
  <c r="O2036" i="1"/>
  <c r="O2082" i="1"/>
  <c r="Q2051" i="1"/>
  <c r="O2073" i="1"/>
  <c r="M387" i="1"/>
  <c r="M423" i="1"/>
  <c r="O688" i="1"/>
  <c r="M703" i="1"/>
  <c r="O1651" i="1"/>
  <c r="M1671" i="1"/>
  <c r="M1787" i="1"/>
  <c r="O1789" i="1"/>
  <c r="O1843" i="1"/>
  <c r="M1983" i="1"/>
  <c r="M1969" i="1"/>
  <c r="M2016" i="1"/>
  <c r="Q2026" i="1"/>
  <c r="Q2052" i="1"/>
  <c r="M2072" i="1"/>
  <c r="M1901" i="1"/>
  <c r="M1978" i="1"/>
  <c r="O1653" i="1"/>
  <c r="M1777" i="1"/>
  <c r="O1326" i="1"/>
  <c r="O1652" i="1"/>
  <c r="O1771" i="1"/>
  <c r="O1790" i="1"/>
  <c r="O1826" i="1"/>
  <c r="Q1843" i="1"/>
  <c r="O1881" i="1"/>
  <c r="Q1937" i="1"/>
  <c r="O1958" i="1"/>
  <c r="O1942" i="1"/>
  <c r="O1752" i="1"/>
  <c r="O1755" i="1"/>
  <c r="O2027" i="1"/>
  <c r="O2058" i="1"/>
  <c r="O2074" i="1"/>
  <c r="M1507" i="1"/>
  <c r="O1978" i="1"/>
  <c r="O613" i="1"/>
  <c r="O650" i="1"/>
  <c r="O767" i="1"/>
  <c r="O847" i="1"/>
  <c r="O1362" i="1"/>
  <c r="O1398" i="1"/>
  <c r="O1707" i="1"/>
  <c r="M391" i="1"/>
  <c r="Q449" i="1"/>
  <c r="O561" i="1"/>
  <c r="O716" i="1"/>
  <c r="M1231" i="1"/>
  <c r="O1281" i="1"/>
  <c r="M1295" i="1"/>
  <c r="O1382" i="1"/>
  <c r="M1531" i="1"/>
  <c r="M1553" i="1"/>
  <c r="O1592" i="1"/>
  <c r="O1636" i="1"/>
  <c r="O1704" i="1"/>
  <c r="O1725" i="1"/>
  <c r="Q1746" i="1"/>
  <c r="M1748" i="1"/>
  <c r="O1768" i="1"/>
  <c r="O1823" i="1"/>
  <c r="Q1844" i="1"/>
  <c r="O1865" i="1"/>
  <c r="M1881" i="1"/>
  <c r="O1920" i="1"/>
  <c r="Q1938" i="1"/>
  <c r="O1980" i="1"/>
  <c r="M1924" i="1"/>
  <c r="M1872" i="1"/>
  <c r="O1847" i="1"/>
  <c r="M1794" i="1"/>
  <c r="M1755" i="1"/>
  <c r="Q2025" i="1"/>
  <c r="O2055" i="1"/>
  <c r="O2048" i="1"/>
  <c r="O2050" i="1"/>
  <c r="Q2071" i="1"/>
  <c r="Q2074" i="1"/>
  <c r="M2071" i="1"/>
  <c r="Q2048" i="1"/>
  <c r="M2049" i="1"/>
  <c r="M2052" i="1"/>
  <c r="O2049" i="1"/>
  <c r="M2048" i="1"/>
  <c r="O2052" i="1"/>
  <c r="M2079" i="1"/>
  <c r="M2081" i="1"/>
  <c r="M2078" i="1"/>
  <c r="M2080" i="1"/>
  <c r="M2082" i="1"/>
  <c r="M2056" i="1"/>
  <c r="M2058" i="1"/>
  <c r="M2055" i="1"/>
  <c r="M2057" i="1"/>
  <c r="M2059" i="1"/>
  <c r="O2026" i="1"/>
  <c r="M2033" i="1"/>
  <c r="M2035" i="1"/>
  <c r="O2025" i="1"/>
  <c r="M2027" i="1"/>
  <c r="M2032" i="1"/>
  <c r="M2034" i="1"/>
  <c r="M2036" i="1"/>
  <c r="M2012" i="1"/>
  <c r="M2015" i="1"/>
  <c r="O1807" i="1"/>
  <c r="O1730" i="1"/>
  <c r="M1723" i="1"/>
  <c r="M1730" i="1"/>
  <c r="O1724" i="1"/>
  <c r="M1724" i="1"/>
  <c r="Q1724" i="1"/>
  <c r="M1733" i="1"/>
  <c r="M1729" i="1"/>
  <c r="M1731" i="1"/>
  <c r="M1752" i="1"/>
  <c r="M1754" i="1"/>
  <c r="M1756" i="1"/>
  <c r="M1943" i="1"/>
  <c r="M1945" i="1"/>
  <c r="M1942" i="1"/>
  <c r="M1944" i="1"/>
  <c r="M1946" i="1"/>
  <c r="M1850" i="1"/>
  <c r="M2002" i="1"/>
  <c r="M2004" i="1"/>
  <c r="M2001" i="1"/>
  <c r="M2003" i="1"/>
  <c r="M2005" i="1"/>
  <c r="AA40" i="2"/>
  <c r="AA12" i="2" s="1"/>
  <c r="M1994" i="1"/>
  <c r="M1996" i="1"/>
  <c r="M1998" i="1"/>
  <c r="M1979" i="1"/>
  <c r="M1959" i="1"/>
  <c r="M1961" i="1"/>
  <c r="M1958" i="1"/>
  <c r="M1960" i="1"/>
  <c r="M1962" i="1"/>
  <c r="Q1935" i="1"/>
  <c r="M1937" i="1"/>
  <c r="M1935" i="1"/>
  <c r="M1920" i="1"/>
  <c r="M1918" i="1"/>
  <c r="M1919" i="1"/>
  <c r="M1917" i="1"/>
  <c r="M1921" i="1"/>
  <c r="M1902" i="1"/>
  <c r="M1900" i="1"/>
  <c r="M1903" i="1"/>
  <c r="M1882" i="1"/>
  <c r="M1884" i="1"/>
  <c r="M1864" i="1"/>
  <c r="M1866" i="1"/>
  <c r="M1863" i="1"/>
  <c r="M1865" i="1"/>
  <c r="M1867" i="1"/>
  <c r="M1841" i="1"/>
  <c r="M1844" i="1"/>
  <c r="O1841" i="1"/>
  <c r="M1840" i="1"/>
  <c r="O1844" i="1"/>
  <c r="M1823" i="1"/>
  <c r="M1825" i="1"/>
  <c r="M1822" i="1"/>
  <c r="M1824" i="1"/>
  <c r="M1826" i="1"/>
  <c r="M1805" i="1"/>
  <c r="M1807" i="1"/>
  <c r="M1804" i="1"/>
  <c r="M1806" i="1"/>
  <c r="M1808" i="1"/>
  <c r="M1786" i="1"/>
  <c r="M1788" i="1"/>
  <c r="M1790" i="1"/>
  <c r="M1769" i="1"/>
  <c r="M1771" i="1"/>
  <c r="M1768" i="1"/>
  <c r="M1770" i="1"/>
  <c r="M1772" i="1"/>
  <c r="Q1745" i="1"/>
  <c r="Q1748" i="1"/>
  <c r="M1745" i="1"/>
  <c r="O1749" i="1"/>
  <c r="Q1722" i="1"/>
  <c r="Q1725" i="1"/>
  <c r="M1726" i="1"/>
  <c r="O1726" i="1"/>
  <c r="M1722" i="1"/>
  <c r="M1705" i="1"/>
  <c r="M1707" i="1"/>
  <c r="M1704" i="1"/>
  <c r="M1706" i="1"/>
  <c r="M1708" i="1"/>
  <c r="M1687" i="1"/>
  <c r="M1689" i="1"/>
  <c r="M1690" i="1"/>
  <c r="M1686" i="1"/>
  <c r="M1688" i="1"/>
  <c r="M1668" i="1"/>
  <c r="M1670" i="1"/>
  <c r="M1672" i="1"/>
  <c r="M1650" i="1"/>
  <c r="M1652" i="1"/>
  <c r="M1654" i="1"/>
  <c r="M1633" i="1"/>
  <c r="M1635" i="1"/>
  <c r="M1632" i="1"/>
  <c r="M1634" i="1"/>
  <c r="M1636" i="1"/>
  <c r="Q446" i="1"/>
  <c r="O471" i="1"/>
  <c r="O507" i="1"/>
  <c r="O543" i="1"/>
  <c r="M1166" i="1"/>
  <c r="M1189" i="1"/>
  <c r="O563" i="1"/>
  <c r="O902" i="1"/>
  <c r="O941" i="1"/>
  <c r="M994" i="1"/>
  <c r="O1166" i="1"/>
  <c r="M1242" i="1"/>
  <c r="M1262" i="1"/>
  <c r="M1278" i="1"/>
  <c r="O1571" i="1"/>
  <c r="M426" i="1"/>
  <c r="M449" i="1"/>
  <c r="Q809" i="1"/>
  <c r="Q1166" i="1"/>
  <c r="O1242" i="1"/>
  <c r="O1468" i="1"/>
  <c r="Q1484" i="1"/>
  <c r="O1486" i="1"/>
  <c r="O1509" i="1"/>
  <c r="Q965" i="1"/>
  <c r="M1167" i="1"/>
  <c r="M1190" i="1"/>
  <c r="M1230" i="1"/>
  <c r="O1311" i="1"/>
  <c r="O1383" i="1"/>
  <c r="M1419" i="1"/>
  <c r="Q1509" i="1"/>
  <c r="Q1510" i="1"/>
  <c r="O1591" i="1"/>
  <c r="O560" i="1"/>
  <c r="M674" i="1"/>
  <c r="O1416" i="1"/>
  <c r="M1279" i="1"/>
  <c r="M1572" i="1"/>
  <c r="M369" i="1"/>
  <c r="O372" i="1"/>
  <c r="O408" i="1"/>
  <c r="O424" i="1"/>
  <c r="O373" i="1"/>
  <c r="O614" i="1"/>
  <c r="O704" i="1"/>
  <c r="O1188" i="1"/>
  <c r="O1212" i="1"/>
  <c r="O1241" i="1"/>
  <c r="O1420" i="1"/>
  <c r="M1536" i="1"/>
  <c r="O1573" i="1"/>
  <c r="O388" i="1"/>
  <c r="Q424" i="1"/>
  <c r="O470" i="1"/>
  <c r="O542" i="1"/>
  <c r="O651" i="1"/>
  <c r="O675" i="1"/>
  <c r="O779" i="1"/>
  <c r="O1055" i="1"/>
  <c r="O1127" i="1"/>
  <c r="O1450" i="1"/>
  <c r="M370" i="1"/>
  <c r="O406" i="1"/>
  <c r="M448" i="1"/>
  <c r="M598" i="1"/>
  <c r="O639" i="1"/>
  <c r="M675" i="1"/>
  <c r="O729" i="1"/>
  <c r="O768" i="1"/>
  <c r="O979" i="1"/>
  <c r="O1052" i="1"/>
  <c r="M1088" i="1"/>
  <c r="Q1188" i="1"/>
  <c r="O1401" i="1"/>
  <c r="O1447" i="1"/>
  <c r="O1483" i="1"/>
  <c r="M1533" i="1"/>
  <c r="M1537" i="1"/>
  <c r="O1570" i="1"/>
  <c r="M389" i="1"/>
  <c r="M427" i="1"/>
  <c r="Q450" i="1"/>
  <c r="O489" i="1"/>
  <c r="O525" i="1"/>
  <c r="O577" i="1"/>
  <c r="Q739" i="1"/>
  <c r="O778" i="1"/>
  <c r="Q1018" i="1"/>
  <c r="Q1191" i="1"/>
  <c r="M1244" i="1"/>
  <c r="M1260" i="1"/>
  <c r="O409" i="1"/>
  <c r="O1144" i="1"/>
  <c r="O1465" i="1"/>
  <c r="O1590" i="1"/>
  <c r="O953" i="1"/>
  <c r="M965" i="1"/>
  <c r="O1033" i="1"/>
  <c r="O1108" i="1"/>
  <c r="M1124" i="1"/>
  <c r="Q1143" i="1"/>
  <c r="O1189" i="1"/>
  <c r="O1328" i="1"/>
  <c r="O1364" i="1"/>
  <c r="O1400" i="1"/>
  <c r="O1449" i="1"/>
  <c r="O1484" i="1"/>
  <c r="M1509" i="1"/>
  <c r="O1553" i="1"/>
  <c r="M1574" i="1"/>
  <c r="M425" i="1"/>
  <c r="O674" i="1"/>
  <c r="M914" i="1"/>
  <c r="O1088" i="1"/>
  <c r="O1124" i="1"/>
  <c r="O1261" i="1"/>
  <c r="M1298" i="1"/>
  <c r="O1312" i="1"/>
  <c r="O1348" i="1"/>
  <c r="O1384" i="1"/>
  <c r="O1469" i="1"/>
  <c r="M1530" i="1"/>
  <c r="O1556" i="1"/>
  <c r="O1572" i="1"/>
  <c r="O370" i="1"/>
  <c r="M373" i="1"/>
  <c r="M578" i="1"/>
  <c r="O890" i="1"/>
  <c r="O929" i="1"/>
  <c r="O1019" i="1"/>
  <c r="O1053" i="1"/>
  <c r="O1125" i="1"/>
  <c r="O1164" i="1"/>
  <c r="O1187" i="1"/>
  <c r="O1210" i="1"/>
  <c r="O1309" i="1"/>
  <c r="O1466" i="1"/>
  <c r="O1485" i="1"/>
  <c r="O425" i="1"/>
  <c r="O448" i="1"/>
  <c r="M371" i="1"/>
  <c r="M407" i="1"/>
  <c r="Q425" i="1"/>
  <c r="Q448" i="1"/>
  <c r="O407" i="1"/>
  <c r="M562" i="1"/>
  <c r="O703" i="1"/>
  <c r="Q793" i="1"/>
  <c r="O875" i="1"/>
  <c r="M1037" i="1"/>
  <c r="M1229" i="1"/>
  <c r="M1485" i="1"/>
  <c r="M1487" i="1"/>
  <c r="O562" i="1"/>
  <c r="Q426" i="1"/>
  <c r="O808" i="1"/>
  <c r="Q1019" i="1"/>
  <c r="M1144" i="1"/>
  <c r="O1417" i="1"/>
  <c r="O1487" i="1"/>
  <c r="O449" i="1"/>
  <c r="O626" i="1"/>
  <c r="O447" i="1"/>
  <c r="M406" i="1"/>
  <c r="Q447" i="1"/>
  <c r="O472" i="1"/>
  <c r="O598" i="1"/>
  <c r="O823" i="1"/>
  <c r="M859" i="1"/>
  <c r="Q964" i="1"/>
  <c r="Q981" i="1"/>
  <c r="O996" i="1"/>
  <c r="O1051" i="1"/>
  <c r="O1087" i="1"/>
  <c r="O1123" i="1"/>
  <c r="Q1144" i="1"/>
  <c r="O1190" i="1"/>
  <c r="M1310" i="1"/>
  <c r="O1402" i="1"/>
  <c r="O1418" i="1"/>
  <c r="O1451" i="1"/>
  <c r="Q1485" i="1"/>
  <c r="M1510" i="1"/>
  <c r="M1570" i="1"/>
  <c r="O1589" i="1"/>
  <c r="O508" i="1"/>
  <c r="O544" i="1"/>
  <c r="O615" i="1"/>
  <c r="O661" i="1"/>
  <c r="O717" i="1"/>
  <c r="Q741" i="1"/>
  <c r="Q780" i="1"/>
  <c r="Q808" i="1"/>
  <c r="O835" i="1"/>
  <c r="O369" i="1"/>
  <c r="M405" i="1"/>
  <c r="O469" i="1"/>
  <c r="O505" i="1"/>
  <c r="M508" i="1"/>
  <c r="O541" i="1"/>
  <c r="O596" i="1"/>
  <c r="O599" i="1"/>
  <c r="O649" i="1"/>
  <c r="M705" i="1"/>
  <c r="O794" i="1"/>
  <c r="M809" i="1"/>
  <c r="O876" i="1"/>
  <c r="O1071" i="1"/>
  <c r="O1107" i="1"/>
  <c r="O1142" i="1"/>
  <c r="O1145" i="1"/>
  <c r="Q1167" i="1"/>
  <c r="M1188" i="1"/>
  <c r="M1228" i="1"/>
  <c r="M1232" i="1"/>
  <c r="M1296" i="1"/>
  <c r="O1363" i="1"/>
  <c r="O1399" i="1"/>
  <c r="O1448" i="1"/>
  <c r="M1486" i="1"/>
  <c r="O1506" i="1"/>
  <c r="O1552" i="1"/>
  <c r="O1555" i="1"/>
  <c r="M1591" i="1"/>
  <c r="M1589" i="1"/>
  <c r="M1588" i="1"/>
  <c r="M1590" i="1"/>
  <c r="M1592" i="1"/>
  <c r="M1508" i="1"/>
  <c r="Q1506" i="1"/>
  <c r="O1508" i="1"/>
  <c r="Q1507" i="1"/>
  <c r="Q1508" i="1"/>
  <c r="M1571" i="1"/>
  <c r="M1552" i="1"/>
  <c r="M1554" i="1"/>
  <c r="M1556" i="1"/>
  <c r="M1573" i="1"/>
  <c r="O1507" i="1"/>
  <c r="M1506" i="1"/>
  <c r="O1510" i="1"/>
  <c r="Q1486" i="1"/>
  <c r="Q1483" i="1"/>
  <c r="M1484" i="1"/>
  <c r="M1483" i="1"/>
  <c r="M1466" i="1"/>
  <c r="M1468" i="1"/>
  <c r="M1465" i="1"/>
  <c r="M1467" i="1"/>
  <c r="M1469" i="1"/>
  <c r="M1448" i="1"/>
  <c r="M1450" i="1"/>
  <c r="M1447" i="1"/>
  <c r="M1449" i="1"/>
  <c r="M1451" i="1"/>
  <c r="M1435" i="1"/>
  <c r="M1437" i="1"/>
  <c r="M1434" i="1"/>
  <c r="M1436" i="1"/>
  <c r="M1416" i="1"/>
  <c r="M1418" i="1"/>
  <c r="M1420" i="1"/>
  <c r="M1399" i="1"/>
  <c r="M1401" i="1"/>
  <c r="M1398" i="1"/>
  <c r="M1400" i="1"/>
  <c r="M1402" i="1"/>
  <c r="O491" i="1"/>
  <c r="O527" i="1"/>
  <c r="O595" i="1"/>
  <c r="M913" i="1"/>
  <c r="O638" i="1"/>
  <c r="O715" i="1"/>
  <c r="M739" i="1"/>
  <c r="O756" i="1"/>
  <c r="Q810" i="1"/>
  <c r="O901" i="1"/>
  <c r="M964" i="1"/>
  <c r="M1018" i="1"/>
  <c r="Q1020" i="1"/>
  <c r="O1035" i="1"/>
  <c r="O1073" i="1"/>
  <c r="O1089" i="1"/>
  <c r="O1105" i="1"/>
  <c r="Q1168" i="1"/>
  <c r="O1308" i="1"/>
  <c r="O1346" i="1"/>
  <c r="O371" i="1"/>
  <c r="M450" i="1"/>
  <c r="O450" i="1"/>
  <c r="O488" i="1"/>
  <c r="O524" i="1"/>
  <c r="O579" i="1"/>
  <c r="M626" i="1"/>
  <c r="O663" i="1"/>
  <c r="M741" i="1"/>
  <c r="M808" i="1"/>
  <c r="O825" i="1"/>
  <c r="O837" i="1"/>
  <c r="O849" i="1"/>
  <c r="M875" i="1"/>
  <c r="O889" i="1"/>
  <c r="O913" i="1"/>
  <c r="O940" i="1"/>
  <c r="M952" i="1"/>
  <c r="Q966" i="1"/>
  <c r="O1070" i="1"/>
  <c r="Q1145" i="1"/>
  <c r="O1243" i="1"/>
  <c r="O1259" i="1"/>
  <c r="M1261" i="1"/>
  <c r="O1277" i="1"/>
  <c r="M1297" i="1"/>
  <c r="O1330" i="1"/>
  <c r="O1366" i="1"/>
  <c r="O387" i="1"/>
  <c r="O423" i="1"/>
  <c r="Q423" i="1"/>
  <c r="M689" i="1"/>
  <c r="M728" i="1"/>
  <c r="O739" i="1"/>
  <c r="Q913" i="1"/>
  <c r="O964" i="1"/>
  <c r="M1007" i="1"/>
  <c r="O1018" i="1"/>
  <c r="M1141" i="1"/>
  <c r="M1280" i="1"/>
  <c r="M1327" i="1"/>
  <c r="O1141" i="1"/>
  <c r="O1280" i="1"/>
  <c r="M1311" i="1"/>
  <c r="M1347" i="1"/>
  <c r="O389" i="1"/>
  <c r="O390" i="1"/>
  <c r="O426" i="1"/>
  <c r="M580" i="1"/>
  <c r="O728" i="1"/>
  <c r="Q794" i="1"/>
  <c r="O1347" i="1"/>
  <c r="O391" i="1"/>
  <c r="O427" i="1"/>
  <c r="Q427" i="1"/>
  <c r="M596" i="1"/>
  <c r="Q675" i="1"/>
  <c r="Q690" i="1"/>
  <c r="Q778" i="1"/>
  <c r="Q795" i="1"/>
  <c r="M823" i="1"/>
  <c r="O859" i="1"/>
  <c r="Q876" i="1"/>
  <c r="O914" i="1"/>
  <c r="M979" i="1"/>
  <c r="M1019" i="1"/>
  <c r="O1090" i="1"/>
  <c r="Q1141" i="1"/>
  <c r="O1143" i="1"/>
  <c r="Q1165" i="1"/>
  <c r="Q1189" i="1"/>
  <c r="O1262" i="1"/>
  <c r="M1309" i="1"/>
  <c r="M446" i="1"/>
  <c r="O405" i="1"/>
  <c r="O446" i="1"/>
  <c r="O490" i="1"/>
  <c r="O526" i="1"/>
  <c r="O581" i="1"/>
  <c r="M599" i="1"/>
  <c r="O637" i="1"/>
  <c r="Q688" i="1"/>
  <c r="O755" i="1"/>
  <c r="M793" i="1"/>
  <c r="O809" i="1"/>
  <c r="O848" i="1"/>
  <c r="M874" i="1"/>
  <c r="O891" i="1"/>
  <c r="Q914" i="1"/>
  <c r="O942" i="1"/>
  <c r="M954" i="1"/>
  <c r="M996" i="1"/>
  <c r="O1034" i="1"/>
  <c r="O1036" i="1"/>
  <c r="O1072" i="1"/>
  <c r="O1091" i="1"/>
  <c r="O1244" i="1"/>
  <c r="O1263" i="1"/>
  <c r="O1278" i="1"/>
  <c r="M1312" i="1"/>
  <c r="O1381" i="1"/>
  <c r="O1007" i="1"/>
  <c r="M1143" i="1"/>
  <c r="M1145" i="1"/>
  <c r="Q1164" i="1"/>
  <c r="O580" i="1"/>
  <c r="M447" i="1"/>
  <c r="O487" i="1"/>
  <c r="O523" i="1"/>
  <c r="O559" i="1"/>
  <c r="O578" i="1"/>
  <c r="O597" i="1"/>
  <c r="O625" i="1"/>
  <c r="O662" i="1"/>
  <c r="Q674" i="1"/>
  <c r="O690" i="1"/>
  <c r="O793" i="1"/>
  <c r="O824" i="1"/>
  <c r="O836" i="1"/>
  <c r="Q860" i="1"/>
  <c r="O874" i="1"/>
  <c r="M876" i="1"/>
  <c r="Q915" i="1"/>
  <c r="O930" i="1"/>
  <c r="O954" i="1"/>
  <c r="O965" i="1"/>
  <c r="O994" i="1"/>
  <c r="O1069" i="1"/>
  <c r="O1126" i="1"/>
  <c r="M1142" i="1"/>
  <c r="M1165" i="1"/>
  <c r="O1167" i="1"/>
  <c r="O1214" i="1"/>
  <c r="O1245" i="1"/>
  <c r="O1260" i="1"/>
  <c r="O1279" i="1"/>
  <c r="O1310" i="1"/>
  <c r="O1329" i="1"/>
  <c r="M1345" i="1"/>
  <c r="O1365" i="1"/>
  <c r="M1381" i="1"/>
  <c r="M1383" i="1"/>
  <c r="M1380" i="1"/>
  <c r="M1382" i="1"/>
  <c r="M1384" i="1"/>
  <c r="M1365" i="1"/>
  <c r="M1363" i="1"/>
  <c r="M1362" i="1"/>
  <c r="M1364" i="1"/>
  <c r="M1366" i="1"/>
  <c r="M1344" i="1"/>
  <c r="M1346" i="1"/>
  <c r="M1348" i="1"/>
  <c r="M1329" i="1"/>
  <c r="O1327" i="1"/>
  <c r="M1326" i="1"/>
  <c r="M1328" i="1"/>
  <c r="M1330" i="1"/>
  <c r="M1281" i="1"/>
  <c r="M1243" i="1"/>
  <c r="M1245" i="1"/>
  <c r="M1241" i="1"/>
  <c r="M1211" i="1"/>
  <c r="M1213" i="1"/>
  <c r="M1214" i="1"/>
  <c r="M1212" i="1"/>
  <c r="M1210" i="1"/>
  <c r="Q1187" i="1"/>
  <c r="Q1190" i="1"/>
  <c r="M1191" i="1"/>
  <c r="M1187" i="1"/>
  <c r="O1191" i="1"/>
  <c r="M1168" i="1"/>
  <c r="O1165" i="1"/>
  <c r="M1164" i="1"/>
  <c r="O1168" i="1"/>
  <c r="M1123" i="1"/>
  <c r="M1125" i="1"/>
  <c r="M1127" i="1"/>
  <c r="M1106" i="1"/>
  <c r="M1108" i="1"/>
  <c r="M1105" i="1"/>
  <c r="M1107" i="1"/>
  <c r="M1109" i="1"/>
  <c r="M1091" i="1"/>
  <c r="M1089" i="1"/>
  <c r="M1087" i="1"/>
  <c r="M1070" i="1"/>
  <c r="M1072" i="1"/>
  <c r="M1069" i="1"/>
  <c r="M1071" i="1"/>
  <c r="M1073" i="1"/>
  <c r="M1052" i="1"/>
  <c r="M1054" i="1"/>
  <c r="M1051" i="1"/>
  <c r="M1053" i="1"/>
  <c r="M1055" i="1"/>
  <c r="M1034" i="1"/>
  <c r="M1033" i="1"/>
  <c r="M1035" i="1"/>
  <c r="M1020" i="1"/>
  <c r="O1020" i="1"/>
  <c r="M1006" i="1"/>
  <c r="M1008" i="1"/>
  <c r="M995" i="1"/>
  <c r="O980" i="1"/>
  <c r="Q980" i="1"/>
  <c r="M981" i="1"/>
  <c r="O981" i="1"/>
  <c r="M966" i="1"/>
  <c r="O966" i="1"/>
  <c r="M953" i="1"/>
  <c r="M941" i="1"/>
  <c r="M940" i="1"/>
  <c r="M942" i="1"/>
  <c r="M928" i="1"/>
  <c r="M929" i="1"/>
  <c r="M930" i="1"/>
  <c r="M915" i="1"/>
  <c r="O915" i="1"/>
  <c r="M902" i="1"/>
  <c r="M901" i="1"/>
  <c r="M903" i="1"/>
  <c r="M890" i="1"/>
  <c r="M889" i="1"/>
  <c r="M891" i="1"/>
  <c r="Q875" i="1"/>
  <c r="M860" i="1"/>
  <c r="Q859" i="1"/>
  <c r="O860" i="1"/>
  <c r="M861" i="1"/>
  <c r="O861" i="1"/>
  <c r="M847" i="1"/>
  <c r="M849" i="1"/>
  <c r="M836" i="1"/>
  <c r="M835" i="1"/>
  <c r="M837" i="1"/>
  <c r="M824" i="1"/>
  <c r="M810" i="1"/>
  <c r="O810" i="1"/>
  <c r="M795" i="1"/>
  <c r="O795" i="1"/>
  <c r="Q779" i="1"/>
  <c r="M780" i="1"/>
  <c r="O780" i="1"/>
  <c r="M767" i="1"/>
  <c r="M766" i="1"/>
  <c r="M768" i="1"/>
  <c r="M755" i="1"/>
  <c r="M754" i="1"/>
  <c r="M756" i="1"/>
  <c r="O740" i="1"/>
  <c r="Q740" i="1"/>
  <c r="O741" i="1"/>
  <c r="M727" i="1"/>
  <c r="M729" i="1"/>
  <c r="M716" i="1"/>
  <c r="M717" i="1"/>
  <c r="M715" i="1"/>
  <c r="M704" i="1"/>
  <c r="O705" i="1"/>
  <c r="O689" i="1"/>
  <c r="Q689" i="1"/>
  <c r="M690" i="1"/>
  <c r="Q673" i="1"/>
  <c r="M673" i="1"/>
  <c r="M662" i="1"/>
  <c r="M663" i="1"/>
  <c r="M661" i="1"/>
  <c r="M650" i="1"/>
  <c r="M649" i="1"/>
  <c r="M651" i="1"/>
  <c r="M638" i="1"/>
  <c r="M637" i="1"/>
  <c r="M639" i="1"/>
  <c r="M625" i="1"/>
  <c r="M627" i="1"/>
  <c r="M614" i="1"/>
  <c r="M613" i="1"/>
  <c r="M615" i="1"/>
  <c r="M597" i="1"/>
  <c r="M577" i="1"/>
  <c r="M579" i="1"/>
  <c r="M581" i="1"/>
  <c r="M559" i="1"/>
  <c r="M561" i="1"/>
  <c r="M563" i="1"/>
  <c r="M542" i="1"/>
  <c r="M544" i="1"/>
  <c r="M541" i="1"/>
  <c r="M545" i="1"/>
  <c r="M543" i="1"/>
  <c r="M524" i="1"/>
  <c r="M526" i="1"/>
  <c r="M523" i="1"/>
  <c r="M525" i="1"/>
  <c r="M527" i="1"/>
  <c r="O506" i="1"/>
  <c r="M505" i="1"/>
  <c r="M507" i="1"/>
  <c r="M509" i="1"/>
  <c r="M488" i="1"/>
  <c r="M490" i="1"/>
  <c r="M487" i="1"/>
  <c r="M489" i="1"/>
  <c r="M491" i="1"/>
  <c r="M472" i="1"/>
  <c r="M470" i="1"/>
  <c r="M471" i="1"/>
  <c r="M469" i="1"/>
  <c r="M473" i="1"/>
  <c r="AA33" i="2" l="1"/>
  <c r="AA19" i="2"/>
  <c r="AA2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F7FA26-2E35-214F-B7D0-91D7E1F5A8CB}" name="Измерения" type="6" refreshedVersion="7" background="1" saveData="1">
    <textPr codePage="10007" sourceFile="/Users/17543251/Documents/презентации/Измерения.txt" decimal="," thousands=" " space="1" consecutive="1">
      <textFields count="7">
        <textField/>
        <textField/>
        <textField/>
        <textField/>
        <textField/>
        <textField/>
        <textField/>
      </textFields>
    </textPr>
  </connection>
  <connection id="2" xr16:uid="{39769176-91DB-8F42-88EF-03A5F1B3EF75}" name="calculated" type="6" refreshedVersion="7" background="1" saveData="1">
    <textPr codePage="10007" sourceFile="/Users/17543251/Development/AndroidProjects/sequence_measuring/measure_data/calculated.csv" thousands=" " tab="0" comma="1">
      <textFields count="7">
        <textField/>
        <textField/>
        <textField/>
        <textField/>
        <textField/>
        <textField/>
        <textField/>
      </textFields>
    </textPr>
  </connection>
  <connection id="3" xr16:uid="{52559A07-35C5-024E-A470-0E440A668370}" name="calculated_swap" type="6" refreshedVersion="7" background="1" saveData="1">
    <textPr codePage="10007" sourceFile="/Users/17543251/Development/AndroidProjects/sequence_measuring/measure_data/calculated_swap.csv" thousands=" " tab="0" comma="1">
      <textFields count="7">
        <textField/>
        <textField/>
        <textField/>
        <textField/>
        <textField/>
        <textField/>
        <textField/>
      </textFields>
    </textPr>
  </connection>
  <connection id="4" xr16:uid="{FEFE39E2-4426-8647-99C5-500D70120896}" name="jmh-result1" type="6" refreshedVersion="7" background="1" saveData="1">
    <textPr codePage="10007" sourceFile="/Users/17543251/Downloads/jmh-result.csv" thousands=" " comma="1">
      <textFields count="7">
        <textField/>
        <textField/>
        <textField/>
        <textField/>
        <textField/>
        <textField/>
        <textField/>
      </textFields>
    </textPr>
  </connection>
  <connection id="5" xr16:uid="{5AD17F1C-EF04-6A43-A0A6-B2807B4C255D}" name="linux-all1" type="6" refreshedVersion="7" background="1" saveData="1">
    <textPr codePage="10007" sourceFile="/Users/17543251/Development/AndroidProjects/sequence_measuring/measure_data/linux-all.text" thousands=" " space="1" consecutive="1">
      <textFields count="7">
        <textField/>
        <textField/>
        <textField/>
        <textField/>
        <textField/>
        <textField/>
        <textField/>
      </textFields>
    </textPr>
  </connection>
  <connection id="6" xr16:uid="{5F12E84E-A8A4-8546-95FA-9A2FB3E44D56}" name="linux-map-exp21" type="6" refreshedVersion="7" background="1" saveData="1">
    <textPr codePage="10007" sourceFile="/Users/17543251/Development/AndroidProjects/sequence_measuring/measure_data/linux-map-exp.txt" thousands=" " space="1" consecutive="1">
      <textFields count="7">
        <textField/>
        <textField/>
        <textField/>
        <textField/>
        <textField/>
        <textField/>
        <textField/>
      </textFields>
    </textPr>
  </connection>
  <connection id="7" xr16:uid="{C5FB07F9-A051-0E4B-BA2F-86CBAF6B420E}" name="measures_1000001" type="6" refreshedVersion="7" background="1" saveData="1">
    <textPr codePage="10007" sourceFile="/Users/17543251/Development/AndroidProjects/sequence_measuring/measure_data/measures_100000.text" decimal="," thousands=" " space="1" consecutive="1">
      <textFields count="7">
        <textField/>
        <textField/>
        <textField/>
        <textField/>
        <textField/>
        <textField/>
        <textField/>
      </textFields>
    </textPr>
  </connection>
  <connection id="8" xr16:uid="{EDD2AB19-0201-A444-9874-95D361E9596A}" name="measures_withMemory11" type="6" refreshedVersion="7" background="1" saveData="1">
    <textPr codePage="10007" sourceFile="/Users/17543251/Development/AndroidProjects/sequence_measuring/measure_data/measures_withMemory.txt" decimal="," thousands=" " space="1" consecutive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<sst xmlns="http://schemas.openxmlformats.org/spreadsheetml/2006/main" count="19899" uniqueCount="1687">
  <si>
    <t>main</t>
  </si>
  <si>
    <t>summary:</t>
  </si>
  <si>
    <t>Benchmark</t>
  </si>
  <si>
    <t>Mode</t>
  </si>
  <si>
    <t>Cnt</t>
  </si>
  <si>
    <t>Score</t>
  </si>
  <si>
    <t>Error</t>
  </si>
  <si>
    <t>Units</t>
  </si>
  <si>
    <t>Map10.map10_100000_rec_collection</t>
  </si>
  <si>
    <t>thrpt</t>
  </si>
  <si>
    <t>¬±</t>
  </si>
  <si>
    <t>ops/s</t>
  </si>
  <si>
    <t>Map10.map10_100000_rec_sequence</t>
  </si>
  <si>
    <t>Map10.map10_100000_rec_stream</t>
  </si>
  <si>
    <t>Map10.map10_50000_rec_collection</t>
  </si>
  <si>
    <t>Map10.map10_50000_rec_sequence</t>
  </si>
  <si>
    <t>Map10.map10_50000_rec_stream</t>
  </si>
  <si>
    <t>Map10.map10_10000_rec_collection</t>
  </si>
  <si>
    <t>Map10.map10_10000_rec_sequence</t>
  </si>
  <si>
    <t>Map10.map10_10000_rec_stream</t>
  </si>
  <si>
    <t>Map10.map10_1000_rec_collection</t>
  </si>
  <si>
    <t>Map10.map10_1000_rec_sequence</t>
  </si>
  <si>
    <t>Map10.map10_1000_rec_stream</t>
  </si>
  <si>
    <t>Map10.map10_100_rec_collection</t>
  </si>
  <si>
    <t>Map10.map10_100_rec_sequence</t>
  </si>
  <si>
    <t>Map10.map10_100_rec_stream</t>
  </si>
  <si>
    <t>Map5.map5_100000_rec_collection</t>
  </si>
  <si>
    <t>Map5.map5_100000_rec_sequence</t>
  </si>
  <si>
    <t>Map5.map5_100000_rec_stream</t>
  </si>
  <si>
    <t>Map5.map5_50000_rec_collection</t>
  </si>
  <si>
    <t>Map5.map5_50000_rec_sequence</t>
  </si>
  <si>
    <t>Map5.map5_50000_rec_stream</t>
  </si>
  <si>
    <t>Map5.map5_10000_rec_collection</t>
  </si>
  <si>
    <t>Map5.map5_10000_rec_sequence</t>
  </si>
  <si>
    <t>Map5.map5_10000_rec_stream</t>
  </si>
  <si>
    <t>Map5.map5_1000_rec_collection</t>
  </si>
  <si>
    <t>Map5.map5_1000_rec_sequence</t>
  </si>
  <si>
    <t>Map5.map5_1000_rec_stream</t>
  </si>
  <si>
    <t>Map5.map5_100_rec_collection</t>
  </si>
  <si>
    <t>Map5.map5_100_rec_sequence</t>
  </si>
  <si>
    <t>Map5.map5_100_rec_stream</t>
  </si>
  <si>
    <t>Map3.map3_100000_rec_collection</t>
  </si>
  <si>
    <t>Map3.map3_100000_rec_sequence</t>
  </si>
  <si>
    <t>Map3.map3_100000_rec_stream</t>
  </si>
  <si>
    <t>Map3.map3_50000_rec_collection</t>
  </si>
  <si>
    <t>Map3.map3_50000_rec_sequence</t>
  </si>
  <si>
    <t>Map3.map3_50000_rec_stream</t>
  </si>
  <si>
    <t>Map3.map3_10000_rec_collection</t>
  </si>
  <si>
    <t>Map3.map3_10000_rec_sequence</t>
  </si>
  <si>
    <t>Map3.map3_10000_rec_stream</t>
  </si>
  <si>
    <t>Map3.map3_1000_rec_collection</t>
  </si>
  <si>
    <t>Map3.map3_1000_rec_sequence</t>
  </si>
  <si>
    <t>Map3.map3_1000_rec_stream</t>
  </si>
  <si>
    <t>Map3.map3_100_rec_collection</t>
  </si>
  <si>
    <t>Map3.map3_100_rec_sequence</t>
  </si>
  <si>
    <t>Map3.map3_100_rec_stream</t>
  </si>
  <si>
    <t>Map2.map2_100000_rec_collection</t>
  </si>
  <si>
    <t>Map2.map2_100000_rec_sequence</t>
  </si>
  <si>
    <t>Map2.map2_100000_rec_stream</t>
  </si>
  <si>
    <t>Map2.map2_50000_rec_collection</t>
  </si>
  <si>
    <t>Map2.map2_50000_rec_sequence</t>
  </si>
  <si>
    <t>Map2.map2_50000_rec_stream</t>
  </si>
  <si>
    <t>Map2.map2_10000_rec_collection</t>
  </si>
  <si>
    <t>Map2.map2_10000_rec_sequence</t>
  </si>
  <si>
    <t>Map2.map2_10000_rec_stream</t>
  </si>
  <si>
    <t>Map2.map2_1000_rec_collection</t>
  </si>
  <si>
    <t>Map2.map2_1000_rec_sequence</t>
  </si>
  <si>
    <t>Map2.map2_1000_rec_stream</t>
  </si>
  <si>
    <t>Map2.map2_100_rec_collection</t>
  </si>
  <si>
    <t>Map2.map2_100_rec_sequence</t>
  </si>
  <si>
    <t>Map2.map2_100_rec_stream</t>
  </si>
  <si>
    <t>Filter.filter_10_percentage_100000_rec_collection</t>
  </si>
  <si>
    <t>Filter.filter_10_percentage_100000_rec_sequence</t>
  </si>
  <si>
    <t>Filter.filter_10_percentage_100000_rec_stream</t>
  </si>
  <si>
    <t>Filter.filter_10_percentage_50000_rec_collection</t>
  </si>
  <si>
    <t>Filter.filter_10_percentage_50000_rec_sequence</t>
  </si>
  <si>
    <t>Filter.filter_10_percentage_50000_rec_stream</t>
  </si>
  <si>
    <t>Filter.filter_10_percentage_10000_rec_collection</t>
  </si>
  <si>
    <t>Filter.filter_10_percentage_10000_rec_sequence</t>
  </si>
  <si>
    <t>Filter.filter_10_percentage_10000_rec_stream</t>
  </si>
  <si>
    <t>Filter.filter_10_percentage_1000_rec_collection</t>
  </si>
  <si>
    <t>Filter.filter_10_percentage_1000_rec_sequence</t>
  </si>
  <si>
    <t>Filter.filter_10_percentage_1000_rec_stream</t>
  </si>
  <si>
    <t>Filter.filter_10_percentage_100_rec_collection</t>
  </si>
  <si>
    <t>Filter.filter_10_percentage_100_rec_sequence</t>
  </si>
  <si>
    <t>Filter.filter_10_percentage_100_rec_stream</t>
  </si>
  <si>
    <t>Filter.filter_90_percentage_100000_rec_collection</t>
  </si>
  <si>
    <t>Filter.filter_90_percentage_100000_rec_sequence</t>
  </si>
  <si>
    <t>Filter.filter_90_percentage_100000_rec_stream</t>
  </si>
  <si>
    <t>Filter.filter_90_percentage_50000_rec_collection</t>
  </si>
  <si>
    <t>Filter.filter_90_percentage_50000_rec_sequence</t>
  </si>
  <si>
    <t>Filter.filter_90_percentage_50000_rec_stream</t>
  </si>
  <si>
    <t>Filter.filter_90_percentage_10000_rec_collection</t>
  </si>
  <si>
    <t>Filter.filter_90_percentage_10000_rec_sequence</t>
  </si>
  <si>
    <t>Filter.filter_90_percentage_10000_rec_stream</t>
  </si>
  <si>
    <t>Filter.filter_90_percentage_1000_rec_collection</t>
  </si>
  <si>
    <t>Filter.filter_90_percentage_1000_rec_sequence</t>
  </si>
  <si>
    <t>Filter.filter_90_percentage_1000_rec_stream</t>
  </si>
  <si>
    <t>Filter.filter_90_percentage_100_rec_collection</t>
  </si>
  <si>
    <t>Filter.filter_90_percentage_100_rec_sequence</t>
  </si>
  <si>
    <t>Filter.filter_90_percentage_100_rec_stream</t>
  </si>
  <si>
    <t>Distinct.distinct_10_percentage_100000_rec_collection</t>
  </si>
  <si>
    <t>Distinct.distinct_10_percentage_100000_rec_sequence</t>
  </si>
  <si>
    <t>Distinct.distinct_10_percentage_100000_rec_sequence_opt</t>
  </si>
  <si>
    <t>Distinct.distinct_10_percentage_100000_rec_stream</t>
  </si>
  <si>
    <t>Distinct.distinct_10_percentage_10000_rec_collection</t>
  </si>
  <si>
    <t>Distinct.distinct_10_percentage_10000_rec_sequence</t>
  </si>
  <si>
    <t>Distinct.distinct_10_percentage_10000_rec_sequence_opt</t>
  </si>
  <si>
    <t>Distinct.distinct_10_percentage_10000_rec_stream</t>
  </si>
  <si>
    <t>Distinct.distinct_10_percentage_1000_rec_collection</t>
  </si>
  <si>
    <t>Distinct.distinct_10_percentage_1000_rec_sequence</t>
  </si>
  <si>
    <t>Distinct.distinct_10_percentage_1000_rec_sequence_opt</t>
  </si>
  <si>
    <t>Distinct.distinct_10_percentage_1000_rec_stream</t>
  </si>
  <si>
    <t>Distinct.distinct_10_percentage_100_rec_collection</t>
  </si>
  <si>
    <t>Distinct.distinct_10_percentage_100_rec_sequence</t>
  </si>
  <si>
    <t>Distinct.distinct_10_percentage_100_rec_sequence_opt</t>
  </si>
  <si>
    <t>Distinct.distinct_10_percentage_100_rec_stream</t>
  </si>
  <si>
    <t>Distinct.distinct_10_percentage_50000_rec_collection</t>
  </si>
  <si>
    <t>Distinct.distinct_10_percentage_50000_rec_sequence</t>
  </si>
  <si>
    <t>Distinct.distinct_10_percentage_50000_rec_sequence_opt</t>
  </si>
  <si>
    <t>Distinct.distinct_10_percentage_50000_rec_stream</t>
  </si>
  <si>
    <t>Distinct.distinct_90_percentage_100000_rec_collection</t>
  </si>
  <si>
    <t>Distinct.distinct_90_percentage_100000_rec_sequence</t>
  </si>
  <si>
    <t>Distinct.distinct_90_percentage_100000_rec_sequence_opt</t>
  </si>
  <si>
    <t>Distinct.distinct_90_percentage_100000_rec_stream</t>
  </si>
  <si>
    <t>Distinct.distinct_90_percentage_10000_rec_collection</t>
  </si>
  <si>
    <t>Distinct.distinct_90_percentage_10000_rec_sequence</t>
  </si>
  <si>
    <t>Distinct.distinct_90_percentage_10000_rec_sequence_opt</t>
  </si>
  <si>
    <t>Distinct.distinct_90_percentage_10000_rec_stream</t>
  </si>
  <si>
    <t>Distinct.distinct_90_percentage_1000_rec_collection</t>
  </si>
  <si>
    <t>Distinct.distinct_90_percentage_1000_rec_sequence</t>
  </si>
  <si>
    <t>Distinct.distinct_90_percentage_1000_rec_sequence_opt</t>
  </si>
  <si>
    <t>Distinct.distinct_90_percentage_1000_rec_stream</t>
  </si>
  <si>
    <t>Distinct.distinct_90_percentage_100_rec_collection</t>
  </si>
  <si>
    <t>Distinct.distinct_90_percentage_100_rec_sequence</t>
  </si>
  <si>
    <t>Distinct.distinct_90_percentage_100_rec_sequence_opt</t>
  </si>
  <si>
    <t>Distinct.distinct_90_percentage_100_rec_stream</t>
  </si>
  <si>
    <t>Distinct.distinct_90_percentage_50000_rec_collection</t>
  </si>
  <si>
    <t>Distinct.distinct_90_percentage_50000_rec_sequence</t>
  </si>
  <si>
    <t>Distinct.distinct_90_percentage_50000_rec_sequence_opt</t>
  </si>
  <si>
    <t>Distinct.distinct_90_percentage_50000_rec_stream</t>
  </si>
  <si>
    <t>Flatten.flatten_100000_rec_collection</t>
  </si>
  <si>
    <t>Flatten.flatten_100000_rec_sequence</t>
  </si>
  <si>
    <t>Flatten.flatten_100000_rec_sequence_opt</t>
  </si>
  <si>
    <t>Flatten.flatten_100000_rec_stream</t>
  </si>
  <si>
    <t>Flatten.flatten_10000_rec_collection</t>
  </si>
  <si>
    <t>Flatten.flatten_10000_rec_sequence</t>
  </si>
  <si>
    <t>Flatten.flatten_10000_rec_sequence_opt</t>
  </si>
  <si>
    <t>Flatten.flatten_10000_rec_stream</t>
  </si>
  <si>
    <t>Flatten.flatten_1000_rec_collection</t>
  </si>
  <si>
    <t>Flatten.flatten_1000_rec_sequence</t>
  </si>
  <si>
    <t>Flatten.flatten_1000_rec_sequence_opt</t>
  </si>
  <si>
    <t>Flatten.flatten_1000_rec_stream</t>
  </si>
  <si>
    <t>Flatten.flatten_100_rec_collection</t>
  </si>
  <si>
    <t>Flatten.flatten_100_rec_sequence</t>
  </si>
  <si>
    <t>Flatten.flatten_100_rec_sequence_opt</t>
  </si>
  <si>
    <t>Flatten.flatten_100_rec_stream</t>
  </si>
  <si>
    <t>Flatten.flatten_50000_rec_collection</t>
  </si>
  <si>
    <t>Flatten.flatten_50000_rec_sequence</t>
  </si>
  <si>
    <t>Flatten.flatten_50000_rec_sequence_opt</t>
  </si>
  <si>
    <t>Flatten.flatten_50000_rec_stream</t>
  </si>
  <si>
    <t>map10</t>
  </si>
  <si>
    <t>%</t>
  </si>
  <si>
    <t>map5</t>
  </si>
  <si>
    <t>map3</t>
  </si>
  <si>
    <t>map2</t>
  </si>
  <si>
    <t>filter 10%</t>
  </si>
  <si>
    <t>filter 90%</t>
  </si>
  <si>
    <t>flatten</t>
  </si>
  <si>
    <t>distinct 10%</t>
  </si>
  <si>
    <t>distinct 90%</t>
  </si>
  <si>
    <t>GroupBy.groupBy_10_percentage_100000_rec_collection</t>
  </si>
  <si>
    <t>GroupBy.groupBy_10_percentage_100000_rec_sequence</t>
  </si>
  <si>
    <t>GroupBy.groupBy_10_percentage_100000_rec_stream</t>
  </si>
  <si>
    <t>GroupBy.groupBy_10_percentage_50000_rec_collection</t>
  </si>
  <si>
    <t>GroupBy.groupBy_10_percentage_50000_rec_sequence</t>
  </si>
  <si>
    <t>GroupBy.groupBy_10_percentage_50000_rec_stream</t>
  </si>
  <si>
    <t>GroupBy.groupBy_10_percentage_10000_rec_collection</t>
  </si>
  <si>
    <t>GroupBy.groupBy_10_percentage_10000_rec_sequence</t>
  </si>
  <si>
    <t>GroupBy.groupBy_10_percentage_10000_rec_stream</t>
  </si>
  <si>
    <t>GroupBy.groupBy_10_percentage_1000_rec_collection</t>
  </si>
  <si>
    <t>GroupBy.groupBy_10_percentage_1000_rec_sequence</t>
  </si>
  <si>
    <t>GroupBy.groupBy_10_percentage_1000_rec_stream</t>
  </si>
  <si>
    <t>GroupBy.groupBy_10_percentage_100_rec_collection</t>
  </si>
  <si>
    <t>GroupBy.groupBy_10_percentage_100_rec_sequence</t>
  </si>
  <si>
    <t>GroupBy.groupBy_10_percentage_100_rec_stream</t>
  </si>
  <si>
    <t>GroupBy.groupBy_90_percentage_100000_rec_collection</t>
  </si>
  <si>
    <t>GroupBy.groupBy_90_percentage_100000_rec_sequence</t>
  </si>
  <si>
    <t>GroupBy.groupBy_90_percentage_100000_rec_stream</t>
  </si>
  <si>
    <t>GroupBy.groupBy_90_percentage_50000_rec_collection</t>
  </si>
  <si>
    <t>GroupBy.groupBy_90_percentage_50000_rec_sequence</t>
  </si>
  <si>
    <t>GroupBy.groupBy_90_percentage_50000_rec_stream</t>
  </si>
  <si>
    <t>GroupBy.groupBy_90_percentage_10000_rec_collection</t>
  </si>
  <si>
    <t>GroupBy.groupBy_90_percentage_10000_rec_sequence</t>
  </si>
  <si>
    <t>GroupBy.groupBy_90_percentage_10000_rec_stream</t>
  </si>
  <si>
    <t>GroupBy.groupBy_90_percentage_1000_rec_collection</t>
  </si>
  <si>
    <t>GroupBy.groupBy_90_percentage_1000_rec_sequence</t>
  </si>
  <si>
    <t>GroupBy.groupBy_90_percentage_1000_rec_stream</t>
  </si>
  <si>
    <t>GroupBy.groupBy_90_percentage_100_rec_collection</t>
  </si>
  <si>
    <t>GroupBy.groupBy_90_percentage_100_rec_sequence</t>
  </si>
  <si>
    <t>GroupBy.groupBy_90_percentage_100_rec_stream</t>
  </si>
  <si>
    <t>Sort.sort_100000_rec_collection</t>
  </si>
  <si>
    <t>Sort.sort_100000_rec_sequence</t>
  </si>
  <si>
    <t>Sort.sort_100000_rec_stream</t>
  </si>
  <si>
    <t>Sort.sort_50000_rec_collection</t>
  </si>
  <si>
    <t>Sort.sort_50000_rec_sequence</t>
  </si>
  <si>
    <t>Sort.sort_50000_rec_stream</t>
  </si>
  <si>
    <t>Sort.sort_10000_rec_collection</t>
  </si>
  <si>
    <t>Sort.sort_10000_rec_sequence</t>
  </si>
  <si>
    <t>Sort.sort_10000_rec_stream</t>
  </si>
  <si>
    <t>Sort.sort_1000_rec_collection</t>
  </si>
  <si>
    <t>Sort.sort_1000_rec_sequence</t>
  </si>
  <si>
    <t>Sort.sort_1000_rec_stream</t>
  </si>
  <si>
    <t>Sort.sort_100_rec_collection</t>
  </si>
  <si>
    <t>Sort.sort_100_rec_sequence</t>
  </si>
  <si>
    <t>Sort.sort_100_rec_stream</t>
  </si>
  <si>
    <t>Minus.minus_10_percentage_100000_rec_collection</t>
  </si>
  <si>
    <t>Minus.minus_10_percentage_100000_rec_sequence</t>
  </si>
  <si>
    <t>Minus.minus_10_percentage_100000_rec_stream</t>
  </si>
  <si>
    <t>Minus.minus_10_percentage_50000_rec_collection</t>
  </si>
  <si>
    <t>Minus.minus_10_percentage_50000_rec_sequence</t>
  </si>
  <si>
    <t>Minus.minus_10_percentage_50000_rec_stream</t>
  </si>
  <si>
    <t>Minus.minus_10_percentage_10000_rec_collection</t>
  </si>
  <si>
    <t>Minus.minus_10_percentage_10000_rec_sequence</t>
  </si>
  <si>
    <t>Minus.minus_10_percentage_10000_rec_stream</t>
  </si>
  <si>
    <t>Minus.minus_10_percentage_1000_rec_collection</t>
  </si>
  <si>
    <t>Minus.minus_10_percentage_1000_rec_sequence</t>
  </si>
  <si>
    <t>Minus.minus_10_percentage_1000_rec_stream</t>
  </si>
  <si>
    <t>Minus.minus_10_percentage_100_rec_collection</t>
  </si>
  <si>
    <t>Minus.minus_10_percentage_100_rec_sequence</t>
  </si>
  <si>
    <t>Minus.minus_10_percentage_100_rec_stream</t>
  </si>
  <si>
    <t>Minus.minus_90_percentage_100000_rec_collection</t>
  </si>
  <si>
    <t>Minus.minus_90_percentage_100000_rec_sequence</t>
  </si>
  <si>
    <t>Minus.minus_90_percentage_100000_rec_stream</t>
  </si>
  <si>
    <t>Minus.minus_90_percentage_50000_rec_collection</t>
  </si>
  <si>
    <t>Minus.minus_90_percentage_50000_rec_sequence</t>
  </si>
  <si>
    <t>Minus.minus_90_percentage_50000_rec_stream</t>
  </si>
  <si>
    <t>Minus.minus_90_percentage_10000_rec_collection</t>
  </si>
  <si>
    <t>Minus.minus_90_percentage_10000_rec_sequence</t>
  </si>
  <si>
    <t>Minus.minus_90_percentage_10000_rec_stream</t>
  </si>
  <si>
    <t>Minus.minus_90_percentage_1000_rec_collection</t>
  </si>
  <si>
    <t>Minus.minus_90_percentage_1000_rec_sequence</t>
  </si>
  <si>
    <t>Minus.minus_90_percentage_1000_rec_stream</t>
  </si>
  <si>
    <t>Minus.minus_90_percentage_100_rec_collection</t>
  </si>
  <si>
    <t>Minus.minus_90_percentage_100_rec_sequence</t>
  </si>
  <si>
    <t>Minus.minus_90_percentage_100_rec_stream</t>
  </si>
  <si>
    <t>AssociateBy.associateBy_100000_rec_collection</t>
  </si>
  <si>
    <t>AssociateBy.associateBy_100000_rec_sequence</t>
  </si>
  <si>
    <t>AssociateBy.associateBy_10000_rec_collection</t>
  </si>
  <si>
    <t>AssociateBy.associateBy_10000_rec_sequence</t>
  </si>
  <si>
    <t>AssociateBy.associateBy_1000_rec_collection</t>
  </si>
  <si>
    <t>AssociateBy.associateBy_1000_rec_sequence</t>
  </si>
  <si>
    <t>AssociateBy.associateBy_100_rec_collection</t>
  </si>
  <si>
    <t>AssociateBy.associateBy_100_rec_sequence</t>
  </si>
  <si>
    <t>AssociateBy.associateBy_50000_rec_collection</t>
  </si>
  <si>
    <t>AssociateBy.associateBy_50000_rec_sequence</t>
  </si>
  <si>
    <t>Zip.zip_100000_rec_collection</t>
  </si>
  <si>
    <t>Zip.zip_100000_rec_sequence</t>
  </si>
  <si>
    <t>Zip.zip_10000_rec_collection</t>
  </si>
  <si>
    <t>Zip.zip_10000_rec_sequence</t>
  </si>
  <si>
    <t>Zip.zip_1000_rec_collection</t>
  </si>
  <si>
    <t>Zip.zip_1000_rec_sequence</t>
  </si>
  <si>
    <t>Zip.zip_100_rec_collection</t>
  </si>
  <si>
    <t>Zip.zip_100_rec_sequence</t>
  </si>
  <si>
    <t>Zip.zip_50000_rec_collection</t>
  </si>
  <si>
    <t>Zip.zip_50000_rec_sequence</t>
  </si>
  <si>
    <t>minus 90%</t>
  </si>
  <si>
    <t>minus 10%</t>
  </si>
  <si>
    <t>sort</t>
  </si>
  <si>
    <t>groupBy 90%</t>
  </si>
  <si>
    <t>groupBy 10%</t>
  </si>
  <si>
    <t>Chunked.chunked_100000_rec_collection</t>
  </si>
  <si>
    <t>Chunked.chunked_100000_rec_sequence</t>
  </si>
  <si>
    <t>Chunked.chunked_100000_rec_stream</t>
  </si>
  <si>
    <t>Chunked.chunked_50000_rec_collection</t>
  </si>
  <si>
    <t>Chunked.chunked_50000_rec_sequence</t>
  </si>
  <si>
    <t>Chunked.chunked_50000_rec_stream</t>
  </si>
  <si>
    <t>Chunked.chunked_10000_rec_collection</t>
  </si>
  <si>
    <t>Chunked.chunked_10000_rec_sequence</t>
  </si>
  <si>
    <t>Chunked.chunked_10000_rec_stream</t>
  </si>
  <si>
    <t>Chunked.chunked_1000_rec_collection</t>
  </si>
  <si>
    <t>Chunked.chunked_1000_rec_sequence</t>
  </si>
  <si>
    <t>Chunked.chunked_1000_rec_stream</t>
  </si>
  <si>
    <t>Chunked.chunked_100_rec_collection</t>
  </si>
  <si>
    <t>Chunked.chunked_100_rec_sequence</t>
  </si>
  <si>
    <t>Chunked.chunked_100_rec_stream</t>
  </si>
  <si>
    <t>Crazy.crazy_10_percentage_100000_rec_collection</t>
  </si>
  <si>
    <t>Crazy.crazy_10_percentage_100000_rec_sequence</t>
  </si>
  <si>
    <t>Crazy.crazy_10_percentage_100000_rec_stream</t>
  </si>
  <si>
    <t>Crazy.crazy_10_percentage_50000_rec_collection</t>
  </si>
  <si>
    <t>Crazy.crazy_10_percentage_50000_rec_sequence</t>
  </si>
  <si>
    <t>Crazy.crazy_10_percentage_50000_rec_stream</t>
  </si>
  <si>
    <t>Crazy.crazy_10_percentage_10000_rec_collection</t>
  </si>
  <si>
    <t>Crazy.crazy_10_percentage_10000_rec_sequence</t>
  </si>
  <si>
    <t>Crazy.crazy_10_percentage_10000_rec_stream</t>
  </si>
  <si>
    <t>Crazy.crazy_10_percentage_1000_rec_collection</t>
  </si>
  <si>
    <t>Crazy.crazy_10_percentage_1000_rec_sequence</t>
  </si>
  <si>
    <t>Crazy.crazy_10_percentage_1000_rec_stream</t>
  </si>
  <si>
    <t>Crazy.crazy_10_percentage_100_rec_collection</t>
  </si>
  <si>
    <t>Crazy.crazy_10_percentage_100_rec_sequence</t>
  </si>
  <si>
    <t>Crazy.crazy_10_percentage_100_rec_stream</t>
  </si>
  <si>
    <t>Crazy.crazy_90_percentage_100000_rec_collection</t>
  </si>
  <si>
    <t>Crazy.crazy_90_percentage_100000_rec_sequence</t>
  </si>
  <si>
    <t>Crazy.crazy_90_percentage_100000_rec_stream</t>
  </si>
  <si>
    <t>Crazy.crazy_90_percentage_50000_rec_collection</t>
  </si>
  <si>
    <t>Crazy.crazy_90_percentage_50000_rec_sequence</t>
  </si>
  <si>
    <t>Crazy.crazy_90_percentage_50000_rec_stream</t>
  </si>
  <si>
    <t>Crazy.crazy_90_percentage_10000_rec_collection</t>
  </si>
  <si>
    <t>Crazy.crazy_90_percentage_10000_rec_sequence</t>
  </si>
  <si>
    <t>Crazy.crazy_90_percentage_10000_rec_stream</t>
  </si>
  <si>
    <t>Crazy.crazy_90_percentage_1000_rec_collection</t>
  </si>
  <si>
    <t>Crazy.crazy_90_percentage_1000_rec_sequence</t>
  </si>
  <si>
    <t>Crazy.crazy_90_percentage_1000_rec_stream</t>
  </si>
  <si>
    <t>Crazy.crazy_90_percentage_100_rec_collection</t>
  </si>
  <si>
    <t>Crazy.crazy_90_percentage_100_rec_sequence</t>
  </si>
  <si>
    <t>Crazy.crazy_90_percentage_100_rec_stream</t>
  </si>
  <si>
    <t>Reality.reality_100000_rec_collection</t>
  </si>
  <si>
    <t>Reality.reality_100000_rec_sequence</t>
  </si>
  <si>
    <t>Reality.reality_100000_rec_stream</t>
  </si>
  <si>
    <t>Reality.reality_10000_rec_collection</t>
  </si>
  <si>
    <t>Reality.reality_10000_rec_sequence</t>
  </si>
  <si>
    <t>Reality.reality_10000_rec_stream</t>
  </si>
  <si>
    <t>Reality.reality_1000_rec_collection</t>
  </si>
  <si>
    <t>Reality.reality_1000_rec_sequence</t>
  </si>
  <si>
    <t>Reality.reality_1000_rec_stream</t>
  </si>
  <si>
    <t>Reality.reality_100_rec_collection</t>
  </si>
  <si>
    <t>Reality.reality_100_rec_sequence</t>
  </si>
  <si>
    <t>Reality.reality_100_rec_stream</t>
  </si>
  <si>
    <t>Reality.reality_50000_rec_collection</t>
  </si>
  <si>
    <t>Reality.reality_50000_rec_sequence</t>
  </si>
  <si>
    <t>Reality.reality_50000_rec_stream</t>
  </si>
  <si>
    <t>Map10</t>
  </si>
  <si>
    <t>-</t>
  </si>
  <si>
    <t>avgt</t>
  </si>
  <si>
    <t>(ns)</t>
  </si>
  <si>
    <t>ns/op</t>
  </si>
  <si>
    <t>map10 - avg</t>
  </si>
  <si>
    <t>Filter</t>
  </si>
  <si>
    <t>filter10 - avg</t>
  </si>
  <si>
    <t>filter90 - avg</t>
  </si>
  <si>
    <t>Collection (ns)</t>
  </si>
  <si>
    <t>Sequence (ns)</t>
  </si>
  <si>
    <t>Stream (ns)</t>
  </si>
  <si>
    <t>Sequence-opt (ns)</t>
  </si>
  <si>
    <t>Collection(ns)</t>
  </si>
  <si>
    <t>Distinct</t>
  </si>
  <si>
    <t>Map10.String</t>
  </si>
  <si>
    <t>_Map10.map10_100000_rec_collection</t>
  </si>
  <si>
    <t>_Map10.map10_100000_rec_sequence</t>
  </si>
  <si>
    <t>_Map10.map10_100000_rec_stream</t>
  </si>
  <si>
    <t>_Map10.map10_10000_rec_collection</t>
  </si>
  <si>
    <t>_Map10.map10_10000_rec_sequence</t>
  </si>
  <si>
    <t>_Map10.map10_10000_rec_stream</t>
  </si>
  <si>
    <t>_Map10.map10_1000_rec_collection</t>
  </si>
  <si>
    <t>_Map10.map10_1000_rec_sequence</t>
  </si>
  <si>
    <t>_Map10.map10_1000_rec_stream</t>
  </si>
  <si>
    <t>_Map10.map10_100_rec_collection</t>
  </si>
  <si>
    <t>_Map10.map10_100_rec_sequence</t>
  </si>
  <si>
    <t>_Map10.map10_100_rec_stream</t>
  </si>
  <si>
    <t>_Map10.map10_50000_rec_collection</t>
  </si>
  <si>
    <t>_Map10.map10_50000_rec_sequence</t>
  </si>
  <si>
    <t>_Map10.map10_50000_rec_stream</t>
  </si>
  <si>
    <t>Filter.String</t>
  </si>
  <si>
    <t>_Filter.filter_10_percentage_100000_rec_collection</t>
  </si>
  <si>
    <t>_Filter.filter_10_percentage_100000_rec_sequence</t>
  </si>
  <si>
    <t>_Filter.filter_10_percentage_100000_rec_stream</t>
  </si>
  <si>
    <t>_Filter.filter_10_percentage_50000_rec_collection</t>
  </si>
  <si>
    <t>_Filter.filter_10_percentage_50000_rec_sequence</t>
  </si>
  <si>
    <t>_Filter.filter_10_percentage_50000_rec_stream</t>
  </si>
  <si>
    <t>_Filter.filter_10_percentage_10000_rec_collection</t>
  </si>
  <si>
    <t>_Filter.filter_10_percentage_10000_rec_sequence</t>
  </si>
  <si>
    <t>_Filter.filter_10_percentage_10000_rec_stream</t>
  </si>
  <si>
    <t>_Filter.filter_10_percentage_1000_rec_collection</t>
  </si>
  <si>
    <t>_Filter.filter_10_percentage_1000_rec_sequence</t>
  </si>
  <si>
    <t>_Filter.filter_10_percentage_1000_rec_stream</t>
  </si>
  <si>
    <t>_Filter.filter_10_percentage_100_rec_collection</t>
  </si>
  <si>
    <t>_Filter.filter_10_percentage_100_rec_sequence</t>
  </si>
  <si>
    <t>_Filter.filter_10_percentage_100_rec_stream</t>
  </si>
  <si>
    <t>_Filter.filter_90_percentage_100000_rec_collection</t>
  </si>
  <si>
    <t>_Filter.filter_90_percentage_100000_rec_sequence</t>
  </si>
  <si>
    <t>_Filter.filter_90_percentage_100000_rec_stream</t>
  </si>
  <si>
    <t>_Filter.filter_90_percentage_50000_rec_collection</t>
  </si>
  <si>
    <t>_Filter.filter_90_percentage_50000_rec_sequence</t>
  </si>
  <si>
    <t>_Filter.filter_90_percentage_50000_rec_stream</t>
  </si>
  <si>
    <t>_Filter.filter_90_percentage_10000_rec_collection</t>
  </si>
  <si>
    <t>_Filter.filter_90_percentage_10000_rec_sequence</t>
  </si>
  <si>
    <t>_Filter.filter_90_percentage_10000_rec_stream</t>
  </si>
  <si>
    <t>_Filter.filter_90_percentage_1000_rec_collection</t>
  </si>
  <si>
    <t>_Filter.filter_90_percentage_1000_rec_sequence</t>
  </si>
  <si>
    <t>_Filter.filter_90_percentage_1000_rec_stream</t>
  </si>
  <si>
    <t>_Filter.filter_90_percentage_100_rec_collection</t>
  </si>
  <si>
    <t>_Filter.filter_90_percentage_100_rec_sequence</t>
  </si>
  <si>
    <t>_Filter.filter_90_percentage_100_rec_stream</t>
  </si>
  <si>
    <t>map10 - str</t>
  </si>
  <si>
    <t>filter10 - str</t>
  </si>
  <si>
    <t>filter90 - str</t>
  </si>
  <si>
    <t>Map5.String</t>
  </si>
  <si>
    <t>_Map5.map5_100000_rec_collection</t>
  </si>
  <si>
    <t>_Map5.map5_100000_rec_sequence</t>
  </si>
  <si>
    <t>_Map5.map5_100000_rec_stream</t>
  </si>
  <si>
    <t>_Map5.map5_50000_rec_collection</t>
  </si>
  <si>
    <t>_Map5.map5_50000_rec_sequence</t>
  </si>
  <si>
    <t>_Map5.map5_50000_rec_stream</t>
  </si>
  <si>
    <t>_Map5.map5_10000_rec_collection</t>
  </si>
  <si>
    <t>_Map5.map5_10000_rec_sequence</t>
  </si>
  <si>
    <t>_Map5.map5_10000_rec_stream</t>
  </si>
  <si>
    <t>_Map5.map5_1000_rec_collection</t>
  </si>
  <si>
    <t>_Map5.map5_1000_rec_sequence</t>
  </si>
  <si>
    <t>_Map5.map5_1000_rec_stream</t>
  </si>
  <si>
    <t>_Map5.map5_100_rec_collection</t>
  </si>
  <si>
    <t>_Map5.map5_100_rec_sequence</t>
  </si>
  <si>
    <t>_Map5.map5_100_rec_stream</t>
  </si>
  <si>
    <t>Map3.String</t>
  </si>
  <si>
    <t>_Map3.map3_100000_rec_collection</t>
  </si>
  <si>
    <t>_Map3.map3_100000_rec_sequence</t>
  </si>
  <si>
    <t>_Map3.map3_100000_rec_stream</t>
  </si>
  <si>
    <t>_Map3.map3_50000_rec_collection</t>
  </si>
  <si>
    <t>_Map3.map3_50000_rec_sequence</t>
  </si>
  <si>
    <t>_Map3.map3_50000_rec_stream</t>
  </si>
  <si>
    <t>_Map3.map3_10000_rec_collection</t>
  </si>
  <si>
    <t>_Map3.map3_10000_rec_sequence</t>
  </si>
  <si>
    <t>_Map3.map3_10000_rec_stream</t>
  </si>
  <si>
    <t>_Map3.map3_1000_rec_collection</t>
  </si>
  <si>
    <t>_Map3.map3_1000_rec_sequence</t>
  </si>
  <si>
    <t>_Map3.map3_1000_rec_stream</t>
  </si>
  <si>
    <t>_Map3.map3_100_rec_collection</t>
  </si>
  <si>
    <t>_Map3.map3_100_rec_sequence</t>
  </si>
  <si>
    <t>_Map3.map3_100_rec_stream</t>
  </si>
  <si>
    <t>map5 - str</t>
  </si>
  <si>
    <t>map3 - str</t>
  </si>
  <si>
    <t>Map_i10.Int?</t>
  </si>
  <si>
    <t>Map_i10.map10_100000_rec_collection</t>
  </si>
  <si>
    <t>Map_i10.map10_100000_rec_sequence</t>
  </si>
  <si>
    <t>Map_i10.map10_100000_rec_stream</t>
  </si>
  <si>
    <t>Map_i10.map10_50000_rec_collection</t>
  </si>
  <si>
    <t>Map_i10.map10_50000_rec_sequence</t>
  </si>
  <si>
    <t>Map_i10.map10_50000_rec_stream</t>
  </si>
  <si>
    <t>Map_i10.map10_10000_rec_collection</t>
  </si>
  <si>
    <t>Map_i10.map10_10000_rec_sequence</t>
  </si>
  <si>
    <t>Map_i10.map10_10000_rec_stream</t>
  </si>
  <si>
    <t>Map_i10.map10_1000_rec_collection</t>
  </si>
  <si>
    <t>Map_i10.map10_1000_rec_sequence</t>
  </si>
  <si>
    <t>Map_i10.map10_1000_rec_stream</t>
  </si>
  <si>
    <t>Map_i10.map10_100_rec_collection</t>
  </si>
  <si>
    <t>Map_i10.map10_100_rec_sequence</t>
  </si>
  <si>
    <t>Map_i10.map10_100_rec_stream</t>
  </si>
  <si>
    <t>Map_i5.Int?</t>
  </si>
  <si>
    <t>Map_i5.map5_100000_rec_collection</t>
  </si>
  <si>
    <t>Map_i5.map5_100000_rec_sequence</t>
  </si>
  <si>
    <t>Map_i5.map5_100000_rec_stream</t>
  </si>
  <si>
    <t>Map_i5.map5_50000_rec_collection</t>
  </si>
  <si>
    <t>Map_i5.map5_50000_rec_sequence</t>
  </si>
  <si>
    <t>Map_i5.map5_50000_rec_stream</t>
  </si>
  <si>
    <t>Map_i5.map5_10000_rec_collection</t>
  </si>
  <si>
    <t>Map_i5.map5_10000_rec_sequence</t>
  </si>
  <si>
    <t>Map_i5.map5_10000_rec_stream</t>
  </si>
  <si>
    <t>Map_i5.map5_1000_rec_collection</t>
  </si>
  <si>
    <t>Map_i5.map5_1000_rec_sequence</t>
  </si>
  <si>
    <t>Map_i5.map5_1000_rec_stream</t>
  </si>
  <si>
    <t>Map_i5.map5_100_rec_collection</t>
  </si>
  <si>
    <t>Map_i5.map5_100_rec_sequence</t>
  </si>
  <si>
    <t>Map_i5.map5_100_rec_stream</t>
  </si>
  <si>
    <t>Map_i3.Int?</t>
  </si>
  <si>
    <t>Map_i3.map3_100000_rec_collection</t>
  </si>
  <si>
    <t>Map_i3.map3_100000_rec_sequence</t>
  </si>
  <si>
    <t>Map_i3.map3_100000_rec_stream</t>
  </si>
  <si>
    <t>Map_i3.map3_50000_rec_collection</t>
  </si>
  <si>
    <t>Map_i3.map3_50000_rec_sequence</t>
  </si>
  <si>
    <t>Map_i3.map3_50000_rec_stream</t>
  </si>
  <si>
    <t>Map_i3.map3_10000_rec_collection</t>
  </si>
  <si>
    <t>Map_i3.map3_10000_rec_sequence</t>
  </si>
  <si>
    <t>Map_i3.map3_10000_rec_stream</t>
  </si>
  <si>
    <t>Map_i3.map3_1000_rec_collection</t>
  </si>
  <si>
    <t>Map_i3.map3_1000_rec_sequence</t>
  </si>
  <si>
    <t>Map_i3.map3_1000_rec_stream</t>
  </si>
  <si>
    <t>Map_i3.map3_100_rec_collection</t>
  </si>
  <si>
    <t>Map_i3.map3_100_rec_sequence</t>
  </si>
  <si>
    <t>Map_i3.map3_100_rec_stream</t>
  </si>
  <si>
    <t>map_i10</t>
  </si>
  <si>
    <t>map_i3</t>
  </si>
  <si>
    <t>map_i5</t>
  </si>
  <si>
    <t>map10 - int?</t>
  </si>
  <si>
    <t>map5 - int?</t>
  </si>
  <si>
    <t>map3 - int?</t>
  </si>
  <si>
    <t>filter10 - int?</t>
  </si>
  <si>
    <t>filter90 - int?</t>
  </si>
  <si>
    <t>JetBrains Runtime 17 (targetJvm 1.8)</t>
  </si>
  <si>
    <t>Oracle Open JDK 21 (targetJvm 21)</t>
  </si>
  <si>
    <t>JDK</t>
  </si>
  <si>
    <t>Filter10.Int?</t>
  </si>
  <si>
    <t>Filter90.Int?</t>
  </si>
  <si>
    <t>map10 int?</t>
  </si>
  <si>
    <t>map3 int?</t>
  </si>
  <si>
    <t>map5 int?</t>
  </si>
  <si>
    <t>Distinct10.Int?</t>
  </si>
  <si>
    <t>Distinct90.Int?</t>
  </si>
  <si>
    <t>filter10 int?</t>
  </si>
  <si>
    <t>filter90 int?</t>
  </si>
  <si>
    <t>distinct10 int?</t>
  </si>
  <si>
    <t>Flatten.Int?</t>
  </si>
  <si>
    <t>flatten90%</t>
  </si>
  <si>
    <t>aaaaa</t>
  </si>
  <si>
    <t>distinct90 int?</t>
  </si>
  <si>
    <t>flatten int?</t>
  </si>
  <si>
    <t>Samples</t>
  </si>
  <si>
    <t>Score Error (99.9%)</t>
  </si>
  <si>
    <t>Unit</t>
  </si>
  <si>
    <t>com.maxssoft.test.run.Distinct.distinct_10_percentage_100000_rec_collection</t>
  </si>
  <si>
    <t>com.maxssoft.test.run.Distinct.distinct_10_percentage_100000_rec_sequence</t>
  </si>
  <si>
    <t>com.maxssoft.test.run.Distinct.distinct_10_percentage_100000_rec_sequence_opt</t>
  </si>
  <si>
    <t>com.maxssoft.test.run.Distinct.distinct_10_percentage_100000_rec_stream</t>
  </si>
  <si>
    <t>com.maxssoft.test.run.Distinct.distinct_10_percentage_10000_rec_collection</t>
  </si>
  <si>
    <t>com.maxssoft.test.run.Distinct.distinct_10_percentage_10000_rec_sequence</t>
  </si>
  <si>
    <t>com.maxssoft.test.run.Distinct.distinct_10_percentage_10000_rec_sequence_opt</t>
  </si>
  <si>
    <t>com.maxssoft.test.run.Distinct.distinct_10_percentage_10000_rec_stream</t>
  </si>
  <si>
    <t>com.maxssoft.test.run.Distinct.distinct_10_percentage_50000_rec_collection</t>
  </si>
  <si>
    <t>com.maxssoft.test.run.Distinct.distinct_10_percentage_50000_rec_sequence</t>
  </si>
  <si>
    <t>com.maxssoft.test.run.Distinct.distinct_10_percentage_50000_rec_sequence_opt</t>
  </si>
  <si>
    <t>com.maxssoft.test.run.Distinct.distinct_10_percentage_50000_rec_stream</t>
  </si>
  <si>
    <t>com.maxssoft.test.run.Distinct.distinct_90_percentage_100000_rec_collection</t>
  </si>
  <si>
    <t>com.maxssoft.test.run.Distinct.distinct_90_percentage_100000_rec_sequence</t>
  </si>
  <si>
    <t>com.maxssoft.test.run.Distinct.distinct_90_percentage_100000_rec_sequence_opt</t>
  </si>
  <si>
    <t>com.maxssoft.test.run.Distinct.distinct_90_percentage_100000_rec_stream</t>
  </si>
  <si>
    <t>com.maxssoft.test.run.Distinct.distinct_90_percentage_10000_rec_collection</t>
  </si>
  <si>
    <t>com.maxssoft.test.run.Distinct.distinct_90_percentage_10000_rec_sequence</t>
  </si>
  <si>
    <t>com.maxssoft.test.run.Distinct.distinct_90_percentage_10000_rec_sequence_opt</t>
  </si>
  <si>
    <t>com.maxssoft.test.run.Distinct.distinct_90_percentage_10000_rec_stream</t>
  </si>
  <si>
    <t>com.maxssoft.test.run.Distinct.distinct_90_percentage_50000_rec_collection</t>
  </si>
  <si>
    <t>com.maxssoft.test.run.Distinct.distinct_90_percentage_50000_rec_sequence</t>
  </si>
  <si>
    <t>com.maxssoft.test.run.Distinct.distinct_90_percentage_50000_rec_sequence_opt</t>
  </si>
  <si>
    <t>com.maxssoft.test.run.Distinct.distinct_90_percentage_50000_rec_stream</t>
  </si>
  <si>
    <t>com.maxssoft.test.run.Filter.filter_10_percentage_100000_rec_collection</t>
  </si>
  <si>
    <t>com.maxssoft.test.run.Filter.filter_10_percentage_100000_rec_sequence</t>
  </si>
  <si>
    <t>com.maxssoft.test.run.Filter.filter_10_percentage_100000_rec_stream</t>
  </si>
  <si>
    <t>com.maxssoft.test.run.Filter.filter_10_percentage_10000_rec_collection</t>
  </si>
  <si>
    <t>com.maxssoft.test.run.Filter.filter_10_percentage_10000_rec_sequence</t>
  </si>
  <si>
    <t>com.maxssoft.test.run.Filter.filter_10_percentage_10000_rec_stream</t>
  </si>
  <si>
    <t>com.maxssoft.test.run.Filter.filter_10_percentage_50000_rec_collection</t>
  </si>
  <si>
    <t>com.maxssoft.test.run.Filter.filter_10_percentage_50000_rec_sequence</t>
  </si>
  <si>
    <t>com.maxssoft.test.run.Filter.filter_10_percentage_50000_rec_stream</t>
  </si>
  <si>
    <t>com.maxssoft.test.run.Filter.filter_90_percentage_100000_rec_collection</t>
  </si>
  <si>
    <t>com.maxssoft.test.run.Filter.filter_90_percentage_100000_rec_sequence</t>
  </si>
  <si>
    <t>com.maxssoft.test.run.Filter.filter_90_percentage_100000_rec_stream</t>
  </si>
  <si>
    <t>com.maxssoft.test.run.Filter.filter_90_percentage_10000_rec_collection</t>
  </si>
  <si>
    <t>com.maxssoft.test.run.Filter.filter_90_percentage_10000_rec_sequence</t>
  </si>
  <si>
    <t>com.maxssoft.test.run.Filter.filter_90_percentage_10000_rec_stream</t>
  </si>
  <si>
    <t>com.maxssoft.test.run.Filter.filter_90_percentage_50000_rec_collection</t>
  </si>
  <si>
    <t>com.maxssoft.test.run.Filter.filter_90_percentage_50000_rec_sequence</t>
  </si>
  <si>
    <t>com.maxssoft.test.run.Filter.filter_90_percentage_50000_rec_stream</t>
  </si>
  <si>
    <t>com.maxssoft.test.run.Flatten.flatten_100000_rec_collection</t>
  </si>
  <si>
    <t>com.maxssoft.test.run.Flatten.flatten_100000_rec_sequence</t>
  </si>
  <si>
    <t>com.maxssoft.test.run.Flatten.flatten_100000_rec_sequence_opt</t>
  </si>
  <si>
    <t>com.maxssoft.test.run.Flatten.flatten_100000_rec_stream</t>
  </si>
  <si>
    <t>com.maxssoft.test.run.Flatten.flatten_10000_rec_collection</t>
  </si>
  <si>
    <t>com.maxssoft.test.run.Flatten.flatten_10000_rec_sequence</t>
  </si>
  <si>
    <t>com.maxssoft.test.run.Flatten.flatten_10000_rec_sequence_opt</t>
  </si>
  <si>
    <t>com.maxssoft.test.run.Flatten.flatten_10000_rec_stream</t>
  </si>
  <si>
    <t>com.maxssoft.test.run.Flatten.flatten_50000_rec_collection</t>
  </si>
  <si>
    <t>com.maxssoft.test.run.Flatten.flatten_50000_rec_sequence</t>
  </si>
  <si>
    <t>com.maxssoft.test.run.Flatten.flatten_50000_rec_sequence_opt</t>
  </si>
  <si>
    <t>com.maxssoft.test.run.Flatten.flatten_50000_rec_stream</t>
  </si>
  <si>
    <t>distinct10</t>
  </si>
  <si>
    <t>distinct90</t>
  </si>
  <si>
    <t>filter10</t>
  </si>
  <si>
    <t>filter90</t>
  </si>
  <si>
    <t>distinct 10 int?</t>
  </si>
  <si>
    <t>distinct 90 int?</t>
  </si>
  <si>
    <t>crazy_10</t>
  </si>
  <si>
    <t>crazy_90</t>
  </si>
  <si>
    <t>distinct_10</t>
  </si>
  <si>
    <t>distinct_90</t>
  </si>
  <si>
    <t>filter_10</t>
  </si>
  <si>
    <t>filter_90</t>
  </si>
  <si>
    <t>reality</t>
  </si>
  <si>
    <t>zip</t>
  </si>
  <si>
    <t>25 прогонов</t>
  </si>
  <si>
    <t>associateBy</t>
  </si>
  <si>
    <t>chunked</t>
  </si>
  <si>
    <t>groupBy_10</t>
  </si>
  <si>
    <t>groupBy_90</t>
  </si>
  <si>
    <t>minus_10</t>
  </si>
  <si>
    <t>minus_90</t>
  </si>
  <si>
    <t>All tests</t>
  </si>
  <si>
    <r>
      <rPr>
        <b/>
        <sz val="14"/>
        <color theme="1"/>
        <rFont val="Calibri"/>
        <family val="2"/>
        <scheme val="minor"/>
      </rPr>
      <t>Map</t>
    </r>
    <r>
      <rPr>
        <sz val="14"/>
        <color theme="1"/>
        <rFont val="Calibri"/>
        <family val="2"/>
        <charset val="204"/>
        <scheme val="minor"/>
      </rPr>
      <t xml:space="preserve"> - Объяснить эффект, почему затраты коллекций не растут так сильно с количеством преобразований</t>
    </r>
  </si>
  <si>
    <r>
      <rPr>
        <b/>
        <sz val="14"/>
        <color theme="1"/>
        <rFont val="Calibri"/>
        <family val="2"/>
        <scheme val="minor"/>
      </rPr>
      <t>Distinct</t>
    </r>
    <r>
      <rPr>
        <sz val="14"/>
        <color theme="1"/>
        <rFont val="Calibri"/>
        <family val="2"/>
        <scheme val="minor"/>
      </rPr>
      <t xml:space="preserve"> - кажется что результат должен быть наоборот и он сильно отличается от фильтра</t>
    </r>
  </si>
  <si>
    <r>
      <rPr>
        <b/>
        <sz val="14"/>
        <color theme="1"/>
        <rFont val="Calibri"/>
        <family val="2"/>
        <scheme val="minor"/>
      </rPr>
      <t>Minus</t>
    </r>
    <r>
      <rPr>
        <sz val="14"/>
        <color theme="1"/>
        <rFont val="Calibri"/>
        <family val="2"/>
        <scheme val="minor"/>
      </rPr>
      <t xml:space="preserve"> - должен повторять результаты minus_10 = filter_90, minus_90 = filter_10. Но на цифрах мы не видим этого, хотя там используется один и тот же код</t>
    </r>
  </si>
  <si>
    <t>take_10</t>
  </si>
  <si>
    <t>Take.take_10_percentage_100000_rec_collection</t>
  </si>
  <si>
    <t>Take.take_10_percentage_100000_rec_sequence</t>
  </si>
  <si>
    <t>Take.take_10_percentage_100000_rec_stream</t>
  </si>
  <si>
    <t>Take.take_10_percentage_50000_rec_collection</t>
  </si>
  <si>
    <t>Take.take_10_percentage_50000_rec_sequence</t>
  </si>
  <si>
    <t>Take.take_10_percentage_50000_rec_stream</t>
  </si>
  <si>
    <t>Take.take_10_percentage_10000_rec_collection</t>
  </si>
  <si>
    <t>Take.take_10_percentage_10000_rec_sequence</t>
  </si>
  <si>
    <t>Take.take_10_percentage_10000_rec_stream</t>
  </si>
  <si>
    <t>Take.take_10_percentage_1000_rec_collection</t>
  </si>
  <si>
    <t>Take.take_10_percentage_1000_rec_sequence</t>
  </si>
  <si>
    <t>Take.take_10_percentage_1000_rec_stream</t>
  </si>
  <si>
    <t>Take.take_10_percentage_100_rec_collection</t>
  </si>
  <si>
    <t>Take.take_10_percentage_100_rec_sequence</t>
  </si>
  <si>
    <t>Take.take_10_percentage_100_rec_stream</t>
  </si>
  <si>
    <t>take_90</t>
  </si>
  <si>
    <t>Take.take_90_percentage_100000_rec_collection</t>
  </si>
  <si>
    <t>Take.take_90_percentage_100000_rec_sequence</t>
  </si>
  <si>
    <t>Take.take_90_percentage_100000_rec_stream</t>
  </si>
  <si>
    <t>Take.take_90_percentage_50000_rec_collection</t>
  </si>
  <si>
    <t>Take.take_90_percentage_50000_rec_sequence</t>
  </si>
  <si>
    <t>Take.take_90_percentage_50000_rec_stream</t>
  </si>
  <si>
    <t>Take.take_90_percentage_10000_rec_collection</t>
  </si>
  <si>
    <t>Take.take_90_percentage_10000_rec_sequence</t>
  </si>
  <si>
    <t>Take.take_90_percentage_10000_rec_stream</t>
  </si>
  <si>
    <t>Take.take_90_percentage_1000_rec_collection</t>
  </si>
  <si>
    <t>Take.take_90_percentage_1000_rec_sequence</t>
  </si>
  <si>
    <t>Take.take_90_percentage_1000_rec_stream</t>
  </si>
  <si>
    <t>Take.take_90_percentage_100_rec_collection</t>
  </si>
  <si>
    <t>Take.take_90_percentage_100_rec_sequence</t>
  </si>
  <si>
    <t>Take.take_90_percentage_100_rec_stream</t>
  </si>
  <si>
    <t>filter_exp</t>
  </si>
  <si>
    <t>Filter_exp.filter_10r_10000_rec_collection</t>
  </si>
  <si>
    <t>Filter_exp.filter_10r_10000_rec_sequence</t>
  </si>
  <si>
    <t>Filter_exp.filter_2r_10000_rec_collection</t>
  </si>
  <si>
    <t>Filter_exp.filter_2r_10000_rec_sequence</t>
  </si>
  <si>
    <t>Filter_exp.filter_3r_10000_rec_collection</t>
  </si>
  <si>
    <t>Filter_exp.filter_3r_10000_rec_sequence</t>
  </si>
  <si>
    <t>Filter_exp.filter_5r_10000_rec_collection</t>
  </si>
  <si>
    <t>Filter_exp.filter_5r_10000_rec_sequence</t>
  </si>
  <si>
    <t>filter_N</t>
  </si>
  <si>
    <t>drop_10</t>
  </si>
  <si>
    <t>Drop.drop_10_percentage_100000_rec_collection</t>
  </si>
  <si>
    <t>Drop.drop_10_percentage_100000_rec_sequence</t>
  </si>
  <si>
    <t>Drop.drop_10_percentage_100000_rec_stream</t>
  </si>
  <si>
    <t>Drop.drop_10_percentage_50000_rec_collection</t>
  </si>
  <si>
    <t>Drop.drop_10_percentage_50000_rec_sequence</t>
  </si>
  <si>
    <t>Drop.drop_10_percentage_50000_rec_stream</t>
  </si>
  <si>
    <t>Drop.drop_10_percentage_10000_rec_collection</t>
  </si>
  <si>
    <t>Drop.drop_10_percentage_10000_rec_sequence</t>
  </si>
  <si>
    <t>Drop.drop_10_percentage_10000_rec_stream</t>
  </si>
  <si>
    <t>Drop.drop_10_percentage_1000_rec_collection</t>
  </si>
  <si>
    <t>Drop.drop_10_percentage_1000_rec_sequence</t>
  </si>
  <si>
    <t>Drop.drop_10_percentage_1000_rec_stream</t>
  </si>
  <si>
    <t>Drop.drop_10_percentage_100_rec_collection</t>
  </si>
  <si>
    <t>Drop.drop_10_percentage_100_rec_sequence</t>
  </si>
  <si>
    <t>Drop.drop_10_percentage_100_rec_stream</t>
  </si>
  <si>
    <t>drop_90</t>
  </si>
  <si>
    <t>Drop.drop_90_percentage_100000_rec_collection</t>
  </si>
  <si>
    <t>Drop.drop_90_percentage_100000_rec_sequence</t>
  </si>
  <si>
    <t>Drop.drop_90_percentage_100000_rec_stream</t>
  </si>
  <si>
    <t>Drop.drop_90_percentage_50000_rec_collection</t>
  </si>
  <si>
    <t>Drop.drop_90_percentage_50000_rec_sequence</t>
  </si>
  <si>
    <t>Drop.drop_90_percentage_50000_rec_stream</t>
  </si>
  <si>
    <t>Drop.drop_90_percentage_10000_rec_collection</t>
  </si>
  <si>
    <t>Drop.drop_90_percentage_10000_rec_sequence</t>
  </si>
  <si>
    <t>Drop.drop_90_percentage_10000_rec_stream</t>
  </si>
  <si>
    <t>Drop.drop_90_percentage_1000_rec_collection</t>
  </si>
  <si>
    <t>Drop.drop_90_percentage_1000_rec_sequence</t>
  </si>
  <si>
    <t>Drop.drop_90_percentage_1000_rec_stream</t>
  </si>
  <si>
    <t>Drop.drop_90_percentage_100_rec_collection</t>
  </si>
  <si>
    <t>Drop.drop_90_percentage_100_rec_sequence</t>
  </si>
  <si>
    <t>Drop.drop_90_percentage_100_rec_stream</t>
  </si>
  <si>
    <t>crazy_exp</t>
  </si>
  <si>
    <t>Crazy_exp.crazy_100000_rec_collection</t>
  </si>
  <si>
    <t>Crazy_exp.crazy_100000_rec_sequence</t>
  </si>
  <si>
    <t>Crazy_exp.crazy_100000_rec_sequence_opt</t>
  </si>
  <si>
    <t>Crazy_exp.crazy_100000_rec_stream</t>
  </si>
  <si>
    <t>Crazy_exp.crazy_50000_rec_collection</t>
  </si>
  <si>
    <t>Crazy_exp.crazy_50000_rec_sequence</t>
  </si>
  <si>
    <t>Crazy_exp.crazy_50000_rec_sequence_opt</t>
  </si>
  <si>
    <t>Crazy_exp.crazy_50000_rec_stream</t>
  </si>
  <si>
    <t>Crazy_exp.crazy_10000_rec_collection</t>
  </si>
  <si>
    <t>Crazy_exp.crazy_10000_rec_sequence</t>
  </si>
  <si>
    <t>Crazy_exp.crazy_10000_rec_sequence_opt</t>
  </si>
  <si>
    <t>Crazy_exp.crazy_10000_rec_stream</t>
  </si>
  <si>
    <t>Crazy_exp.crazy_1000_rec_collection</t>
  </si>
  <si>
    <t>Crazy_exp.crazy_1000_rec_sequence</t>
  </si>
  <si>
    <t>Crazy_exp.crazy_1000_rec_sequence_opt</t>
  </si>
  <si>
    <t>Crazy_exp.crazy_1000_rec_stream</t>
  </si>
  <si>
    <t>Crazy_exp.crazy_100_rec_collection</t>
  </si>
  <si>
    <t>Crazy_exp.crazy_100_rec_sequence</t>
  </si>
  <si>
    <t>Crazy_exp.crazy_100_rec_sequence_opt</t>
  </si>
  <si>
    <t>Crazy_exp.crazy_100_rec_stream</t>
  </si>
  <si>
    <t>plus</t>
  </si>
  <si>
    <t>Plus.plus_100000_rec_collection</t>
  </si>
  <si>
    <t>Plus.plus_100000_rec_sequence</t>
  </si>
  <si>
    <t>Plus.plus_100000_rec_sequence_opt</t>
  </si>
  <si>
    <t>Plus.plus_100000_rec_stream</t>
  </si>
  <si>
    <t>Plus.plus_10000_rec_collection</t>
  </si>
  <si>
    <t>Plus.plus_10000_rec_sequence</t>
  </si>
  <si>
    <t>Plus.plus_10000_rec_sequence_opt</t>
  </si>
  <si>
    <t>Plus.plus_10000_rec_stream</t>
  </si>
  <si>
    <t>Plus.plus_1000_rec_collection</t>
  </si>
  <si>
    <t>Plus.plus_1000_rec_sequence</t>
  </si>
  <si>
    <t>Plus.plus_1000_rec_sequence_opt</t>
  </si>
  <si>
    <t>Plus.plus_1000_rec_stream</t>
  </si>
  <si>
    <t>Plus.plus_100_rec_collection</t>
  </si>
  <si>
    <t>Plus.plus_100_rec_sequence</t>
  </si>
  <si>
    <t>Plus.plus_100_rec_sequence_opt</t>
  </si>
  <si>
    <t>Plus.plus_100_rec_stream</t>
  </si>
  <si>
    <t>Plus.plus_50000_rec_collection</t>
  </si>
  <si>
    <t>Plus.plus_50000_rec_sequence</t>
  </si>
  <si>
    <t>Plus.plus_50000_rec_sequence_opt</t>
  </si>
  <si>
    <t>Plus.plus_50000_rec_stream</t>
  </si>
  <si>
    <t>All.filter2_10_collection</t>
  </si>
  <si>
    <t>All.filter2_10_sequence</t>
  </si>
  <si>
    <t>All.filter2_90_collection</t>
  </si>
  <si>
    <t>All.filter2_90_sequence</t>
  </si>
  <si>
    <t>All.distinct2_10_collection</t>
  </si>
  <si>
    <t>All.distinct2_10_sequence</t>
  </si>
  <si>
    <t>All.distinct2_90_collection</t>
  </si>
  <si>
    <t>All.distinct2_90_sequence</t>
  </si>
  <si>
    <t>All.minus2_10_collection</t>
  </si>
  <si>
    <t>All.minus2_10_sequence</t>
  </si>
  <si>
    <t>All.minus2_90_collection</t>
  </si>
  <si>
    <t>All.minus2_90_sequence</t>
  </si>
  <si>
    <t>All.flatten2_collection</t>
  </si>
  <si>
    <t>All.flatten2_sequence</t>
  </si>
  <si>
    <t>All.sort2_collection</t>
  </si>
  <si>
    <t>All.sort2_sequence</t>
  </si>
  <si>
    <t>All.take2_10_collection</t>
  </si>
  <si>
    <t>All.take2_10_sequence</t>
  </si>
  <si>
    <t>All.take2_90_collection</t>
  </si>
  <si>
    <t>All.take2_90_sequence</t>
  </si>
  <si>
    <t>All</t>
  </si>
  <si>
    <t>Чистое сравнение без доп.map</t>
  </si>
  <si>
    <t>filter2_10</t>
  </si>
  <si>
    <t>Filter2.filter2_10_percentage_100000_rec_collection</t>
  </si>
  <si>
    <t>Filter2.filter2_10_percentage_100000_rec_sequence</t>
  </si>
  <si>
    <t>Filter2.filter2_10_percentage_100000_rec_stream</t>
  </si>
  <si>
    <t>Filter2.filter2_10_percentage_50000_rec_collection</t>
  </si>
  <si>
    <t>Filter2.filter2_10_percentage_50000_rec_sequence</t>
  </si>
  <si>
    <t>Filter2.filter2_10_percentage_50000_rec_stream</t>
  </si>
  <si>
    <t>Filter2.filter2_10_percentage_10000_rec_collection</t>
  </si>
  <si>
    <t>Filter2.filter2_10_percentage_10000_rec_sequence</t>
  </si>
  <si>
    <t>Filter2.filter2_10_percentage_10000_rec_stream</t>
  </si>
  <si>
    <t>Filter2.filter2_10_percentage_1000_rec_collection</t>
  </si>
  <si>
    <t>Filter2.filter2_10_percentage_1000_rec_sequence</t>
  </si>
  <si>
    <t>Filter2.filter2_10_percentage_1000_rec_stream</t>
  </si>
  <si>
    <t>Filter2.filter2_10_percentage_100_rec_collection</t>
  </si>
  <si>
    <t>Filter2.filter2_10_percentage_100_rec_sequence</t>
  </si>
  <si>
    <t>Filter2.filter2_10_percentage_100_rec_stream</t>
  </si>
  <si>
    <t>filter2_90</t>
  </si>
  <si>
    <t>Filter2.filter2_90_percentage_100000_rec_collection</t>
  </si>
  <si>
    <t>Filter2.filter2_90_percentage_100000_rec_sequence</t>
  </si>
  <si>
    <t>Filter2.filter2_90_percentage_100000_rec_stream</t>
  </si>
  <si>
    <t>Filter2.filter2_90_percentage_50000_rec_collection</t>
  </si>
  <si>
    <t>Filter2.filter2_90_percentage_50000_rec_sequence</t>
  </si>
  <si>
    <t>Filter2.filter2_90_percentage_50000_rec_stream</t>
  </si>
  <si>
    <t>Filter2.filter2_90_percentage_10000_rec_collection</t>
  </si>
  <si>
    <t>Filter2.filter2_90_percentage_10000_rec_sequence</t>
  </si>
  <si>
    <t>Filter2.filter2_90_percentage_10000_rec_stream</t>
  </si>
  <si>
    <t>Filter2.filter2_90_percentage_1000_rec_collection</t>
  </si>
  <si>
    <t>Filter2.filter2_90_percentage_1000_rec_sequence</t>
  </si>
  <si>
    <t>Filter2.filter2_90_percentage_1000_rec_stream</t>
  </si>
  <si>
    <t>Filter2.filter2_90_percentage_100_rec_collection</t>
  </si>
  <si>
    <t>Filter2.filter2_90_percentage_100_rec_sequence</t>
  </si>
  <si>
    <t>Filter2.filter2_90_percentage_100_rec_stream</t>
  </si>
  <si>
    <t>All.array_copy</t>
  </si>
  <si>
    <t>All.map1_collection</t>
  </si>
  <si>
    <t>All.map1_sequence</t>
  </si>
  <si>
    <t>map1</t>
  </si>
  <si>
    <t>Map1.map1_100000_rec_collection</t>
  </si>
  <si>
    <t>Map1.map1_100000_rec_sequence</t>
  </si>
  <si>
    <t>Map1.map1_100000_rec_stream</t>
  </si>
  <si>
    <t>Map1.map1_50000_rec_collection</t>
  </si>
  <si>
    <t>Map1.map1_50000_rec_sequence</t>
  </si>
  <si>
    <t>Map1.map1_50000_rec_stream</t>
  </si>
  <si>
    <t>Map1.map1_10000_rec_collection</t>
  </si>
  <si>
    <t>Map1.map1_10000_rec_sequence</t>
  </si>
  <si>
    <t>Map1.map1_10000_rec_stream</t>
  </si>
  <si>
    <t>Map1.map1_1000_rec_collection</t>
  </si>
  <si>
    <t>Map1.map1_1000_rec_sequence</t>
  </si>
  <si>
    <t>Map1.map1_1000_rec_stream</t>
  </si>
  <si>
    <t>Map1.map1_100_rec_collection</t>
  </si>
  <si>
    <t>Map1.map1_100_rec_sequence</t>
  </si>
  <si>
    <t>Map1.map1_100_rec_stream</t>
  </si>
  <si>
    <t>Collection 10 000</t>
  </si>
  <si>
    <t>Filter_exp.filter_1r_10000_rec_collection</t>
  </si>
  <si>
    <t>Filter_exp.filter_1r_10000_rec_sequence</t>
  </si>
  <si>
    <t>tranform</t>
  </si>
  <si>
    <t>copy_array</t>
  </si>
  <si>
    <t>map = copy_array + transform</t>
  </si>
  <si>
    <t>prediction</t>
  </si>
  <si>
    <t>map2 = transform * 2 + copy_array</t>
  </si>
  <si>
    <t>map3 = transform * 3 + copy_array</t>
  </si>
  <si>
    <t>map5 = transform * 5 + copy_array</t>
  </si>
  <si>
    <t>map10 = transform * 10 + copy_array</t>
  </si>
  <si>
    <t>distinct2_10</t>
  </si>
  <si>
    <t>Distinct2.distinct2_10_percentage_100000_rec_collection</t>
  </si>
  <si>
    <t>Distinct2.distinct2_10_percentage_100000_rec_sequence</t>
  </si>
  <si>
    <t>Distinct2.distinct2_10_percentage_100000_rec_sequence_opt</t>
  </si>
  <si>
    <t>Distinct2.distinct2_10_percentage_100000_rec_stream</t>
  </si>
  <si>
    <t>Distinct2.distinct2_10_percentage_50000_rec_collection</t>
  </si>
  <si>
    <t>Distinct2.distinct2_10_percentage_50000_rec_sequence</t>
  </si>
  <si>
    <t>Distinct2.distinct2_10_percentage_50000_rec_sequence_opt</t>
  </si>
  <si>
    <t>Distinct2.distinct2_10_percentage_50000_rec_stream</t>
  </si>
  <si>
    <t>Distinct2.distinct2_10_percentage_10000_rec_collection</t>
  </si>
  <si>
    <t>Distinct2.distinct2_10_percentage_10000_rec_sequence</t>
  </si>
  <si>
    <t>Distinct2.distinct2_10_percentage_10000_rec_sequence_opt</t>
  </si>
  <si>
    <t>Distinct2.distinct2_10_percentage_10000_rec_stream</t>
  </si>
  <si>
    <t>Distinct2.distinct2_10_percentage_1000_rec_collection</t>
  </si>
  <si>
    <t>Distinct2.distinct2_10_percentage_1000_rec_sequence</t>
  </si>
  <si>
    <t>Distinct2.distinct2_10_percentage_1000_rec_sequence_opt</t>
  </si>
  <si>
    <t>Distinct2.distinct2_10_percentage_1000_rec_stream</t>
  </si>
  <si>
    <t>Distinct2.distinct2_10_percentage_100_rec_collection</t>
  </si>
  <si>
    <t>Distinct2.distinct2_10_percentage_100_rec_sequence</t>
  </si>
  <si>
    <t>Distinct2.distinct2_10_percentage_100_rec_sequence_opt</t>
  </si>
  <si>
    <t>Distinct2.distinct2_10_percentage_100_rec_stream</t>
  </si>
  <si>
    <t>distinct2_90</t>
  </si>
  <si>
    <t>Distinct2.distinct2_90_percentage_100000_rec_collection</t>
  </si>
  <si>
    <t>Distinct2.distinct2_90_percentage_100000_rec_sequence</t>
  </si>
  <si>
    <t>Distinct2.distinct2_90_percentage_100000_rec_sequence_opt</t>
  </si>
  <si>
    <t>Distinct2.distinct2_90_percentage_100000_rec_stream</t>
  </si>
  <si>
    <t>Distinct2.distinct2_90_percentage_50000_rec_collection</t>
  </si>
  <si>
    <t>Distinct2.distinct2_90_percentage_50000_rec_sequence</t>
  </si>
  <si>
    <t>Distinct2.distinct2_90_percentage_50000_rec_sequence_opt</t>
  </si>
  <si>
    <t>Distinct2.distinct2_90_percentage_50000_rec_stream</t>
  </si>
  <si>
    <t>Distinct2.distinct2_90_percentage_10000_rec_collection</t>
  </si>
  <si>
    <t>Distinct2.distinct2_90_percentage_10000_rec_sequence</t>
  </si>
  <si>
    <t>Distinct2.distinct2_90_percentage_10000_rec_sequence_opt</t>
  </si>
  <si>
    <t>Distinct2.distinct2_90_percentage_10000_rec_stream</t>
  </si>
  <si>
    <t>Distinct2.distinct2_90_percentage_1000_rec_collection</t>
  </si>
  <si>
    <t>Distinct2.distinct2_90_percentage_1000_rec_sequence</t>
  </si>
  <si>
    <t>Distinct2.distinct2_90_percentage_1000_rec_sequence_opt</t>
  </si>
  <si>
    <t>Distinct2.distinct2_90_percentage_1000_rec_stream</t>
  </si>
  <si>
    <t>Distinct2.distinct2_90_percentage_100_rec_collection</t>
  </si>
  <si>
    <t>Distinct2.distinct2_90_percentage_100_rec_sequence</t>
  </si>
  <si>
    <t>Distinct2.distinct2_90_percentage_100_rec_sequence_opt</t>
  </si>
  <si>
    <t>Distinct2.distinct2_90_percentage_100_rec_stream</t>
  </si>
  <si>
    <t>drop2_10</t>
  </si>
  <si>
    <t>Drop2.drop2_10_percentage_100000_rec_collection</t>
  </si>
  <si>
    <t>Drop2.drop2_10_percentage_100000_rec_sequence</t>
  </si>
  <si>
    <t>Drop2.drop2_10_percentage_100000_rec_stream</t>
  </si>
  <si>
    <t>Drop2.drop2_10_percentage_50000_rec_collection</t>
  </si>
  <si>
    <t>Drop2.drop2_10_percentage_50000_rec_sequence</t>
  </si>
  <si>
    <t>Drop2.drop2_10_percentage_50000_rec_stream</t>
  </si>
  <si>
    <t>Drop2.drop2_10_percentage_10000_rec_collection</t>
  </si>
  <si>
    <t>Drop2.drop2_10_percentage_10000_rec_sequence</t>
  </si>
  <si>
    <t>Drop2.drop2_10_percentage_10000_rec_stream</t>
  </si>
  <si>
    <t>Drop2.drop2_10_percentage_1000_rec_collection</t>
  </si>
  <si>
    <t>Drop2.drop2_10_percentage_1000_rec_sequence</t>
  </si>
  <si>
    <t>Drop2.drop2_10_percentage_1000_rec_stream</t>
  </si>
  <si>
    <t>Drop2.drop2_10_percentage_100_rec_collection</t>
  </si>
  <si>
    <t>Drop2.drop2_10_percentage_100_rec_sequence</t>
  </si>
  <si>
    <t>Drop2.drop2_10_percentage_100_rec_stream</t>
  </si>
  <si>
    <t>drop2_90</t>
  </si>
  <si>
    <t>Drop2.drop2_90_percentage_100000_rec_collection</t>
  </si>
  <si>
    <t>Drop2.drop2_90_percentage_100000_rec_sequence</t>
  </si>
  <si>
    <t>Drop2.drop2_90_percentage_100000_rec_stream</t>
  </si>
  <si>
    <t>Drop2.drop2_90_percentage_50000_rec_collection</t>
  </si>
  <si>
    <t>Drop2.drop2_90_percentage_50000_rec_sequence</t>
  </si>
  <si>
    <t>Drop2.drop2_90_percentage_50000_rec_stream</t>
  </si>
  <si>
    <t>Drop2.drop2_90_percentage_10000_rec_collection</t>
  </si>
  <si>
    <t>Drop2.drop2_90_percentage_10000_rec_sequence</t>
  </si>
  <si>
    <t>Drop2.drop2_90_percentage_10000_rec_stream</t>
  </si>
  <si>
    <t>Drop2.drop2_90_percentage_1000_rec_collection</t>
  </si>
  <si>
    <t>Drop2.drop2_90_percentage_1000_rec_sequence</t>
  </si>
  <si>
    <t>Drop2.drop2_90_percentage_1000_rec_stream</t>
  </si>
  <si>
    <t>Drop2.drop2_90_percentage_100_rec_collection</t>
  </si>
  <si>
    <t>Drop2.drop2_90_percentage_100_rec_sequence</t>
  </si>
  <si>
    <t>Drop2.drop2_90_percentage_100_rec_stream</t>
  </si>
  <si>
    <t>flatten2</t>
  </si>
  <si>
    <t>Flatten2.flatten2_100000_rec_collection</t>
  </si>
  <si>
    <t>Flatten2.flatten2_100000_rec_sequence</t>
  </si>
  <si>
    <t>Flatten2.flatten2_100000_rec_sequence_opt</t>
  </si>
  <si>
    <t>Flatten2.flatten2_100000_rec_stream</t>
  </si>
  <si>
    <t>Flatten2.flatten2_50000_rec_collection</t>
  </si>
  <si>
    <t>Flatten2.flatten2_50000_rec_sequence</t>
  </si>
  <si>
    <t>Flatten2.flatten2_50000_rec_sequence_opt</t>
  </si>
  <si>
    <t>Flatten2.flatten2_50000_rec_stream</t>
  </si>
  <si>
    <t>Flatten2.flatten2_10000_rec_collection</t>
  </si>
  <si>
    <t>Flatten2.flatten2_10000_rec_sequence</t>
  </si>
  <si>
    <t>Flatten2.flatten2_10000_rec_sequence_opt</t>
  </si>
  <si>
    <t>Flatten2.flatten2_10000_rec_stream</t>
  </si>
  <si>
    <t>Flatten2.flatten2_1000_rec_collection</t>
  </si>
  <si>
    <t>Flatten2.flatten2_1000_rec_sequence</t>
  </si>
  <si>
    <t>Flatten2.flatten2_1000_rec_sequence_opt</t>
  </si>
  <si>
    <t>Flatten2.flatten2_1000_rec_stream</t>
  </si>
  <si>
    <t>Flatten2.flatten2_100_rec_collection</t>
  </si>
  <si>
    <t>Flatten2.flatten2_100_rec_sequence</t>
  </si>
  <si>
    <t>Flatten2.flatten2_100_rec_sequence_opt</t>
  </si>
  <si>
    <t>Flatten2.flatten2_100_rec_stream</t>
  </si>
  <si>
    <t>groupBy2_10</t>
  </si>
  <si>
    <t>GroupBy2.groupBy2_10_percentage_100000_rec_collection</t>
  </si>
  <si>
    <t>GroupBy2.groupBy2_10_percentage_100000_rec_sequence</t>
  </si>
  <si>
    <t>GroupBy2.groupBy2_10_percentage_100000_rec_stream</t>
  </si>
  <si>
    <t>GroupBy2.groupBy2_10_percentage_50000_rec_collection</t>
  </si>
  <si>
    <t>GroupBy2.groupBy2_10_percentage_50000_rec_sequence</t>
  </si>
  <si>
    <t>GroupBy2.groupBy2_10_percentage_50000_rec_stream</t>
  </si>
  <si>
    <t>GroupBy2.groupBy2_10_percentage_10000_rec_collection</t>
  </si>
  <si>
    <t>GroupBy2.groupBy2_10_percentage_10000_rec_sequence</t>
  </si>
  <si>
    <t>GroupBy2.groupBy2_10_percentage_10000_rec_stream</t>
  </si>
  <si>
    <t>GroupBy2.groupBy2_10_percentage_1000_rec_collection</t>
  </si>
  <si>
    <t>GroupBy2.groupBy2_10_percentage_1000_rec_sequence</t>
  </si>
  <si>
    <t>GroupBy2.groupBy2_10_percentage_1000_rec_stream</t>
  </si>
  <si>
    <t>GroupBy2.groupBy2_10_percentage_100_rec_collection</t>
  </si>
  <si>
    <t>GroupBy2.groupBy2_10_percentage_100_rec_sequence</t>
  </si>
  <si>
    <t>GroupBy2.groupBy2_10_percentage_100_rec_stream</t>
  </si>
  <si>
    <t>groupBy2_90</t>
  </si>
  <si>
    <t>GroupBy2.groupBy2_90_percentage_100000_rec_collection</t>
  </si>
  <si>
    <t>GroupBy2.groupBy2_90_percentage_100000_rec_sequence</t>
  </si>
  <si>
    <t>GroupBy2.groupBy2_90_percentage_100000_rec_stream</t>
  </si>
  <si>
    <t>GroupBy2.groupBy2_90_percentage_50000_rec_collection</t>
  </si>
  <si>
    <t>GroupBy2.groupBy2_90_percentage_50000_rec_sequence</t>
  </si>
  <si>
    <t>GroupBy2.groupBy2_90_percentage_50000_rec_stream</t>
  </si>
  <si>
    <t>GroupBy2.groupBy2_90_percentage_10000_rec_collection</t>
  </si>
  <si>
    <t>GroupBy2.groupBy2_90_percentage_10000_rec_sequence</t>
  </si>
  <si>
    <t>GroupBy2.groupBy2_90_percentage_10000_rec_stream</t>
  </si>
  <si>
    <t>GroupBy2.groupBy2_90_percentage_1000_rec_collection</t>
  </si>
  <si>
    <t>GroupBy2.groupBy2_90_percentage_1000_rec_sequence</t>
  </si>
  <si>
    <t>GroupBy2.groupBy2_90_percentage_1000_rec_stream</t>
  </si>
  <si>
    <t>GroupBy2.groupBy2_90_percentage_100_rec_collection</t>
  </si>
  <si>
    <t>GroupBy2.groupBy2_90_percentage_100_rec_sequence</t>
  </si>
  <si>
    <t>GroupBy2.groupBy2_90_percentage_100_rec_stream</t>
  </si>
  <si>
    <t>Minus2.minus_10_percentage_100000_rec_collection</t>
  </si>
  <si>
    <t>Minus2.minus_10_percentage_100000_rec_sequence</t>
  </si>
  <si>
    <t>Minus2.minus_10_percentage_100000_rec_stream</t>
  </si>
  <si>
    <t>Minus2.minus_10_percentage_50000_rec_collection</t>
  </si>
  <si>
    <t>Minus2.minus_10_percentage_50000_rec_sequence</t>
  </si>
  <si>
    <t>Minus2.minus_10_percentage_50000_rec_stream</t>
  </si>
  <si>
    <t>Minus2.minus_10_percentage_10000_rec_collection</t>
  </si>
  <si>
    <t>Minus2.minus_10_percentage_10000_rec_sequence</t>
  </si>
  <si>
    <t>Minus2.minus_10_percentage_10000_rec_stream</t>
  </si>
  <si>
    <t>Minus2.minus_10_percentage_1000_rec_collection</t>
  </si>
  <si>
    <t>Minus2.minus_10_percentage_1000_rec_sequence</t>
  </si>
  <si>
    <t>Minus2.minus_10_percentage_1000_rec_stream</t>
  </si>
  <si>
    <t>Minus2.minus_10_percentage_100_rec_collection</t>
  </si>
  <si>
    <t>Minus2.minus_10_percentage_100_rec_sequence</t>
  </si>
  <si>
    <t>Minus2.minus_10_percentage_100_rec_stream</t>
  </si>
  <si>
    <t>Minus2.minus_90_percentage_100000_rec_collection</t>
  </si>
  <si>
    <t>Minus2.minus_90_percentage_100000_rec_sequence</t>
  </si>
  <si>
    <t>Minus2.minus_90_percentage_100000_rec_stream</t>
  </si>
  <si>
    <t>Minus2.minus_90_percentage_10000_rec_collection</t>
  </si>
  <si>
    <t>Minus2.minus_90_percentage_10000_rec_sequence</t>
  </si>
  <si>
    <t>Minus2.minus_90_percentage_10000_rec_stream</t>
  </si>
  <si>
    <t>Minus2.minus_90_percentage_1000_rec_collection</t>
  </si>
  <si>
    <t>Minus2.minus_90_percentage_1000_rec_sequence</t>
  </si>
  <si>
    <t>Minus2.minus_90_percentage_1000_rec_stream</t>
  </si>
  <si>
    <t>Minus2.minus_90_percentage_100_rec_collection</t>
  </si>
  <si>
    <t>Minus2.minus_90_percentage_100_rec_sequence</t>
  </si>
  <si>
    <t>Minus2.minus_90_percentage_100_rec_stream</t>
  </si>
  <si>
    <t>Minus2.minus_90_percentage_50000_rec_collection</t>
  </si>
  <si>
    <t>Minus2.minus_90_percentage_50000_rec_sequence</t>
  </si>
  <si>
    <t>Minus2.minus_90_percentage_50000_rec_stream</t>
  </si>
  <si>
    <t>plus2</t>
  </si>
  <si>
    <t>Plus2.plus2_100000_rec_collection</t>
  </si>
  <si>
    <t>Plus2.plus2_100000_rec_sequence</t>
  </si>
  <si>
    <t>Plus2.plus2_100000_rec_sequence_opt</t>
  </si>
  <si>
    <t>Plus2.plus2_100000_rec_stream</t>
  </si>
  <si>
    <t>Plus2.plus2_50000_rec_sequence</t>
  </si>
  <si>
    <t>Plus2.plus2_50000_rec_sequence_opt</t>
  </si>
  <si>
    <t>Plus2.plus2_50000_rec_stream</t>
  </si>
  <si>
    <t>Plus2.plus2_10000_rec_collection</t>
  </si>
  <si>
    <t>Plus2.plus2_10000_rec_sequence</t>
  </si>
  <si>
    <t>Plus2.plus2_10000_rec_sequence_opt</t>
  </si>
  <si>
    <t>Plus2.plus2_10000_rec_stream</t>
  </si>
  <si>
    <t>Plus2.plus2_1000_rec_collection</t>
  </si>
  <si>
    <t>Plus2.plus2_1000_rec_sequence</t>
  </si>
  <si>
    <t>Plus2.plus2_1000_rec_sequence_opt</t>
  </si>
  <si>
    <t>Plus2.plus2_1000_rec_stream</t>
  </si>
  <si>
    <t>Plus2.plus2_100_rec_collection</t>
  </si>
  <si>
    <t>Plus2.plus2_100_rec_sequence</t>
  </si>
  <si>
    <t>Plus2.plus2_100_rec_sequence_opt</t>
  </si>
  <si>
    <t>Plus2.plus2_100_rec_stream</t>
  </si>
  <si>
    <t>Plus2.plus2_50000_rec_collection</t>
  </si>
  <si>
    <t>sort2</t>
  </si>
  <si>
    <t>Sort2.sort2_100000_rec_collection</t>
  </si>
  <si>
    <t>Sort2.sort2_100000_rec_sequence</t>
  </si>
  <si>
    <t>Sort2.sort2_100000_rec_stream</t>
  </si>
  <si>
    <t>Sort2.sort2_50000_rec_collection</t>
  </si>
  <si>
    <t>Sort2.sort2_50000_rec_sequence</t>
  </si>
  <si>
    <t>Sort2.sort2_50000_rec_stream</t>
  </si>
  <si>
    <t>Sort2.sort2_10000_rec_collection</t>
  </si>
  <si>
    <t>Sort2.sort2_10000_rec_sequence</t>
  </si>
  <si>
    <t>Sort2.sort2_10000_rec_stream</t>
  </si>
  <si>
    <t>Sort2.sort2_1000_rec_collection</t>
  </si>
  <si>
    <t>Sort2.sort2_1000_rec_sequence</t>
  </si>
  <si>
    <t>Sort2.sort2_1000_rec_stream</t>
  </si>
  <si>
    <t>Sort2.sort2_100_rec_collection</t>
  </si>
  <si>
    <t>Sort2.sort2_100_rec_sequence</t>
  </si>
  <si>
    <t>Sort2.sort2_100_rec_stream</t>
  </si>
  <si>
    <t>take2_10</t>
  </si>
  <si>
    <t>Take2.take2_10_percentage_100000_rec_collection</t>
  </si>
  <si>
    <t>Take2.take2_10_percentage_100000_rec_sequence</t>
  </si>
  <si>
    <t>Take2.take2_10_percentage_100000_rec_stream</t>
  </si>
  <si>
    <t>Take2.take2_10_percentage_50000_rec_collection</t>
  </si>
  <si>
    <t>Take2.take2_10_percentage_50000_rec_sequence</t>
  </si>
  <si>
    <t>Take2.take2_10_percentage_50000_rec_stream</t>
  </si>
  <si>
    <t>Take2.take2_10_percentage_10000_rec_collection</t>
  </si>
  <si>
    <t>Take2.take2_10_percentage_10000_rec_sequence</t>
  </si>
  <si>
    <t>Take2.take2_10_percentage_10000_rec_stream</t>
  </si>
  <si>
    <t>Take2.take2_10_percentage_1000_rec_collection</t>
  </si>
  <si>
    <t>Take2.take2_10_percentage_1000_rec_sequence</t>
  </si>
  <si>
    <t>Take2.take2_10_percentage_1000_rec_stream</t>
  </si>
  <si>
    <t>Take2.take2_10_percentage_100_rec_collection</t>
  </si>
  <si>
    <t>Take2.take2_10_percentage_100_rec_sequence</t>
  </si>
  <si>
    <t>Take2.take2_10_percentage_100_rec_stream</t>
  </si>
  <si>
    <t>take2_90</t>
  </si>
  <si>
    <t>Take2.take2_90_percentage_100000_rec_collection</t>
  </si>
  <si>
    <t>Take2.take2_90_percentage_100000_rec_sequence</t>
  </si>
  <si>
    <t>Take2.take2_90_percentage_100000_rec_stream</t>
  </si>
  <si>
    <t>Take2.take2_90_percentage_50000_rec_collection</t>
  </si>
  <si>
    <t>Take2.take2_90_percentage_50000_rec_sequence</t>
  </si>
  <si>
    <t>Take2.take2_90_percentage_50000_rec_stream</t>
  </si>
  <si>
    <t>Take2.take2_90_percentage_10000_rec_collection</t>
  </si>
  <si>
    <t>Take2.take2_90_percentage_10000_rec_sequence</t>
  </si>
  <si>
    <t>Take2.take2_90_percentage_10000_rec_stream</t>
  </si>
  <si>
    <t>Take2.take2_90_percentage_1000_rec_collection</t>
  </si>
  <si>
    <t>Take2.take2_90_percentage_1000_rec_sequence</t>
  </si>
  <si>
    <t>Take2.take2_90_percentage_1000_rec_stream</t>
  </si>
  <si>
    <t>Take2.take2_90_percentage_100_rec_collection</t>
  </si>
  <si>
    <t>Take2.take2_90_percentage_100_rec_sequence</t>
  </si>
  <si>
    <t>Take2.take2_90_percentage_100_rec_stream</t>
  </si>
  <si>
    <t>minus2_10</t>
  </si>
  <si>
    <t>minus2_90</t>
  </si>
  <si>
    <t>Filter_exp</t>
  </si>
  <si>
    <t>Minus2.minus2_10_percentage_100000_rec_collection</t>
  </si>
  <si>
    <t>Minus2.minus2_10_percentage_100000_rec_sequence</t>
  </si>
  <si>
    <t>Minus2.minus2_10_percentage_100000_rec_stream</t>
  </si>
  <si>
    <t>Minus2.minus2_10_percentage_50000_rec_collection</t>
  </si>
  <si>
    <t>Minus2.minus2_10_percentage_50000_rec_sequence</t>
  </si>
  <si>
    <t>Minus2.minus2_10_percentage_50000_rec_stream</t>
  </si>
  <si>
    <t>Minus2.minus2_10_percentage_10000_rec_collection</t>
  </si>
  <si>
    <t>Minus2.minus2_10_percentage_10000_rec_sequence</t>
  </si>
  <si>
    <t>Minus2.minus2_10_percentage_10000_rec_stream</t>
  </si>
  <si>
    <t>Minus2.minus2_10_percentage_1000_rec_collection</t>
  </si>
  <si>
    <t>Minus2.minus2_10_percentage_1000_rec_sequence</t>
  </si>
  <si>
    <t>Minus2.minus2_10_percentage_1000_rec_stream</t>
  </si>
  <si>
    <t>Minus2.minus2_10_percentage_100_rec_collection</t>
  </si>
  <si>
    <t>Minus2.minus2_10_percentage_100_rec_sequence</t>
  </si>
  <si>
    <t>Minus2.minus2_10_percentage_100_rec_stream</t>
  </si>
  <si>
    <t>Minus2.minus2_90_percentage_100000_rec_collection</t>
  </si>
  <si>
    <t>Minus2.minus2_90_percentage_100000_rec_sequence</t>
  </si>
  <si>
    <t>Minus2.minus2_90_percentage_100000_rec_stream</t>
  </si>
  <si>
    <t>Minus2.minus2_90_percentage_50000_rec_collection</t>
  </si>
  <si>
    <t>Minus2.minus2_90_percentage_50000_rec_sequence</t>
  </si>
  <si>
    <t>Minus2.minus2_90_percentage_50000_rec_stream</t>
  </si>
  <si>
    <t>Minus2.minus2_90_percentage_10000_rec_collection</t>
  </si>
  <si>
    <t>Minus2.minus2_90_percentage_10000_rec_sequence</t>
  </si>
  <si>
    <t>Minus2.minus2_90_percentage_10000_rec_stream</t>
  </si>
  <si>
    <t>Minus2.minus2_90_percentage_1000_rec_collection</t>
  </si>
  <si>
    <t>Minus2.minus2_90_percentage_1000_rec_sequence</t>
  </si>
  <si>
    <t>Minus2.minus2_90_percentage_1000_rec_stream</t>
  </si>
  <si>
    <t>Minus2.minus2_90_percentage_100_rec_collection</t>
  </si>
  <si>
    <t>Minus2.minus2_90_percentage_100_rec_sequence</t>
  </si>
  <si>
    <t>Minus2.minus2_90_percentage_100_rec_stream</t>
  </si>
  <si>
    <t>80 map</t>
  </si>
  <si>
    <t>20 mp</t>
  </si>
  <si>
    <t>Map_exp.map20_100000_collection</t>
  </si>
  <si>
    <t>Map_exp.map20_100000_sequence</t>
  </si>
  <si>
    <t>Map_exp.map20_10000_collection</t>
  </si>
  <si>
    <t>Map_exp.map20_10000_sequence</t>
  </si>
  <si>
    <t>Map_exp.map20_1000_collection</t>
  </si>
  <si>
    <t>Map_exp.map20_1000_sequence</t>
  </si>
  <si>
    <t>Map_exp.map30_100000_collection</t>
  </si>
  <si>
    <t>Map_exp.map30_100000_sequence</t>
  </si>
  <si>
    <t>Map_exp.map30_10000_collection</t>
  </si>
  <si>
    <t>Map_exp.map30_10000_sequence</t>
  </si>
  <si>
    <t>Map_exp.map30_1000_collection</t>
  </si>
  <si>
    <t>Map_exp.map30_1000_sequence</t>
  </si>
  <si>
    <t>Map_exp.map40_100000_collection</t>
  </si>
  <si>
    <t>Map_exp.map40_100000_sequence</t>
  </si>
  <si>
    <t>Map_exp.map40_10000_collection</t>
  </si>
  <si>
    <t>Map_exp.map40_10000_sequence</t>
  </si>
  <si>
    <t>Map_exp.map40_1000_collection</t>
  </si>
  <si>
    <t>Map_exp.map40_1000_sequence</t>
  </si>
  <si>
    <t>Map_exp.map50_100000_collection</t>
  </si>
  <si>
    <t>Map_exp.map50_100000_sequence</t>
  </si>
  <si>
    <t>Map_exp.map50_10000_collection</t>
  </si>
  <si>
    <t>Map_exp.map50_10000_sequence</t>
  </si>
  <si>
    <t>Map_exp.map50_1000_collection</t>
  </si>
  <si>
    <t>Map_exp.map50_1000_sequence</t>
  </si>
  <si>
    <t>Map_exp.map80_100000_collection</t>
  </si>
  <si>
    <t>Map_exp.map80_100000_sequence</t>
  </si>
  <si>
    <t>Map_exp.map80_10000_collection</t>
  </si>
  <si>
    <t>Map_exp.map80_10000_sequence</t>
  </si>
  <si>
    <t>Map_exp.map80_1000_collection</t>
  </si>
  <si>
    <t>Map_exp.map80_1000_sequence</t>
  </si>
  <si>
    <t>Map20</t>
  </si>
  <si>
    <t>Map30</t>
  </si>
  <si>
    <t>Map40</t>
  </si>
  <si>
    <t>Map50</t>
  </si>
  <si>
    <t>Map80</t>
  </si>
  <si>
    <t>С нагруженной памятью</t>
  </si>
  <si>
    <t>map10_mem</t>
  </si>
  <si>
    <t>map5_mem</t>
  </si>
  <si>
    <t>map3_mem</t>
  </si>
  <si>
    <t>map2_mem</t>
  </si>
  <si>
    <t>map1_mem</t>
  </si>
  <si>
    <t>filter2_10_mem</t>
  </si>
  <si>
    <t>filter2_90_mem</t>
  </si>
  <si>
    <t>flatten2_mem</t>
  </si>
  <si>
    <t>distinct2_10_mem</t>
  </si>
  <si>
    <t>distinct2_90_mem</t>
  </si>
  <si>
    <t>minus2_10_mem</t>
  </si>
  <si>
    <t>minus2_90_mem</t>
  </si>
  <si>
    <t>Filter2_exp</t>
  </si>
  <si>
    <t>Filter2_exp.filter2_10r_10000_rec_collection</t>
  </si>
  <si>
    <t>Filter2_exp.filter2_10r_10000_rec_sequence</t>
  </si>
  <si>
    <t>Filter2_exp.filter2_5r_10000_rec_collection</t>
  </si>
  <si>
    <t>Filter2_exp.filter2_5r_10000_rec_sequence</t>
  </si>
  <si>
    <t>Filter2_exp.filter2_3r_10000_rec_collection</t>
  </si>
  <si>
    <t>Filter2_exp.filter2_3r_10000_rec_sequence</t>
  </si>
  <si>
    <t>Filter2_exp.filter2_2r_10000_rec_collection</t>
  </si>
  <si>
    <t>Filter2_exp.filter2_2r_10000_rec_sequence</t>
  </si>
  <si>
    <t>Filter2_exp.filter2_1r_10000_rec_collection</t>
  </si>
  <si>
    <t>Filter2_exp.filter2_1r_10000_rec_sequence</t>
  </si>
  <si>
    <t>crazy2_mem</t>
  </si>
  <si>
    <t>Crazy2.crazy2_100000_rec_collection</t>
  </si>
  <si>
    <t>Crazy2.crazy2_100000_rec_sequence</t>
  </si>
  <si>
    <t>Crazy2.crazy2_100000_rec_sequence_opt</t>
  </si>
  <si>
    <t>Crazy2.crazy2_100000_rec_stream</t>
  </si>
  <si>
    <t>Crazy2.crazy2_50000_rec_collection</t>
  </si>
  <si>
    <t>Crazy2.crazy2_50000_rec_sequence</t>
  </si>
  <si>
    <t>Crazy2.crazy2_50000_rec_sequence_opt</t>
  </si>
  <si>
    <t>Crazy2.crazy2_50000_rec_stream</t>
  </si>
  <si>
    <t>Crazy2.crazy2_10000_rec_collection</t>
  </si>
  <si>
    <t>Crazy2.crazy2_10000_rec_sequence</t>
  </si>
  <si>
    <t>Crazy2.crazy2_10000_rec_sequence_opt</t>
  </si>
  <si>
    <t>Crazy2.crazy2_10000_rec_stream</t>
  </si>
  <si>
    <t>Crazy2.crazy2_1000_rec_collection</t>
  </si>
  <si>
    <t>Crazy2.crazy2_1000_rec_sequence</t>
  </si>
  <si>
    <t>Crazy2.crazy2_1000_rec_sequence_opt</t>
  </si>
  <si>
    <t>Crazy2.crazy2_1000_rec_stream</t>
  </si>
  <si>
    <t>Crazy2.crazy2_100_rec_collection</t>
  </si>
  <si>
    <t>Crazy2.crazy2_100_rec_sequence</t>
  </si>
  <si>
    <t>Crazy2.crazy2_100_rec_sequence_opt</t>
  </si>
  <si>
    <t>Crazy2.crazy2_100_rec_stream</t>
  </si>
  <si>
    <t>Reality2.reality2_100000_rec_collection</t>
  </si>
  <si>
    <t>Reality2.reality2_100000_rec_sequence</t>
  </si>
  <si>
    <t>Reality2.reality2_100000_rec_stream</t>
  </si>
  <si>
    <t>Reality2.reality2_50000_rec_collection</t>
  </si>
  <si>
    <t>Reality2.reality2_50000_rec_sequence</t>
  </si>
  <si>
    <t>Reality2.reality2_50000_rec_stream</t>
  </si>
  <si>
    <t>Reality2.reality2_10000_rec_collection</t>
  </si>
  <si>
    <t>Reality2.reality2_10000_rec_sequence</t>
  </si>
  <si>
    <t>Reality2.reality2_10000_rec_stream</t>
  </si>
  <si>
    <t>Reality2.reality2_1000_rec_collection</t>
  </si>
  <si>
    <t>Reality2.reality2_1000_rec_sequence</t>
  </si>
  <si>
    <t>Reality2.reality2_1000_rec_stream</t>
  </si>
  <si>
    <t>Reality2.reality2_100_rec_collection</t>
  </si>
  <si>
    <t>Reality2.reality2_100_rec_sequence</t>
  </si>
  <si>
    <t>Reality2.reality2_100_rec_stream</t>
  </si>
  <si>
    <t>groupBy2_10_mem</t>
  </si>
  <si>
    <t>groupBy2_90_mem</t>
  </si>
  <si>
    <t>plus2_mem</t>
  </si>
  <si>
    <t>sort2_mem</t>
  </si>
  <si>
    <t>drop2_10_mem</t>
  </si>
  <si>
    <t>drop2_90_mem</t>
  </si>
  <si>
    <t>take2_10_mem</t>
  </si>
  <si>
    <t>take2_90_mem</t>
  </si>
  <si>
    <t>reality2_mem</t>
  </si>
  <si>
    <t>array_consume</t>
  </si>
  <si>
    <t>array_create</t>
  </si>
  <si>
    <t>map1_10000</t>
  </si>
  <si>
    <t>All.array_create_10000</t>
  </si>
  <si>
    <t>All.map10_10000_rec_collection</t>
  </si>
  <si>
    <t>All.map1_10000_rec_collection</t>
  </si>
  <si>
    <t>All.map1_X10_10000_rec_collection</t>
  </si>
  <si>
    <t>All.map2_10000_rec_collection</t>
  </si>
  <si>
    <t>All.map3_10000_rec_collection</t>
  </si>
  <si>
    <t>All.map5_10000_rec_collection</t>
  </si>
  <si>
    <t>map2_10000</t>
  </si>
  <si>
    <t>map5_10000</t>
  </si>
  <si>
    <t>map3_10000</t>
  </si>
  <si>
    <t>map10_10000</t>
  </si>
  <si>
    <t>calc</t>
  </si>
  <si>
    <t>map1 * 2</t>
  </si>
  <si>
    <t>map1 * 3</t>
  </si>
  <si>
    <t>map1 * 5</t>
  </si>
  <si>
    <t>map1 * 10</t>
  </si>
  <si>
    <t>Linux</t>
  </si>
  <si>
    <t>Filter_exp.filter_10r_10000_rec_stream</t>
  </si>
  <si>
    <t>Filter_exp.filter_1r_10000_rec_stream</t>
  </si>
  <si>
    <t>Filter_exp.filter_2r_10000_rec_stream</t>
  </si>
  <si>
    <t>Filter_exp.filter_3r_10000_rec_stream</t>
  </si>
  <si>
    <t>Filter_exp.filter_5r_10000_rec_stream</t>
  </si>
  <si>
    <t>Crazy.crazy_10000_rec_collection</t>
  </si>
  <si>
    <t>Crazy.crazy_10000_rec_sequence</t>
  </si>
  <si>
    <t>Crazy.crazy_10000_rec_sequence_opt</t>
  </si>
  <si>
    <t>Crazy.crazy_10000_rec_stream</t>
  </si>
  <si>
    <t>function</t>
  </si>
  <si>
    <t>сrazy</t>
  </si>
  <si>
    <t>Sequence opt  (ns)</t>
  </si>
  <si>
    <t>Seq/Str %</t>
  </si>
  <si>
    <t>Opt Seq/Str %</t>
  </si>
  <si>
    <t>distinct 10</t>
  </si>
  <si>
    <t>distinct 90</t>
  </si>
  <si>
    <t>drop 10</t>
  </si>
  <si>
    <t>drop 90</t>
  </si>
  <si>
    <t>filter 10</t>
  </si>
  <si>
    <t>filter 90</t>
  </si>
  <si>
    <t>groupBy 10</t>
  </si>
  <si>
    <t>groupBy 90</t>
  </si>
  <si>
    <t>map 1</t>
  </si>
  <si>
    <t>map 2</t>
  </si>
  <si>
    <t>map 3</t>
  </si>
  <si>
    <t>map 5</t>
  </si>
  <si>
    <t>map 10</t>
  </si>
  <si>
    <t>minus 10</t>
  </si>
  <si>
    <t>minus 90</t>
  </si>
  <si>
    <t>take 10</t>
  </si>
  <si>
    <t>take 90</t>
  </si>
  <si>
    <t>without consume</t>
  </si>
  <si>
    <t>Filter_N</t>
  </si>
  <si>
    <t>c.m.t.experiment.Filter_exp.filter_3r_10000_rec_collection</t>
  </si>
  <si>
    <t>c.m.t.experiment.Filter_exp.filter_3r_10000_rec_sequence</t>
  </si>
  <si>
    <t>c.m.t.experiment.Filter_exp.filter_3r_10000_rec_stream</t>
  </si>
  <si>
    <t>c.m.t.experiment.Filter_exp.filter_5r_10000_rec_collection</t>
  </si>
  <si>
    <t>c.m.t.experiment.Filter_exp.filter_5r_10000_rec_sequence</t>
  </si>
  <si>
    <t>c.m.t.experiment.Filter_exp.filter_5r_10000_rec_stream</t>
  </si>
  <si>
    <t>c.m.t.experiment.Filter_exp.filter_10r_10000_rec_collection</t>
  </si>
  <si>
    <t>c.m.t.experiment.Filter_exp.filter_10r_10000_rec_sequence</t>
  </si>
  <si>
    <t>c.m.t.experiment.Filter_exp.filter_10r_10000_rec_stream</t>
  </si>
  <si>
    <t>map1_EXP</t>
  </si>
  <si>
    <t>c.m.t.run.All.map1_X10_10000_rec_collection</t>
  </si>
  <si>
    <t>c.m.t.run.All.array_consume_10000</t>
  </si>
  <si>
    <t>c.m.t.run.All.array_create_10000</t>
  </si>
  <si>
    <t>c.m.t.run.All.map1_10000_rec_collection</t>
  </si>
  <si>
    <t>c.m.t.run.All.map2_10000_rec_collection</t>
  </si>
  <si>
    <t>c.m.t.run.All.map3_10000_rec_collection</t>
  </si>
  <si>
    <t>c.m.t.run.All.map5_10000_rec_collection</t>
  </si>
  <si>
    <t>c.m.t.run.All.map10_10000_rec_collection</t>
  </si>
  <si>
    <t>LINUX</t>
  </si>
  <si>
    <t>Map1 X 10</t>
  </si>
  <si>
    <t>crazy2</t>
  </si>
  <si>
    <t>map_consume</t>
  </si>
  <si>
    <t>Map_consume.map_consume_100000_rec_collection</t>
  </si>
  <si>
    <t>Map_consume.map_consume_100000_rec_sequence</t>
  </si>
  <si>
    <t>Map_consume.map_consume_100000_rec_stream</t>
  </si>
  <si>
    <t>Map_consume.map_consume_50000_rec_collection</t>
  </si>
  <si>
    <t>Map_consume.map_consume_50000_rec_sequence</t>
  </si>
  <si>
    <t>Map_consume.map_consume_50000_rec_stream</t>
  </si>
  <si>
    <t>Map_consume.map_consume_10000_rec_collection</t>
  </si>
  <si>
    <t>Map_consume.map_consume_10000_rec_sequence</t>
  </si>
  <si>
    <t>Map_consume.map_consume_10000_rec_stream</t>
  </si>
  <si>
    <t>Map_consume.map_consume_1000_rec_collection</t>
  </si>
  <si>
    <t>Map_consume.map_consume_1000_rec_sequence</t>
  </si>
  <si>
    <t>Map_consume.map_consume_1000_rec_stream</t>
  </si>
  <si>
    <t>Map_consume.map_consume_100_rec_collection</t>
  </si>
  <si>
    <t>Map_consume.map_consume_100_rec_sequence</t>
  </si>
  <si>
    <t>Map_consume.map_consume_100_rec_stream</t>
  </si>
  <si>
    <t>map1 * X</t>
  </si>
  <si>
    <t>LINUX, 25 прогонов, 10 прогревов</t>
  </si>
  <si>
    <t>reality2</t>
  </si>
  <si>
    <t>map_exp</t>
  </si>
  <si>
    <t>vs</t>
  </si>
  <si>
    <t>MapLarge</t>
  </si>
  <si>
    <t>Threads</t>
  </si>
  <si>
    <t>sequence_10000</t>
  </si>
  <si>
    <t>com.maxssoft.test.exclude.experiment.transformN.Filter_N.filter_1r_10000_rec_collection</t>
  </si>
  <si>
    <t>com.maxssoft.test.exclude.experiment.transformN.Filter_N.filter_1r_10000_rec_sequence</t>
  </si>
  <si>
    <t>com.maxssoft.test.exclude.experiment.transformN.Filter_N.filter_1r_10000_rec_stream</t>
  </si>
  <si>
    <t>com.maxssoft.test.exclude.experiment.transformN.Filter_N.filter_2r_10000_rec_collection</t>
  </si>
  <si>
    <t>com.maxssoft.test.exclude.experiment.transformN.Filter_N.filter_2r_10000_rec_sequence</t>
  </si>
  <si>
    <t>com.maxssoft.test.exclude.experiment.transformN.Filter_N.filter_2r_10000_rec_stream</t>
  </si>
  <si>
    <t>com.maxssoft.test.exclude.experiment.transformN.Filter_N.filter_3r_10000_rec_collection</t>
  </si>
  <si>
    <t>com.maxssoft.test.exclude.experiment.transformN.Filter_N.filter_3r_10000_rec_sequence</t>
  </si>
  <si>
    <t>com.maxssoft.test.exclude.experiment.transformN.Filter_N.filter_3r_10000_rec_stream</t>
  </si>
  <si>
    <t>com.maxssoft.test.exclude.experiment.transformN.Filter_N.filter_5r_10000_rec_collection</t>
  </si>
  <si>
    <t>com.maxssoft.test.exclude.experiment.transformN.Filter_N.filter_5r_10000_rec_sequence</t>
  </si>
  <si>
    <t>com.maxssoft.test.exclude.experiment.transformN.Filter_N.filter_5r_10000_rec_stream</t>
  </si>
  <si>
    <t>com.maxssoft.test.exclude.experiment.transformN.Filter_N.filter_10r_10000_rec_collection</t>
  </si>
  <si>
    <t>com.maxssoft.test.exclude.experiment.transformN.Filter_N.filter_10r_10000_rec_sequence</t>
  </si>
  <si>
    <t>com.maxssoft.test.exclude.experiment.transformN.Filter_N.filter_10r_10000_rec_stream</t>
  </si>
  <si>
    <t>com.maxssoft.test.exclude.experiment.transformN.Filter_N.filter_20r_10000_rec_collection</t>
  </si>
  <si>
    <t>com.maxssoft.test.exclude.experiment.transformN.Filter_N.filter_20r_10000_rec_sequence</t>
  </si>
  <si>
    <t>com.maxssoft.test.exclude.experiment.transformN.Filter_N.filter_20r_10000_rec_stream</t>
  </si>
  <si>
    <t>com.maxssoft.test.exclude.experiment.transformN.Filter_N.filter_30r_10000_rec_collection</t>
  </si>
  <si>
    <t>com.maxssoft.test.exclude.experiment.transformN.Filter_N.filter_30r_10000_rec_sequence</t>
  </si>
  <si>
    <t>com.maxssoft.test.exclude.experiment.transformN.Filter_N.filter_30r_10000_rec_stream</t>
  </si>
  <si>
    <t>com.maxssoft.test.exclude.experiment.transformN.Filter_N.filter_50r_10000_rec_collection</t>
  </si>
  <si>
    <t>com.maxssoft.test.exclude.experiment.transformN.Filter_N.filter_50r_10000_rec_sequence</t>
  </si>
  <si>
    <t>com.maxssoft.test.exclude.experiment.transformN.Filter_N.filter_50r_10000_rec_stream</t>
  </si>
  <si>
    <t>com.maxssoft.test.exclude.experiment.transformN.Filter_N.filter_80r_10000_rec_collection</t>
  </si>
  <si>
    <t>com.maxssoft.test.exclude.experiment.transformN.Filter_N.filter_80r_10000_rec_sequence</t>
  </si>
  <si>
    <t>com.maxssoft.test.exclude.experiment.transformN.Filter_N.filter_80r_10000_rec_stream</t>
  </si>
  <si>
    <t>Map_N</t>
  </si>
  <si>
    <t>com.maxssoft.test.exclude.experiment.transformN.Map_N.map1_10000_collection</t>
  </si>
  <si>
    <t>com.maxssoft.test.exclude.experiment.transformN.Map_N.map1_10000_sequence</t>
  </si>
  <si>
    <t>com.maxssoft.test.exclude.experiment.transformN.Map_N.map1_10000_stream</t>
  </si>
  <si>
    <t>com.maxssoft.test.exclude.experiment.transformN.Map_N.map2_10000_collection</t>
  </si>
  <si>
    <t>com.maxssoft.test.exclude.experiment.transformN.Map_N.map2_10000_sequence</t>
  </si>
  <si>
    <t>com.maxssoft.test.exclude.experiment.transformN.Map_N.map2_10000_stream</t>
  </si>
  <si>
    <t>com.maxssoft.test.exclude.experiment.transformN.Map_N.map3_10000_collection</t>
  </si>
  <si>
    <t>com.maxssoft.test.exclude.experiment.transformN.Map_N.map3_10000_sequence</t>
  </si>
  <si>
    <t>com.maxssoft.test.exclude.experiment.transformN.Map_N.map3_10000_stream</t>
  </si>
  <si>
    <t>com.maxssoft.test.exclude.experiment.transformN.Map_N.map5_10000_collection</t>
  </si>
  <si>
    <t>com.maxssoft.test.exclude.experiment.transformN.Map_N.map5_10000_sequence</t>
  </si>
  <si>
    <t>com.maxssoft.test.exclude.experiment.transformN.Map_N.map5_10000_stream</t>
  </si>
  <si>
    <t>com.maxssoft.test.exclude.experiment.transformN.Map_N.map10_10000_collection</t>
  </si>
  <si>
    <t>com.maxssoft.test.exclude.experiment.transformN.Map_N.map10_10000_sequence</t>
  </si>
  <si>
    <t>com.maxssoft.test.exclude.experiment.transformN.Map_N.map10_10000_stream</t>
  </si>
  <si>
    <t>com.maxssoft.test.exclude.experiment.transformN.Map_N.map20_10000_collection</t>
  </si>
  <si>
    <t>com.maxssoft.test.exclude.experiment.transformN.Map_N.map20_10000_sequence</t>
  </si>
  <si>
    <t>com.maxssoft.test.exclude.experiment.transformN.Map_N.map20_10000_stream</t>
  </si>
  <si>
    <t>com.maxssoft.test.exclude.experiment.transformN.Map_N.map30_10000_collection</t>
  </si>
  <si>
    <t>com.maxssoft.test.exclude.experiment.transformN.Map_N.map30_10000_sequence</t>
  </si>
  <si>
    <t>com.maxssoft.test.exclude.experiment.transformN.Map_N.map30_10000_stream</t>
  </si>
  <si>
    <t>com.maxssoft.test.exclude.experiment.transformN.Map_N.map40_10000_collection</t>
  </si>
  <si>
    <t>com.maxssoft.test.exclude.experiment.transformN.Map_N.map40_10000_sequence</t>
  </si>
  <si>
    <t>com.maxssoft.test.exclude.experiment.transformN.Map_N.map40_10000_stream</t>
  </si>
  <si>
    <t>com.maxssoft.test.exclude.experiment.transformN.Map_N.map50_10000_collection</t>
  </si>
  <si>
    <t>com.maxssoft.test.exclude.experiment.transformN.Map_N.map50_10000_sequence</t>
  </si>
  <si>
    <t>com.maxssoft.test.exclude.experiment.transformN.Map_N.map50_10000_stream</t>
  </si>
  <si>
    <t>com.maxssoft.test.exclude.experiment.transformN.Map_N.map80_10000_collection</t>
  </si>
  <si>
    <t>com.maxssoft.test.exclude.experiment.transformN.Map_N.map80_10000_sequence</t>
  </si>
  <si>
    <t>com.maxssoft.test.exclude.experiment.transformN.Map_N.map80_10000_stream</t>
  </si>
  <si>
    <t>NEW LINUX MEASURING</t>
  </si>
  <si>
    <t>MapLarge.map1_10_000_000_rec_sequence</t>
  </si>
  <si>
    <t>MapLarge.map1_10_000_000_rec_stream</t>
  </si>
  <si>
    <t>MapLarge.map2_10_000_000_rec_sequence</t>
  </si>
  <si>
    <t>MapLarge.map2_10_000_000_rec_stream</t>
  </si>
  <si>
    <t>MapLarge.map3_10_000_000_rec_sequence</t>
  </si>
  <si>
    <t>MapLarge.map3_10_000_000_rec_stream</t>
  </si>
  <si>
    <t>MapLarge.map5_10_000_000_rec_sequence</t>
  </si>
  <si>
    <t>MapLarge.map5_10_000_000_rec_stream</t>
  </si>
  <si>
    <t>MapLarge.map10_10_000_000_rec_sequence</t>
  </si>
  <si>
    <t>MapLarge.map10_10_000_000_rec_stream</t>
  </si>
  <si>
    <t>sequence_10000.Crazy.crazy_10000_rec_collection</t>
  </si>
  <si>
    <t>sequence_10000.Crazy.crazy_10000_rec_sequence</t>
  </si>
  <si>
    <t>sequence_10000.Crazy.crazy_10000_rec_stream</t>
  </si>
  <si>
    <t>sequence_10000.Distinct.distinct_10_percentage_10000_rec_collection</t>
  </si>
  <si>
    <t>sequence_10000.Distinct.distinct_10_percentage_10000_rec_sequence</t>
  </si>
  <si>
    <t>sequence_10000.Distinct.distinct_10_percentage_10000_rec_stream</t>
  </si>
  <si>
    <t>sequence_10000.Distinct.distinct_90_percentage_10000_rec_collection</t>
  </si>
  <si>
    <t>sequence_10000.Distinct.distinct_90_percentage_10000_rec_sequence</t>
  </si>
  <si>
    <t>sequence_10000.Distinct.distinct_90_percentage_10000_rec_stream</t>
  </si>
  <si>
    <t>sequence_10000.Drop.drop_10_percentage_10000_rec_collection</t>
  </si>
  <si>
    <t>sequence_10000.Drop.drop_10_percentage_10000_rec_sequence</t>
  </si>
  <si>
    <t>sequence_10000.Drop.drop_10_percentage_10000_rec_stream</t>
  </si>
  <si>
    <t>sequence_10000.Drop.drop_90_percentage_10000_rec_collection</t>
  </si>
  <si>
    <t>sequence_10000.Drop.drop_90_percentage_10000_rec_sequence</t>
  </si>
  <si>
    <t>sequence_10000.Drop.drop_90_percentage_10000_rec_stream</t>
  </si>
  <si>
    <t>sequence_10000.Filter.filter_10_percentage_10000_rec_collection</t>
  </si>
  <si>
    <t>sequence_10000.Filter.filter_10_percentage_10000_rec_sequence</t>
  </si>
  <si>
    <t>sequence_10000.Filter.filter_10_percentage_10000_rec_stream</t>
  </si>
  <si>
    <t>sequence_10000.Filter.filter_90_percentage_10000_rec_collection</t>
  </si>
  <si>
    <t>sequence_10000.Filter.filter_90_percentage_10000_rec_sequence</t>
  </si>
  <si>
    <t>sequence_10000.Filter.filter_90_percentage_10000_rec_stream</t>
  </si>
  <si>
    <t>sequence_10000.Flatten.flatten_10000_rec_collection</t>
  </si>
  <si>
    <t>sequence_10000.Flatten.flatten_10000_rec_sequence</t>
  </si>
  <si>
    <t>sequence_10000.Flatten.flatten_10000_rec_stream</t>
  </si>
  <si>
    <t>sequence_10000.GroupBy.groupBy_10_percentage_10000_rec_collection</t>
  </si>
  <si>
    <t>sequence_10000.GroupBy.groupBy_10_percentage_10000_rec_sequence</t>
  </si>
  <si>
    <t>sequence_10000.GroupBy.groupBy_10_percentage_10000_rec_stream</t>
  </si>
  <si>
    <t>sequence_10000.GroupBy.groupBy_90_percentage_10000_rec_collection</t>
  </si>
  <si>
    <t>sequence_10000.GroupBy.groupBy_90_percentage_10000_rec_sequence</t>
  </si>
  <si>
    <t>sequence_10000.GroupBy.groupBy_90_percentage_10000_rec_stream</t>
  </si>
  <si>
    <t>sequence_10000.Map1.map1_10000_rec_collection</t>
  </si>
  <si>
    <t>sequence_10000.Map1.map1_10000_rec_sequence</t>
  </si>
  <si>
    <t>sequence_10000.Map1.map1_10000_rec_stream</t>
  </si>
  <si>
    <t>sequence_10000.Map10.map10_10000_rec_collection</t>
  </si>
  <si>
    <t>sequence_10000.Map10.map10_10000_rec_sequence</t>
  </si>
  <si>
    <t>sequence_10000.Map10.map10_10000_rec_stream</t>
  </si>
  <si>
    <t>sequence_10000.Map2.map2_10000_rec_collection</t>
  </si>
  <si>
    <t>sequence_10000.Map2.map2_10000_rec_sequence</t>
  </si>
  <si>
    <t>sequence_10000.Map2.map2_10000_rec_stream</t>
  </si>
  <si>
    <t>sequence_10000.Map3.map3_10000_rec_collection</t>
  </si>
  <si>
    <t>sequence_10000.Map3.map3_10000_rec_sequence</t>
  </si>
  <si>
    <t>sequence_10000.Map3.map3_10000_rec_stream</t>
  </si>
  <si>
    <t>sequence_10000.Map5.map5_10000_rec_collection</t>
  </si>
  <si>
    <t>sequence_10000.Map5.map5_10000_rec_sequence</t>
  </si>
  <si>
    <t>sequence_10000.Map5.map5_10000_rec_stream</t>
  </si>
  <si>
    <t>sequence_10000.Minus.minus_10_percentage_10000_rec_collection</t>
  </si>
  <si>
    <t>sequence_10000.Minus.minus_10_percentage_10000_rec_sequence</t>
  </si>
  <si>
    <t>sequence_10000.Minus.minus_10_percentage_10000_rec_stream</t>
  </si>
  <si>
    <t>sequence_10000.Minus.minus_90_percentage_10000_rec_collection</t>
  </si>
  <si>
    <t>sequence_10000.Minus.minus_90_percentage_10000_rec_sequence</t>
  </si>
  <si>
    <t>sequence_10000.Minus.minus_90_percentage_10000_rec_stream</t>
  </si>
  <si>
    <t>sequence_10000.Plus.plus_10000_rec_collection</t>
  </si>
  <si>
    <t>sequence_10000.Plus.plus_10000_rec_sequence</t>
  </si>
  <si>
    <t>sequence_10000.Plus.plus_10000_rec_stream</t>
  </si>
  <si>
    <t>sequence_10000.Reality.reality_10000_rec_collection</t>
  </si>
  <si>
    <t>sequence_10000.Reality.reality_10000_rec_sequence</t>
  </si>
  <si>
    <t>sequence_10000.Reality.reality_10000_rec_stream</t>
  </si>
  <si>
    <t>sequence_10000.Sort.sort_10000_rec_collection</t>
  </si>
  <si>
    <t>sequence_10000.Sort.sort_10000_rec_sequence</t>
  </si>
  <si>
    <t>sequence_10000.Sort.sort_10000_rec_stream</t>
  </si>
  <si>
    <t>sequence_10000.Take.take_10_percentage_10000_rec_collection</t>
  </si>
  <si>
    <t>sequence_10000.Take.take_10_percentage_10000_rec_sequence</t>
  </si>
  <si>
    <t>sequence_10000.Take.take_10_percentage_10000_rec_stream</t>
  </si>
  <si>
    <t>sequence_10000.Take.take_90_percentage_10000_rec_collection</t>
  </si>
  <si>
    <t>sequence_10000.Take.take_90_percentage_10000_rec_sequence</t>
  </si>
  <si>
    <t>sequence_10000.Take.take_90_percentage_10000_rec_stream</t>
  </si>
  <si>
    <t>Filter_N.filter_1r_10000_rec_collection</t>
  </si>
  <si>
    <t>Filter_N.filter_1r_10000_rec_sequence</t>
  </si>
  <si>
    <t>Filter_N.filter_1r_10000_rec_stream</t>
  </si>
  <si>
    <t>Filter_N.filter_2r_10000_rec_collection</t>
  </si>
  <si>
    <t>Filter_N.filter_2r_10000_rec_sequence</t>
  </si>
  <si>
    <t>Filter_N.filter_2r_10000_rec_stream</t>
  </si>
  <si>
    <t>Filter_N.filter_3r_10000_rec_collection</t>
  </si>
  <si>
    <t>Filter_N.filter_3r_10000_rec_sequence</t>
  </si>
  <si>
    <t>Filter_N.filter_3r_10000_rec_stream</t>
  </si>
  <si>
    <t>Filter_N.filter_5r_10000_rec_collection</t>
  </si>
  <si>
    <t>Filter_N.filter_5r_10000_rec_sequence</t>
  </si>
  <si>
    <t>Filter_N.filter_5r_10000_rec_stream</t>
  </si>
  <si>
    <t>Filter_N.filter_10r_10000_rec_collection</t>
  </si>
  <si>
    <t>Filter_N.filter_10r_10000_rec_sequence</t>
  </si>
  <si>
    <t>Filter_N.filter_10r_10000_rec_stream</t>
  </si>
  <si>
    <t>Filter_N.filter_20r_10000_rec_collection</t>
  </si>
  <si>
    <t>Filter_N.filter_20r_10000_rec_sequence</t>
  </si>
  <si>
    <t>Filter_N.filter_20r_10000_rec_stream</t>
  </si>
  <si>
    <t>Filter_N.filter_30r_10000_rec_collection</t>
  </si>
  <si>
    <t>Filter_N.filter_30r_10000_rec_sequence</t>
  </si>
  <si>
    <t>Filter_N.filter_30r_10000_rec_stream</t>
  </si>
  <si>
    <t>Filter_N.filter_50r_10000_rec_collection</t>
  </si>
  <si>
    <t>Filter_N.filter_50r_10000_rec_sequence</t>
  </si>
  <si>
    <t>Filter_N.filter_50r_10000_rec_stream</t>
  </si>
  <si>
    <t>Filter_N.filter_80r_10000_rec_collection</t>
  </si>
  <si>
    <t>Filter_N.filter_80r_10000_rec_sequence</t>
  </si>
  <si>
    <t>Filter_N.filter_80r_10000_rec_stream</t>
  </si>
  <si>
    <t>Map_N.map1_10000_collection</t>
  </si>
  <si>
    <t>Map_N.map1_10000_sequence</t>
  </si>
  <si>
    <t>Map_N.map1_10000_stream</t>
  </si>
  <si>
    <t>Map_N.map2_10000_collection</t>
  </si>
  <si>
    <t>Map_N.map2_10000_sequence</t>
  </si>
  <si>
    <t>Map_N.map2_10000_stream</t>
  </si>
  <si>
    <t>Map_N.map3_10000_collection</t>
  </si>
  <si>
    <t>Map_N.map3_10000_sequence</t>
  </si>
  <si>
    <t>Map_N.map3_10000_stream</t>
  </si>
  <si>
    <t>Map_N.map5_10000_collection</t>
  </si>
  <si>
    <t>Map_N.map5_10000_sequence</t>
  </si>
  <si>
    <t>Map_N.map5_10000_stream</t>
  </si>
  <si>
    <t>Map_N.map10_10000_collection</t>
  </si>
  <si>
    <t>Map_N.map10_10000_sequence</t>
  </si>
  <si>
    <t>Map_N.map10_10000_stream</t>
  </si>
  <si>
    <t>Map_N.map20_10000_collection</t>
  </si>
  <si>
    <t>Map_N.map20_10000_sequence</t>
  </si>
  <si>
    <t>Map_N.map20_10000_stream</t>
  </si>
  <si>
    <t>Map_N.map30_10000_collection</t>
  </si>
  <si>
    <t>Map_N.map30_10000_sequence</t>
  </si>
  <si>
    <t>Map_N.map30_10000_stream</t>
  </si>
  <si>
    <t>Map_N.map50_10000_collection</t>
  </si>
  <si>
    <t>Map_N.map50_10000_sequence</t>
  </si>
  <si>
    <t>Map_N.map50_10000_stream</t>
  </si>
  <si>
    <t>Map_N.map80_10000_collection</t>
  </si>
  <si>
    <t>Map_N.map80_10000_sequence</t>
  </si>
  <si>
    <t>Map_N.map80_10000_stream</t>
  </si>
  <si>
    <t>10_000</t>
  </si>
  <si>
    <t>crazy</t>
  </si>
  <si>
    <t>Operation</t>
  </si>
  <si>
    <t>com.maxssoft.test.exclude.sequence2.calculated.Crazy2.crazy2_100_rec_collection</t>
  </si>
  <si>
    <t>com.maxssoft.test.exclude.sequence2.calculated.Crazy2.crazy2_100_rec_sequence</t>
  </si>
  <si>
    <t>com.maxssoft.test.exclude.sequence2.calculated.Crazy2.crazy2_100_rec_sequence_opt</t>
  </si>
  <si>
    <t>com.maxssoft.test.exclude.sequence2.calculated.Crazy2.crazy2_100_rec_stream</t>
  </si>
  <si>
    <t>com.maxssoft.test.exclude.sequence2.calculated.Crazy2.crazy2_1000_rec_collection</t>
  </si>
  <si>
    <t>com.maxssoft.test.exclude.sequence2.calculated.Crazy2.crazy2_1000_rec_sequence</t>
  </si>
  <si>
    <t>com.maxssoft.test.exclude.sequence2.calculated.Crazy2.crazy2_1000_rec_sequence_opt</t>
  </si>
  <si>
    <t>com.maxssoft.test.exclude.sequence2.calculated.Crazy2.crazy2_1000_rec_stream</t>
  </si>
  <si>
    <t>com.maxssoft.test.exclude.sequence2.calculated.Crazy2.crazy2_50000_rec_collection</t>
  </si>
  <si>
    <t>com.maxssoft.test.exclude.sequence2.calculated.Crazy2.crazy2_50000_rec_sequence</t>
  </si>
  <si>
    <t>com.maxssoft.test.exclude.sequence2.calculated.Crazy2.crazy2_50000_rec_sequence_opt</t>
  </si>
  <si>
    <t>com.maxssoft.test.exclude.sequence2.calculated.Crazy2.crazy2_50000_rec_stream</t>
  </si>
  <si>
    <t>com.maxssoft.test.exclude.sequence2.calculated.Crazy2.crazy2_10000_rec_collection</t>
  </si>
  <si>
    <t>com.maxssoft.test.exclude.sequence2.calculated.Crazy2.crazy2_10000_rec_sequence</t>
  </si>
  <si>
    <t>com.maxssoft.test.exclude.sequence2.calculated.Crazy2.crazy2_10000_rec_sequence_opt</t>
  </si>
  <si>
    <t>com.maxssoft.test.exclude.sequence2.calculated.Crazy2.crazy2_10000_rec_stream</t>
  </si>
  <si>
    <t>com.maxssoft.test.exclude.sequence2.calculated.Crazy2.crazy2_100000_rec_collection</t>
  </si>
  <si>
    <t>com.maxssoft.test.exclude.sequence2.calculated.Crazy2.crazy2_100000_rec_sequence</t>
  </si>
  <si>
    <t>com.maxssoft.test.exclude.sequence2.calculated.Crazy2.crazy2_100000_rec_sequence_opt</t>
  </si>
  <si>
    <t>com.maxssoft.test.exclude.sequence2.calculated.Crazy2.crazy2_100000_rec_stream</t>
  </si>
  <si>
    <t>com.maxssoft.test.exclude.sequence2.calculated.Distinct2.distinct2_90_percentage_100_rec_collection</t>
  </si>
  <si>
    <t>com.maxssoft.test.exclude.sequence2.calculated.Distinct2.distinct2_90_percentage_100_rec_sequence</t>
  </si>
  <si>
    <t>com.maxssoft.test.exclude.sequence2.calculated.Distinct2.distinct2_90_percentage_100_rec_sequence_opt</t>
  </si>
  <si>
    <t>com.maxssoft.test.exclude.sequence2.calculated.Distinct2.distinct2_90_percentage_100_rec_stream</t>
  </si>
  <si>
    <t>com.maxssoft.test.exclude.sequence2.calculated.Distinct2.distinct2_90_percentage_1000_rec_collection</t>
  </si>
  <si>
    <t>com.maxssoft.test.exclude.sequence2.calculated.Distinct2.distinct2_90_percentage_1000_rec_sequence</t>
  </si>
  <si>
    <t>com.maxssoft.test.exclude.sequence2.calculated.Distinct2.distinct2_90_percentage_1000_rec_sequence_opt</t>
  </si>
  <si>
    <t>com.maxssoft.test.exclude.sequence2.calculated.Distinct2.distinct2_90_percentage_1000_rec_stream</t>
  </si>
  <si>
    <t>com.maxssoft.test.exclude.sequence2.calculated.Distinct2.distinct2_90_percentage_10000_rec_collection</t>
  </si>
  <si>
    <t>com.maxssoft.test.exclude.sequence2.calculated.Distinct2.distinct2_90_percentage_10000_rec_sequence</t>
  </si>
  <si>
    <t>com.maxssoft.test.exclude.sequence2.calculated.Distinct2.distinct2_90_percentage_10000_rec_sequence_opt</t>
  </si>
  <si>
    <t>com.maxssoft.test.exclude.sequence2.calculated.Distinct2.distinct2_90_percentage_10000_rec_stream</t>
  </si>
  <si>
    <t>com.maxssoft.test.exclude.sequence2.calculated.Distinct2.distinct2_90_percentage_50000_rec_collection</t>
  </si>
  <si>
    <t>com.maxssoft.test.exclude.sequence2.calculated.Distinct2.distinct2_90_percentage_50000_rec_sequence</t>
  </si>
  <si>
    <t>com.maxssoft.test.exclude.sequence2.calculated.Distinct2.distinct2_90_percentage_50000_rec_sequence_opt</t>
  </si>
  <si>
    <t>com.maxssoft.test.exclude.sequence2.calculated.Distinct2.distinct2_90_percentage_50000_rec_stream</t>
  </si>
  <si>
    <t>com.maxssoft.test.exclude.sequence2.calculated.Distinct2.distinct2_90_percentage_100000_rec_collection</t>
  </si>
  <si>
    <t>com.maxssoft.test.exclude.sequence2.calculated.Distinct2.distinct2_90_percentage_100000_rec_sequence</t>
  </si>
  <si>
    <t>com.maxssoft.test.exclude.sequence2.calculated.Distinct2.distinct2_90_percentage_100000_rec_sequence_opt</t>
  </si>
  <si>
    <t>com.maxssoft.test.exclude.sequence2.calculated.Distinct2.distinct2_90_percentage_100000_rec_stream</t>
  </si>
  <si>
    <t>com.maxssoft.test.exclude.sequence2.calculated.Drop2.drop2_10_percentage_100_rec_collection</t>
  </si>
  <si>
    <t>com.maxssoft.test.exclude.sequence2.calculated.Drop2.drop2_10_percentage_100_rec_sequence</t>
  </si>
  <si>
    <t>com.maxssoft.test.exclude.sequence2.calculated.Drop2.drop2_10_percentage_100_rec_stream</t>
  </si>
  <si>
    <t>com.maxssoft.test.exclude.sequence2.calculated.Drop2.drop2_10_percentage_1000_rec_collection</t>
  </si>
  <si>
    <t>com.maxssoft.test.exclude.sequence2.calculated.Drop2.drop2_10_percentage_1000_rec_sequence</t>
  </si>
  <si>
    <t>com.maxssoft.test.exclude.sequence2.calculated.Drop2.drop2_10_percentage_1000_rec_stream</t>
  </si>
  <si>
    <t>com.maxssoft.test.exclude.sequence2.calculated.Drop2.drop2_10_percentage_10000_rec_collection</t>
  </si>
  <si>
    <t>com.maxssoft.test.exclude.sequence2.calculated.Drop2.drop2_10_percentage_10000_rec_sequence</t>
  </si>
  <si>
    <t>com.maxssoft.test.exclude.sequence2.calculated.Drop2.drop2_10_percentage_10000_rec_stream</t>
  </si>
  <si>
    <t>com.maxssoft.test.exclude.sequence2.calculated.Drop2.drop2_10_percentage_50000_rec_collection</t>
  </si>
  <si>
    <t>com.maxssoft.test.exclude.sequence2.calculated.Drop2.drop2_10_percentage_50000_rec_sequence</t>
  </si>
  <si>
    <t>com.maxssoft.test.exclude.sequence2.calculated.Drop2.drop2_10_percentage_50000_rec_stream</t>
  </si>
  <si>
    <t>com.maxssoft.test.exclude.sequence2.calculated.Drop2.drop2_10_percentage_100000_rec_collection</t>
  </si>
  <si>
    <t>com.maxssoft.test.exclude.sequence2.calculated.Drop2.drop2_10_percentage_100000_rec_sequence</t>
  </si>
  <si>
    <t>com.maxssoft.test.exclude.sequence2.calculated.Drop2.drop2_10_percentage_100000_rec_stream</t>
  </si>
  <si>
    <t>com.maxssoft.test.exclude.sequence2.calculated.Filter2.filter2_90_percentage_100_rec_collection</t>
  </si>
  <si>
    <t>com.maxssoft.test.exclude.sequence2.calculated.Filter2.filter2_90_percentage_100_rec_sequence</t>
  </si>
  <si>
    <t>com.maxssoft.test.exclude.sequence2.calculated.Filter2.filter2_90_percentage_100_rec_stream</t>
  </si>
  <si>
    <t>com.maxssoft.test.exclude.sequence2.calculated.Filter2.filter2_90_percentage_1000_rec_collection</t>
  </si>
  <si>
    <t>com.maxssoft.test.exclude.sequence2.calculated.Filter2.filter2_90_percentage_1000_rec_sequence</t>
  </si>
  <si>
    <t>com.maxssoft.test.exclude.sequence2.calculated.Filter2.filter2_90_percentage_1000_rec_stream</t>
  </si>
  <si>
    <t>com.maxssoft.test.exclude.sequence2.calculated.Filter2.filter2_90_percentage_10000_rec_collection</t>
  </si>
  <si>
    <t>com.maxssoft.test.exclude.sequence2.calculated.Filter2.filter2_90_percentage_10000_rec_sequence</t>
  </si>
  <si>
    <t>com.maxssoft.test.exclude.sequence2.calculated.Filter2.filter2_90_percentage_10000_rec_stream</t>
  </si>
  <si>
    <t>com.maxssoft.test.exclude.sequence2.calculated.Filter2.filter2_90_percentage_50000_rec_collection</t>
  </si>
  <si>
    <t>com.maxssoft.test.exclude.sequence2.calculated.Filter2.filter2_90_percentage_50000_rec_sequence</t>
  </si>
  <si>
    <t>com.maxssoft.test.exclude.sequence2.calculated.Filter2.filter2_90_percentage_50000_rec_stream</t>
  </si>
  <si>
    <t>com.maxssoft.test.exclude.sequence2.calculated.Filter2.filter2_90_percentage_100000_rec_collection</t>
  </si>
  <si>
    <t>com.maxssoft.test.exclude.sequence2.calculated.Filter2.filter2_90_percentage_100000_rec_sequence</t>
  </si>
  <si>
    <t>com.maxssoft.test.exclude.sequence2.calculated.Filter2.filter2_90_percentage_100000_rec_stream</t>
  </si>
  <si>
    <t>com.maxssoft.test.exclude.sequence2.calculated.Flatten2.flatten2_100_rec_collection</t>
  </si>
  <si>
    <t>com.maxssoft.test.exclude.sequence2.calculated.Flatten2.flatten2_100_rec_sequence</t>
  </si>
  <si>
    <t>com.maxssoft.test.exclude.sequence2.calculated.Flatten2.flatten2_100_rec_sequence_opt</t>
  </si>
  <si>
    <t>com.maxssoft.test.exclude.sequence2.calculated.Flatten2.flatten2_100_rec_stream</t>
  </si>
  <si>
    <t>com.maxssoft.test.exclude.sequence2.calculated.Flatten2.flatten2_1000_rec_collection</t>
  </si>
  <si>
    <t>com.maxssoft.test.exclude.sequence2.calculated.Flatten2.flatten2_1000_rec_sequence</t>
  </si>
  <si>
    <t>com.maxssoft.test.exclude.sequence2.calculated.Flatten2.flatten2_1000_rec_sequence_opt</t>
  </si>
  <si>
    <t>com.maxssoft.test.exclude.sequence2.calculated.Flatten2.flatten2_1000_rec_stream</t>
  </si>
  <si>
    <t>com.maxssoft.test.exclude.sequence2.calculated.Flatten2.flatten2_10000_rec_collection</t>
  </si>
  <si>
    <t>com.maxssoft.test.exclude.sequence2.calculated.Flatten2.flatten2_10000_rec_sequence</t>
  </si>
  <si>
    <t>com.maxssoft.test.exclude.sequence2.calculated.Flatten2.flatten2_10000_rec_sequence_opt</t>
  </si>
  <si>
    <t>com.maxssoft.test.exclude.sequence2.calculated.Flatten2.flatten2_10000_rec_stream</t>
  </si>
  <si>
    <t>com.maxssoft.test.exclude.sequence2.calculated.Flatten2.flatten2_50000_rec_collection</t>
  </si>
  <si>
    <t>com.maxssoft.test.exclude.sequence2.calculated.Flatten2.flatten2_50000_rec_sequence</t>
  </si>
  <si>
    <t>com.maxssoft.test.exclude.sequence2.calculated.Flatten2.flatten2_50000_rec_sequence_opt</t>
  </si>
  <si>
    <t>com.maxssoft.test.exclude.sequence2.calculated.Flatten2.flatten2_50000_rec_stream</t>
  </si>
  <si>
    <t>com.maxssoft.test.exclude.sequence2.calculated.Flatten2.flatten2_100000_rec_collection</t>
  </si>
  <si>
    <t>com.maxssoft.test.exclude.sequence2.calculated.Flatten2.flatten2_100000_rec_sequence</t>
  </si>
  <si>
    <t>com.maxssoft.test.exclude.sequence2.calculated.Flatten2.flatten2_100000_rec_sequence_opt</t>
  </si>
  <si>
    <t>com.maxssoft.test.exclude.sequence2.calculated.Flatten2.flatten2_100000_rec_stream</t>
  </si>
  <si>
    <t>com.maxssoft.test.exclude.sequence2.calculated.GroupBy2.groupBy2_10_percentage_100000_rec_collection</t>
  </si>
  <si>
    <t>com.maxssoft.test.exclude.sequence2.calculated.GroupBy2.groupBy2_10_percentage_100000_rec_sequence</t>
  </si>
  <si>
    <t>com.maxssoft.test.exclude.sequence2.calculated.GroupBy2.groupBy2_10_percentage_100000_rec_stream</t>
  </si>
  <si>
    <t>com.maxssoft.test.exclude.sequence2.calculated.GroupBy2.groupBy2_10_percentage_10000_rec_collection</t>
  </si>
  <si>
    <t>com.maxssoft.test.exclude.sequence2.calculated.GroupBy2.groupBy2_10_percentage_10000_rec_sequence</t>
  </si>
  <si>
    <t>com.maxssoft.test.exclude.sequence2.calculated.GroupBy2.groupBy2_10_percentage_10000_rec_stream</t>
  </si>
  <si>
    <t>com.maxssoft.test.exclude.sequence2.calculated.GroupBy2.groupBy2_10_percentage_1000_rec_collection</t>
  </si>
  <si>
    <t>com.maxssoft.test.exclude.sequence2.calculated.GroupBy2.groupBy2_10_percentage_1000_rec_sequence</t>
  </si>
  <si>
    <t>com.maxssoft.test.exclude.sequence2.calculated.GroupBy2.groupBy2_10_percentage_1000_rec_stream</t>
  </si>
  <si>
    <t>com.maxssoft.test.exclude.sequence2.calculated.GroupBy2.groupBy2_10_percentage_100_rec_collection</t>
  </si>
  <si>
    <t>com.maxssoft.test.exclude.sequence2.calculated.GroupBy2.groupBy2_10_percentage_100_rec_sequence</t>
  </si>
  <si>
    <t>com.maxssoft.test.exclude.sequence2.calculated.GroupBy2.groupBy2_10_percentage_100_rec_stream</t>
  </si>
  <si>
    <t>com.maxssoft.test.exclude.sequence2.calculated.GroupBy2.groupBy2_10_percentage_50000_rec_collection</t>
  </si>
  <si>
    <t>com.maxssoft.test.exclude.sequence2.calculated.GroupBy2.groupBy2_10_percentage_50000_rec_sequence</t>
  </si>
  <si>
    <t>com.maxssoft.test.exclude.sequence2.calculated.GroupBy2.groupBy2_10_percentage_50000_rec_stream</t>
  </si>
  <si>
    <t>com.maxssoft.test.exclude.sequence2.calculated.Map1.map1_100_rec_collection</t>
  </si>
  <si>
    <t>com.maxssoft.test.exclude.sequence2.calculated.Map1.map1_100_rec_sequence</t>
  </si>
  <si>
    <t>com.maxssoft.test.exclude.sequence2.calculated.Map1.map1_100_rec_stream</t>
  </si>
  <si>
    <t>com.maxssoft.test.exclude.sequence2.calculated.Map1.map1_1000_rec_collection</t>
  </si>
  <si>
    <t>com.maxssoft.test.exclude.sequence2.calculated.Map1.map1_1000_rec_sequence</t>
  </si>
  <si>
    <t>com.maxssoft.test.exclude.sequence2.calculated.Map1.map1_1000_rec_stream</t>
  </si>
  <si>
    <t>com.maxssoft.test.exclude.sequence2.calculated.Map1.map1_10000_rec_collection</t>
  </si>
  <si>
    <t>com.maxssoft.test.exclude.sequence2.calculated.Map1.map1_10000_rec_sequence</t>
  </si>
  <si>
    <t>com.maxssoft.test.exclude.sequence2.calculated.Map1.map1_10000_rec_stream</t>
  </si>
  <si>
    <t>com.maxssoft.test.exclude.sequence2.calculated.Map1.map1_50000_rec_collection</t>
  </si>
  <si>
    <t>com.maxssoft.test.exclude.sequence2.calculated.Map1.map1_50000_rec_sequence</t>
  </si>
  <si>
    <t>com.maxssoft.test.exclude.sequence2.calculated.Map1.map1_50000_rec_stream</t>
  </si>
  <si>
    <t>com.maxssoft.test.exclude.sequence2.calculated.Map1.map1_100000_rec_collection</t>
  </si>
  <si>
    <t>com.maxssoft.test.exclude.sequence2.calculated.Map1.map1_100000_rec_sequence</t>
  </si>
  <si>
    <t>com.maxssoft.test.exclude.sequence2.calculated.Map1.map1_100000_rec_stream</t>
  </si>
  <si>
    <t>com.maxssoft.test.exclude.sequence2.calculated.Map2.map2_100_rec_collection</t>
  </si>
  <si>
    <t>com.maxssoft.test.exclude.sequence2.calculated.Map2.map2_100_rec_sequence</t>
  </si>
  <si>
    <t>com.maxssoft.test.exclude.sequence2.calculated.Map2.map2_100_rec_stream</t>
  </si>
  <si>
    <t>com.maxssoft.test.exclude.sequence2.calculated.Map2.map2_1000_rec_collection</t>
  </si>
  <si>
    <t>com.maxssoft.test.exclude.sequence2.calculated.Map2.map2_1000_rec_sequence</t>
  </si>
  <si>
    <t>com.maxssoft.test.exclude.sequence2.calculated.Map2.map2_1000_rec_stream</t>
  </si>
  <si>
    <t>com.maxssoft.test.exclude.sequence2.calculated.Map2.map2_10000_rec_collection</t>
  </si>
  <si>
    <t>com.maxssoft.test.exclude.sequence2.calculated.Map2.map2_10000_rec_sequence</t>
  </si>
  <si>
    <t>com.maxssoft.test.exclude.sequence2.calculated.Map2.map2_10000_rec_stream</t>
  </si>
  <si>
    <t>com.maxssoft.test.exclude.sequence2.calculated.Map2.map2_50000_rec_collection</t>
  </si>
  <si>
    <t>com.maxssoft.test.exclude.sequence2.calculated.Map2.map2_50000_rec_sequence</t>
  </si>
  <si>
    <t>com.maxssoft.test.exclude.sequence2.calculated.Map2.map2_50000_rec_stream</t>
  </si>
  <si>
    <t>com.maxssoft.test.exclude.sequence2.calculated.Map2.map2_100000_rec_collection</t>
  </si>
  <si>
    <t>com.maxssoft.test.exclude.sequence2.calculated.Map2.map2_100000_rec_sequence</t>
  </si>
  <si>
    <t>com.maxssoft.test.exclude.sequence2.calculated.Map2.map2_100000_rec_stream</t>
  </si>
  <si>
    <t>com.maxssoft.test.exclude.sequence2.calculated.Map3.map3_100_rec_collection</t>
  </si>
  <si>
    <t>com.maxssoft.test.exclude.sequence2.calculated.Map3.map3_100_rec_sequence</t>
  </si>
  <si>
    <t>com.maxssoft.test.exclude.sequence2.calculated.Map3.map3_100_rec_stream</t>
  </si>
  <si>
    <t>com.maxssoft.test.exclude.sequence2.calculated.Map3.map3_1000_rec_collection</t>
  </si>
  <si>
    <t>com.maxssoft.test.exclude.sequence2.calculated.Map3.map3_1000_rec_sequence</t>
  </si>
  <si>
    <t>com.maxssoft.test.exclude.sequence2.calculated.Map3.map3_1000_rec_stream</t>
  </si>
  <si>
    <t>com.maxssoft.test.exclude.sequence2.calculated.Map3.map3_10000_rec_collection</t>
  </si>
  <si>
    <t>com.maxssoft.test.exclude.sequence2.calculated.Map3.map3_10000_rec_sequence</t>
  </si>
  <si>
    <t>com.maxssoft.test.exclude.sequence2.calculated.Map3.map3_10000_rec_stream</t>
  </si>
  <si>
    <t>com.maxssoft.test.exclude.sequence2.calculated.Map3.map3_50000_rec_collection</t>
  </si>
  <si>
    <t>com.maxssoft.test.exclude.sequence2.calculated.Map3.map3_50000_rec_sequence</t>
  </si>
  <si>
    <t>com.maxssoft.test.exclude.sequence2.calculated.Map3.map3_50000_rec_stream</t>
  </si>
  <si>
    <t>com.maxssoft.test.exclude.sequence2.calculated.Map3.map3_100000_rec_collection</t>
  </si>
  <si>
    <t>com.maxssoft.test.exclude.sequence2.calculated.Map3.map3_100000_rec_sequence</t>
  </si>
  <si>
    <t>com.maxssoft.test.exclude.sequence2.calculated.Map3.map3_100000_rec_stream</t>
  </si>
  <si>
    <t>com.maxssoft.test.exclude.sequence2.calculated.Map5.map5_100_rec_collection</t>
  </si>
  <si>
    <t>com.maxssoft.test.exclude.sequence2.calculated.Map5.map5_100_rec_sequence</t>
  </si>
  <si>
    <t>com.maxssoft.test.exclude.sequence2.calculated.Map5.map5_100_rec_stream</t>
  </si>
  <si>
    <t>com.maxssoft.test.exclude.sequence2.calculated.Map5.map5_1000_rec_collection</t>
  </si>
  <si>
    <t>com.maxssoft.test.exclude.sequence2.calculated.Map5.map5_1000_rec_sequence</t>
  </si>
  <si>
    <t>com.maxssoft.test.exclude.sequence2.calculated.Map5.map5_1000_rec_stream</t>
  </si>
  <si>
    <t>com.maxssoft.test.exclude.sequence2.calculated.Map5.map5_10000_rec_collection</t>
  </si>
  <si>
    <t>com.maxssoft.test.exclude.sequence2.calculated.Map5.map5_10000_rec_sequence</t>
  </si>
  <si>
    <t>com.maxssoft.test.exclude.sequence2.calculated.Map5.map5_10000_rec_stream</t>
  </si>
  <si>
    <t>com.maxssoft.test.exclude.sequence2.calculated.Map5.map5_50000_rec_collection</t>
  </si>
  <si>
    <t>com.maxssoft.test.exclude.sequence2.calculated.Map5.map5_50000_rec_sequence</t>
  </si>
  <si>
    <t>com.maxssoft.test.exclude.sequence2.calculated.Map5.map5_50000_rec_stream</t>
  </si>
  <si>
    <t>com.maxssoft.test.exclude.sequence2.calculated.Map5.map5_100000_rec_collection</t>
  </si>
  <si>
    <t>com.maxssoft.test.exclude.sequence2.calculated.Map5.map5_100000_rec_sequence</t>
  </si>
  <si>
    <t>com.maxssoft.test.exclude.sequence2.calculated.Map5.map5_100000_rec_stream</t>
  </si>
  <si>
    <t>com.maxssoft.test.exclude.sequence2.calculated.Map10.map10_100_rec_collection</t>
  </si>
  <si>
    <t>com.maxssoft.test.exclude.sequence2.calculated.Map10.map10_100_rec_sequence</t>
  </si>
  <si>
    <t>com.maxssoft.test.exclude.sequence2.calculated.Map10.map10_100_rec_stream</t>
  </si>
  <si>
    <t>com.maxssoft.test.exclude.sequence2.calculated.Map10.map10_1000_rec_collection</t>
  </si>
  <si>
    <t>com.maxssoft.test.exclude.sequence2.calculated.Map10.map10_1000_rec_sequence</t>
  </si>
  <si>
    <t>com.maxssoft.test.exclude.sequence2.calculated.Map10.map10_1000_rec_stream</t>
  </si>
  <si>
    <t>com.maxssoft.test.exclude.sequence2.calculated.Map10.map10_10000_rec_collection</t>
  </si>
  <si>
    <t>com.maxssoft.test.exclude.sequence2.calculated.Map10.map10_10000_rec_sequence</t>
  </si>
  <si>
    <t>com.maxssoft.test.exclude.sequence2.calculated.Map10.map10_10000_rec_stream</t>
  </si>
  <si>
    <t>com.maxssoft.test.exclude.sequence2.calculated.Map10.map10_50000_rec_collection</t>
  </si>
  <si>
    <t>com.maxssoft.test.exclude.sequence2.calculated.Map10.map10_50000_rec_sequence</t>
  </si>
  <si>
    <t>com.maxssoft.test.exclude.sequence2.calculated.Map10.map10_50000_rec_stream</t>
  </si>
  <si>
    <t>com.maxssoft.test.exclude.sequence2.calculated.Map10.map10_100000_rec_collection</t>
  </si>
  <si>
    <t>com.maxssoft.test.exclude.sequence2.calculated.Map10.map10_100000_rec_sequence</t>
  </si>
  <si>
    <t>com.maxssoft.test.exclude.sequence2.calculated.Map10.map10_100000_rec_stream</t>
  </si>
  <si>
    <t>middle2</t>
  </si>
  <si>
    <t>com.maxssoft.test.exclude.sequence2.calculated.Middle2.middle2_100_rec_collection</t>
  </si>
  <si>
    <t>com.maxssoft.test.exclude.sequence2.calculated.Middle2.middle2_100_rec_sequence</t>
  </si>
  <si>
    <t>com.maxssoft.test.exclude.sequence2.calculated.Middle2.middle2_100_rec_stream</t>
  </si>
  <si>
    <t>com.maxssoft.test.exclude.sequence2.calculated.Middle2.middle2_1000_rec_collection</t>
  </si>
  <si>
    <t>com.maxssoft.test.exclude.sequence2.calculated.Middle2.middle2_1000_rec_sequence</t>
  </si>
  <si>
    <t>com.maxssoft.test.exclude.sequence2.calculated.Middle2.middle2_1000_rec_stream</t>
  </si>
  <si>
    <t>com.maxssoft.test.exclude.sequence2.calculated.Middle2.middle2_10000_rec_collection</t>
  </si>
  <si>
    <t>com.maxssoft.test.exclude.sequence2.calculated.Middle2.middle2_10000_rec_sequence</t>
  </si>
  <si>
    <t>com.maxssoft.test.exclude.sequence2.calculated.Middle2.middle2_10000_rec_stream</t>
  </si>
  <si>
    <t>com.maxssoft.test.exclude.sequence2.calculated.Middle2.middle2_50000_rec_collection</t>
  </si>
  <si>
    <t>com.maxssoft.test.exclude.sequence2.calculated.Middle2.middle2_50000_rec_sequence</t>
  </si>
  <si>
    <t>com.maxssoft.test.exclude.sequence2.calculated.Middle2.middle2_50000_rec_stream</t>
  </si>
  <si>
    <t>com.maxssoft.test.exclude.sequence2.calculated.Middle2.middle2_100000_rec_collection</t>
  </si>
  <si>
    <t>com.maxssoft.test.exclude.sequence2.calculated.Middle2.middle2_100000_rec_sequence</t>
  </si>
  <si>
    <t>com.maxssoft.test.exclude.sequence2.calculated.Middle2.middle2_100000_rec_stream</t>
  </si>
  <si>
    <t>com.maxssoft.test.exclude.sequence2.calculated.Reality2.reality2_100_rec_collection</t>
  </si>
  <si>
    <t>com.maxssoft.test.exclude.sequence2.calculated.Reality2.reality2_100_rec_sequence</t>
  </si>
  <si>
    <t>com.maxssoft.test.exclude.sequence2.calculated.Reality2.reality2_100_rec_stream</t>
  </si>
  <si>
    <t>com.maxssoft.test.exclude.sequence2.calculated.Reality2.reality2_1000_rec_collection</t>
  </si>
  <si>
    <t>com.maxssoft.test.exclude.sequence2.calculated.Reality2.reality2_1000_rec_sequence</t>
  </si>
  <si>
    <t>com.maxssoft.test.exclude.sequence2.calculated.Reality2.reality2_1000_rec_stream</t>
  </si>
  <si>
    <t>com.maxssoft.test.exclude.sequence2.calculated.Reality2.reality2_10000_rec_collection</t>
  </si>
  <si>
    <t>com.maxssoft.test.exclude.sequence2.calculated.Reality2.reality2_10000_rec_sequence</t>
  </si>
  <si>
    <t>com.maxssoft.test.exclude.sequence2.calculated.Reality2.reality2_10000_rec_stream</t>
  </si>
  <si>
    <t>com.maxssoft.test.exclude.sequence2.calculated.Reality2.reality2_50000_rec_collection</t>
  </si>
  <si>
    <t>com.maxssoft.test.exclude.sequence2.calculated.Reality2.reality2_50000_rec_sequence</t>
  </si>
  <si>
    <t>com.maxssoft.test.exclude.sequence2.calculated.Reality2.reality2_50000_rec_stream</t>
  </si>
  <si>
    <t>com.maxssoft.test.exclude.sequence2.calculated.Reality2.reality2_100000_rec_collection</t>
  </si>
  <si>
    <t>com.maxssoft.test.exclude.sequence2.calculated.Reality2.reality2_100000_rec_sequence</t>
  </si>
  <si>
    <t>com.maxssoft.test.exclude.sequence2.calculated.Reality2.reality2_100000_rec_stream</t>
  </si>
  <si>
    <t>com.maxssoft.test.exclude.sequence2.calculated.Sort2.sort2_100_rec_collection</t>
  </si>
  <si>
    <t>com.maxssoft.test.exclude.sequence2.calculated.Sort2.sort2_100_rec_sequence</t>
  </si>
  <si>
    <t>com.maxssoft.test.exclude.sequence2.calculated.Sort2.sort2_100_rec_stream</t>
  </si>
  <si>
    <t>com.maxssoft.test.exclude.sequence2.calculated.Sort2.sort2_1000_rec_collection</t>
  </si>
  <si>
    <t>com.maxssoft.test.exclude.sequence2.calculated.Sort2.sort2_1000_rec_sequence</t>
  </si>
  <si>
    <t>com.maxssoft.test.exclude.sequence2.calculated.Sort2.sort2_1000_rec_stream</t>
  </si>
  <si>
    <t>com.maxssoft.test.exclude.sequence2.calculated.Sort2.sort2_10000_rec_collection</t>
  </si>
  <si>
    <t>com.maxssoft.test.exclude.sequence2.calculated.Sort2.sort2_10000_rec_sequence</t>
  </si>
  <si>
    <t>com.maxssoft.test.exclude.sequence2.calculated.Sort2.sort2_10000_rec_stream</t>
  </si>
  <si>
    <t>com.maxssoft.test.exclude.sequence2.calculated.Sort2.sort2_50000_rec_collection</t>
  </si>
  <si>
    <t>com.maxssoft.test.exclude.sequence2.calculated.Sort2.sort2_50000_rec_sequence</t>
  </si>
  <si>
    <t>com.maxssoft.test.exclude.sequence2.calculated.Sort2.sort2_50000_rec_stream</t>
  </si>
  <si>
    <t>com.maxssoft.test.exclude.sequence2.calculated.Sort2.sort2_100000_rec_collection</t>
  </si>
  <si>
    <t>com.maxssoft.test.exclude.sequence2.calculated.Sort2.sort2_100000_rec_sequence</t>
  </si>
  <si>
    <t>com.maxssoft.test.exclude.sequence2.calculated.Sort2.sort2_100000_rec_stream</t>
  </si>
  <si>
    <t>com.maxssoft.test.exclude.sequence2.calculated.Take2.take2_10_percentage_100_rec_collection</t>
  </si>
  <si>
    <t>com.maxssoft.test.exclude.sequence2.calculated.Take2.take2_10_percentage_100_rec_sequence</t>
  </si>
  <si>
    <t>com.maxssoft.test.exclude.sequence2.calculated.Take2.take2_10_percentage_100_rec_stream</t>
  </si>
  <si>
    <t>com.maxssoft.test.exclude.sequence2.calculated.Take2.take2_10_percentage_1000_rec_collection</t>
  </si>
  <si>
    <t>com.maxssoft.test.exclude.sequence2.calculated.Take2.take2_10_percentage_1000_rec_sequence</t>
  </si>
  <si>
    <t>com.maxssoft.test.exclude.sequence2.calculated.Take2.take2_10_percentage_1000_rec_stream</t>
  </si>
  <si>
    <t>com.maxssoft.test.exclude.sequence2.calculated.Take2.take2_10_percentage_10000_rec_collection</t>
  </si>
  <si>
    <t>com.maxssoft.test.exclude.sequence2.calculated.Take2.take2_10_percentage_10000_rec_sequence</t>
  </si>
  <si>
    <t>com.maxssoft.test.exclude.sequence2.calculated.Take2.take2_10_percentage_10000_rec_stream</t>
  </si>
  <si>
    <t>com.maxssoft.test.exclude.sequence2.calculated.Take2.take2_10_percentage_50000_rec_collection</t>
  </si>
  <si>
    <t>com.maxssoft.test.exclude.sequence2.calculated.Take2.take2_10_percentage_50000_rec_sequence</t>
  </si>
  <si>
    <t>com.maxssoft.test.exclude.sequence2.calculated.Take2.take2_10_percentage_50000_rec_stream</t>
  </si>
  <si>
    <t>com.maxssoft.test.exclude.sequence2.calculated.Take2.take2_10_percentage_100000_rec_collection</t>
  </si>
  <si>
    <t>com.maxssoft.test.exclude.sequence2.calculated.Take2.take2_10_percentage_100000_rec_sequence</t>
  </si>
  <si>
    <t>com.maxssoft.test.exclude.sequence2.calculated.Take2.take2_10_percentage_100000_rec_stream</t>
  </si>
  <si>
    <t>NEW WPS, LINUX</t>
  </si>
  <si>
    <t>NEW LINUX WPS</t>
  </si>
  <si>
    <t>vs_opt</t>
  </si>
  <si>
    <t>Stream</t>
  </si>
  <si>
    <t>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</si>
</sst>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8" x14ac:knownFonts="1"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b/>
      <sz val="14"/>
      <color rgb="FFFF0000"/>
      <name val="Menlo"/>
      <family val="2"/>
    </font>
    <font>
      <b/>
      <sz val="14"/>
      <color rgb="FF00B050"/>
      <name val="Menlo"/>
      <family val="2"/>
    </font>
    <font>
      <sz val="14"/>
      <color theme="9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3" fontId="0" fillId="0" borderId="0" xfId="0" applyNumberFormat="1"/>
    <xf numFmtId="49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0" fontId="2" fillId="0" borderId="2" xfId="0" applyFont="1" applyBorder="1" applyAlignment="1">
      <alignment horizontal="right"/>
    </xf>
    <xf numFmtId="3" fontId="1" fillId="0" borderId="5" xfId="0" applyNumberFormat="1" applyFont="1" applyBorder="1"/>
    <xf numFmtId="3" fontId="1" fillId="0" borderId="7" xfId="0" applyNumberFormat="1" applyFont="1" applyBorder="1"/>
    <xf numFmtId="165" fontId="2" fillId="0" borderId="3" xfId="0" applyNumberFormat="1" applyFont="1" applyBorder="1" applyAlignment="1">
      <alignment horizontal="right"/>
    </xf>
    <xf numFmtId="165" fontId="1" fillId="0" borderId="1" xfId="0" applyNumberFormat="1" applyFont="1" applyBorder="1"/>
    <xf numFmtId="165" fontId="1" fillId="0" borderId="8" xfId="0" applyNumberFormat="1" applyFont="1" applyBorder="1"/>
    <xf numFmtId="0" fontId="2" fillId="0" borderId="2" xfId="0" applyFont="1" applyBorder="1" applyAlignment="1">
      <alignment horizontal="right" vertical="top" wrapText="1"/>
    </xf>
    <xf numFmtId="165" fontId="2" fillId="0" borderId="3" xfId="0" applyNumberFormat="1" applyFont="1" applyBorder="1" applyAlignment="1">
      <alignment horizontal="right" vertical="top" wrapText="1"/>
    </xf>
    <xf numFmtId="1" fontId="0" fillId="0" borderId="0" xfId="0" applyNumberFormat="1"/>
    <xf numFmtId="1" fontId="2" fillId="0" borderId="0" xfId="0" applyNumberFormat="1" applyFont="1" applyAlignment="1">
      <alignment horizontal="right" vertical="top" wrapText="1"/>
    </xf>
    <xf numFmtId="3" fontId="0" fillId="0" borderId="0" xfId="0" applyNumberFormat="1" applyAlignment="1">
      <alignment vertical="top" wrapText="1"/>
    </xf>
    <xf numFmtId="9" fontId="1" fillId="0" borderId="0" xfId="0" applyNumberFormat="1" applyFont="1"/>
    <xf numFmtId="9" fontId="2" fillId="0" borderId="3" xfId="0" applyNumberFormat="1" applyFont="1" applyBorder="1" applyAlignment="1">
      <alignment horizontal="right"/>
    </xf>
    <xf numFmtId="9" fontId="1" fillId="0" borderId="1" xfId="0" applyNumberFormat="1" applyFont="1" applyBorder="1"/>
    <xf numFmtId="9" fontId="1" fillId="0" borderId="8" xfId="0" applyNumberFormat="1" applyFont="1" applyBorder="1"/>
    <xf numFmtId="9" fontId="1" fillId="2" borderId="1" xfId="0" applyNumberFormat="1" applyFont="1" applyFill="1" applyBorder="1"/>
    <xf numFmtId="9" fontId="2" fillId="0" borderId="4" xfId="0" applyNumberFormat="1" applyFont="1" applyBorder="1" applyAlignment="1">
      <alignment horizontal="right"/>
    </xf>
    <xf numFmtId="9" fontId="1" fillId="0" borderId="6" xfId="0" applyNumberFormat="1" applyFont="1" applyBorder="1"/>
    <xf numFmtId="9" fontId="1" fillId="0" borderId="9" xfId="0" applyNumberFormat="1" applyFont="1" applyBorder="1"/>
    <xf numFmtId="3" fontId="1" fillId="0" borderId="0" xfId="0" applyNumberFormat="1" applyFont="1"/>
    <xf numFmtId="0" fontId="0" fillId="2" borderId="0" xfId="0" applyFill="1"/>
    <xf numFmtId="3" fontId="0" fillId="2" borderId="0" xfId="0" applyNumberFormat="1" applyFill="1"/>
    <xf numFmtId="1" fontId="0" fillId="2" borderId="0" xfId="0" applyNumberFormat="1" applyFill="1"/>
    <xf numFmtId="9" fontId="2" fillId="0" borderId="3" xfId="0" applyNumberFormat="1" applyFont="1" applyBorder="1" applyAlignment="1">
      <alignment horizontal="right" vertical="top" wrapText="1"/>
    </xf>
    <xf numFmtId="9" fontId="2" fillId="0" borderId="4" xfId="0" applyNumberFormat="1" applyFont="1" applyBorder="1" applyAlignment="1">
      <alignment horizontal="right" vertical="top" wrapText="1"/>
    </xf>
    <xf numFmtId="0" fontId="6" fillId="0" borderId="0" xfId="0" applyFont="1"/>
    <xf numFmtId="9" fontId="1" fillId="2" borderId="6" xfId="0" applyNumberFormat="1" applyFont="1" applyFill="1" applyBorder="1"/>
    <xf numFmtId="0" fontId="7" fillId="2" borderId="0" xfId="0" applyFont="1" applyFill="1"/>
    <xf numFmtId="9" fontId="9" fillId="0" borderId="6" xfId="0" applyNumberFormat="1" applyFont="1" applyBorder="1"/>
    <xf numFmtId="9" fontId="9" fillId="0" borderId="1" xfId="0" applyNumberFormat="1" applyFont="1" applyBorder="1"/>
    <xf numFmtId="9" fontId="9" fillId="0" borderId="9" xfId="0" applyNumberFormat="1" applyFont="1" applyBorder="1"/>
    <xf numFmtId="9" fontId="9" fillId="0" borderId="8" xfId="0" applyNumberFormat="1" applyFont="1" applyBorder="1"/>
    <xf numFmtId="9" fontId="9" fillId="2" borderId="6" xfId="0" applyNumberFormat="1" applyFont="1" applyFill="1" applyBorder="1"/>
    <xf numFmtId="9" fontId="3" fillId="2" borderId="6" xfId="0" applyNumberFormat="1" applyFont="1" applyFill="1" applyBorder="1"/>
    <xf numFmtId="9" fontId="9" fillId="2" borderId="9" xfId="0" applyNumberFormat="1" applyFont="1" applyFill="1" applyBorder="1"/>
    <xf numFmtId="1" fontId="1" fillId="0" borderId="0" xfId="0" applyNumberFormat="1" applyFont="1"/>
    <xf numFmtId="0" fontId="10" fillId="0" borderId="2" xfId="0" applyFont="1" applyBorder="1" applyAlignment="1">
      <alignment horizontal="right"/>
    </xf>
    <xf numFmtId="0" fontId="2" fillId="0" borderId="0" xfId="0" applyFont="1" applyAlignment="1">
      <alignment horizontal="right" vertical="top" wrapText="1"/>
    </xf>
    <xf numFmtId="0" fontId="8" fillId="2" borderId="0" xfId="0" applyFont="1" applyFill="1"/>
    <xf numFmtId="9" fontId="2" fillId="0" borderId="0" xfId="0" applyNumberFormat="1" applyFont="1" applyAlignment="1">
      <alignment horizontal="right"/>
    </xf>
    <xf numFmtId="9" fontId="1" fillId="2" borderId="9" xfId="0" applyNumberFormat="1" applyFont="1" applyFill="1" applyBorder="1"/>
    <xf numFmtId="1" fontId="4" fillId="0" borderId="0" xfId="0" applyNumberFormat="1" applyFont="1"/>
    <xf numFmtId="1" fontId="5" fillId="2" borderId="0" xfId="0" applyNumberFormat="1" applyFont="1" applyFill="1"/>
    <xf numFmtId="1" fontId="3" fillId="0" borderId="0" xfId="0" applyNumberFormat="1" applyFont="1"/>
    <xf numFmtId="1" fontId="1" fillId="2" borderId="0" xfId="0" applyNumberFormat="1" applyFont="1" applyFill="1"/>
    <xf numFmtId="1" fontId="3" fillId="2" borderId="0" xfId="0" applyNumberFormat="1" applyFont="1" applyFill="1"/>
    <xf numFmtId="1" fontId="4" fillId="2" borderId="0" xfId="0" applyNumberFormat="1" applyFont="1" applyFill="1"/>
    <xf numFmtId="1" fontId="0" fillId="2" borderId="0" xfId="0" applyNumberFormat="1" applyFill="1" applyAlignment="1">
      <alignment vertical="top" wrapText="1"/>
    </xf>
    <xf numFmtId="9" fontId="1" fillId="0" borderId="10" xfId="0" applyNumberFormat="1" applyFont="1" applyBorder="1"/>
    <xf numFmtId="9" fontId="1" fillId="0" borderId="11" xfId="0" applyNumberFormat="1" applyFont="1" applyBorder="1"/>
    <xf numFmtId="9" fontId="1" fillId="2" borderId="10" xfId="0" applyNumberFormat="1" applyFont="1" applyFill="1" applyBorder="1"/>
    <xf numFmtId="1" fontId="0" fillId="4" borderId="0" xfId="0" applyNumberFormat="1" applyFill="1"/>
    <xf numFmtId="9" fontId="2" fillId="4" borderId="0" xfId="0" applyNumberFormat="1" applyFont="1" applyFill="1" applyAlignment="1">
      <alignment horizontal="right"/>
    </xf>
    <xf numFmtId="9" fontId="1" fillId="4" borderId="0" xfId="0" applyNumberFormat="1" applyFont="1" applyFill="1"/>
    <xf numFmtId="0" fontId="0" fillId="4" borderId="0" xfId="0" applyFill="1"/>
    <xf numFmtId="1" fontId="0" fillId="4" borderId="0" xfId="0" applyNumberFormat="1" applyFill="1" applyAlignment="1">
      <alignment vertical="top" wrapText="1"/>
    </xf>
    <xf numFmtId="9" fontId="2" fillId="4" borderId="0" xfId="0" applyNumberFormat="1" applyFont="1" applyFill="1" applyAlignment="1">
      <alignment horizontal="right" vertical="top" wrapText="1"/>
    </xf>
    <xf numFmtId="9" fontId="1" fillId="4" borderId="12" xfId="0" applyNumberFormat="1" applyFont="1" applyFill="1" applyBorder="1"/>
    <xf numFmtId="9" fontId="1" fillId="4" borderId="13" xfId="0" applyNumberFormat="1" applyFont="1" applyFill="1" applyBorder="1"/>
    <xf numFmtId="9" fontId="1" fillId="4" borderId="14" xfId="0" applyNumberFormat="1" applyFont="1" applyFill="1" applyBorder="1"/>
    <xf numFmtId="0" fontId="3" fillId="3" borderId="0" xfId="0" applyFont="1" applyFill="1"/>
    <xf numFmtId="0" fontId="1" fillId="2" borderId="0" xfId="0" applyFont="1" applyFill="1"/>
    <xf numFmtId="0" fontId="1" fillId="0" borderId="5" xfId="0" applyFont="1" applyBorder="1"/>
    <xf numFmtId="0" fontId="1" fillId="0" borderId="7" xfId="0" applyFont="1" applyBorder="1"/>
    <xf numFmtId="0" fontId="2" fillId="2" borderId="0" xfId="0" applyFont="1" applyFill="1"/>
    <xf numFmtId="0" fontId="2" fillId="0" borderId="2" xfId="0" applyFont="1" applyBorder="1"/>
    <xf numFmtId="0" fontId="11" fillId="0" borderId="0" xfId="0" applyFont="1"/>
    <xf numFmtId="3" fontId="2" fillId="0" borderId="3" xfId="0" applyNumberFormat="1" applyFont="1" applyBorder="1" applyAlignment="1">
      <alignment horizontal="right"/>
    </xf>
    <xf numFmtId="3" fontId="1" fillId="0" borderId="1" xfId="0" applyNumberFormat="1" applyFont="1" applyBorder="1"/>
    <xf numFmtId="3" fontId="1" fillId="0" borderId="8" xfId="0" applyNumberFormat="1" applyFont="1" applyBorder="1"/>
    <xf numFmtId="3" fontId="6" fillId="0" borderId="0" xfId="0" applyNumberFormat="1" applyFont="1" applyAlignment="1">
      <alignment horizontal="left" vertical="top" wrapText="1"/>
    </xf>
    <xf numFmtId="3" fontId="1" fillId="0" borderId="0" xfId="0" applyNumberFormat="1" applyFont="1" applyAlignment="1">
      <alignment horizontal="left" vertical="top" wrapText="1"/>
    </xf>
    <xf numFmtId="165" fontId="1" fillId="0" borderId="0" xfId="0" applyNumberFormat="1" applyFont="1"/>
    <xf numFmtId="3" fontId="2" fillId="0" borderId="0" xfId="0" applyNumberFormat="1" applyFont="1" applyAlignment="1">
      <alignment horizontal="right"/>
    </xf>
    <xf numFmtId="9" fontId="0" fillId="0" borderId="0" xfId="0" applyNumberFormat="1"/>
    <xf numFmtId="0" fontId="2" fillId="0" borderId="0" xfId="0" applyFont="1"/>
    <xf numFmtId="9" fontId="1" fillId="2" borderId="0" xfId="0" applyNumberFormat="1" applyFont="1" applyFill="1"/>
    <xf numFmtId="0" fontId="2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3" fontId="2" fillId="0" borderId="0" xfId="0" applyNumberFormat="1" applyFont="1"/>
    <xf numFmtId="3" fontId="1" fillId="2" borderId="0" xfId="0" applyNumberFormat="1" applyFont="1" applyFill="1"/>
    <xf numFmtId="3" fontId="2" fillId="0" borderId="4" xfId="0" applyNumberFormat="1" applyFont="1" applyBorder="1" applyAlignment="1">
      <alignment horizontal="right"/>
    </xf>
    <xf numFmtId="3" fontId="1" fillId="0" borderId="6" xfId="0" applyNumberFormat="1" applyFont="1" applyBorder="1"/>
    <xf numFmtId="3" fontId="1" fillId="2" borderId="6" xfId="0" applyNumberFormat="1" applyFont="1" applyFill="1" applyBorder="1"/>
    <xf numFmtId="3" fontId="1" fillId="0" borderId="9" xfId="0" applyNumberFormat="1" applyFont="1" applyBorder="1"/>
    <xf numFmtId="3" fontId="2" fillId="5" borderId="3" xfId="0" applyNumberFormat="1" applyFont="1" applyFill="1" applyBorder="1" applyAlignment="1">
      <alignment horizontal="right"/>
    </xf>
    <xf numFmtId="9" fontId="2" fillId="5" borderId="3" xfId="0" applyNumberFormat="1" applyFont="1" applyFill="1" applyBorder="1" applyAlignment="1">
      <alignment horizontal="right"/>
    </xf>
    <xf numFmtId="3" fontId="1" fillId="5" borderId="1" xfId="0" applyNumberFormat="1" applyFont="1" applyFill="1" applyBorder="1"/>
    <xf numFmtId="9" fontId="1" fillId="5" borderId="1" xfId="0" applyNumberFormat="1" applyFont="1" applyFill="1" applyBorder="1"/>
    <xf numFmtId="3" fontId="1" fillId="5" borderId="8" xfId="0" applyNumberFormat="1" applyFont="1" applyFill="1" applyBorder="1"/>
    <xf numFmtId="9" fontId="1" fillId="5" borderId="8" xfId="0" applyNumberFormat="1" applyFont="1" applyFill="1" applyBorder="1"/>
    <xf numFmtId="9" fontId="1" fillId="5" borderId="6" xfId="0" applyNumberFormat="1" applyFont="1" applyFill="1" applyBorder="1"/>
    <xf numFmtId="0" fontId="3" fillId="6" borderId="0" xfId="0" applyFont="1" applyFill="1"/>
    <xf numFmtId="3" fontId="3" fillId="6" borderId="0" xfId="0" applyNumberFormat="1" applyFont="1" applyFill="1"/>
    <xf numFmtId="9" fontId="3" fillId="6" borderId="0" xfId="0" applyNumberFormat="1" applyFont="1" applyFill="1"/>
    <xf numFmtId="3" fontId="1" fillId="2" borderId="1" xfId="0" applyNumberFormat="1" applyFont="1" applyFill="1" applyBorder="1"/>
    <xf numFmtId="0" fontId="14" fillId="0" borderId="0" xfId="0" applyFont="1"/>
    <xf numFmtId="0" fontId="16" fillId="6" borderId="0" xfId="0" applyFont="1" applyFill="1"/>
    <xf numFmtId="49" fontId="16" fillId="6" borderId="0" xfId="0" applyNumberFormat="1" applyFont="1" applyFill="1"/>
    <xf numFmtId="49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/>
    <xf numFmtId="0" fontId="17" fillId="0" borderId="0" xfId="0" applyFont="1"/>
    <xf numFmtId="3" fontId="14" fillId="0" borderId="0" xfId="0" applyNumberFormat="1" applyFont="1"/>
    <xf numFmtId="3" fontId="1" fillId="5" borderId="0" xfId="0" applyNumberFormat="1" applyFont="1" applyFill="1"/>
    <xf numFmtId="9" fontId="1" fillId="5" borderId="0" xfId="0" applyNumberFormat="1" applyFont="1" applyFill="1"/>
    <xf numFmtId="9" fontId="2" fillId="0" borderId="3" xfId="0" applyNumberFormat="1" applyFont="1" applyBorder="1"/>
    <xf numFmtId="9" fontId="2" fillId="0" borderId="4" xfId="0" applyNumberFormat="1" applyFont="1" applyBorder="1"/>
    <xf numFmtId="3" fontId="1" fillId="2" borderId="8" xfId="0" applyNumberFormat="1" applyFont="1" applyFill="1" applyBorder="1"/>
    <xf numFmtId="0" fontId="1" fillId="7" borderId="0" xfId="0" applyFont="1" applyFill="1"/>
    <xf numFmtId="3" fontId="1" fillId="7" borderId="0" xfId="0" applyNumberFormat="1" applyFont="1" applyFill="1"/>
    <xf numFmtId="9" fontId="1" fillId="7" borderId="0" xfId="0" applyNumberFormat="1" applyFont="1" applyFill="1"/>
    <xf numFmtId="0" fontId="2" fillId="7" borderId="0" xfId="0" applyFont="1" applyFill="1"/>
    <xf numFmtId="3" fontId="1" fillId="0" borderId="0" xfId="0" applyNumberFormat="1" applyFon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8" xfId="0" applyNumberFormat="1" applyFont="1" applyBorder="1" applyAlignment="1">
      <alignment horizontal="right"/>
    </xf>
    <xf numFmtId="3" fontId="3" fillId="6" borderId="0" xfId="0" applyNumberFormat="1" applyFont="1" applyFill="1" applyAlignment="1">
      <alignment horizontal="right"/>
    </xf>
    <xf numFmtId="3" fontId="1" fillId="7" borderId="0" xfId="0" applyNumberFormat="1" applyFont="1" applyFill="1" applyAlignment="1">
      <alignment horizontal="right"/>
    </xf>
    <xf numFmtId="0" fontId="0" fillId="7" borderId="0" xfId="0" applyFill="1"/>
    <xf numFmtId="10" fontId="0" fillId="0" borderId="0" xfId="0" applyNumberFormat="1"/>
    <xf numFmtId="3" fontId="1" fillId="0" borderId="10" xfId="0" applyNumberFormat="1" applyFont="1" applyBorder="1"/>
    <xf numFmtId="3" fontId="1" fillId="0" borderId="11" xfId="0" applyNumberFormat="1" applyFont="1" applyBorder="1"/>
    <xf numFmtId="3" fontId="2" fillId="0" borderId="15" xfId="0" applyNumberFormat="1" applyFont="1" applyBorder="1"/>
    <xf numFmtId="3" fontId="1" fillId="0" borderId="16" xfId="0" applyNumberFormat="1" applyFont="1" applyBorder="1"/>
    <xf numFmtId="3" fontId="1" fillId="0" borderId="17" xfId="0" applyNumberFormat="1" applyFont="1" applyBorder="1"/>
    <xf numFmtId="0" fontId="0" fillId="8" borderId="0" xfId="0" applyFill="1"/>
    <xf numFmtId="0" fontId="15" fillId="7" borderId="0" xfId="0" applyFont="1" applyFill="1"/>
    <xf numFmtId="10" fontId="0" fillId="8" borderId="0" xfId="0" applyNumberFormat="1" applyFill="1"/>
    <xf numFmtId="0" fontId="1" fillId="8" borderId="0" xfId="0" applyFont="1" applyFill="1"/>
    <xf numFmtId="3" fontId="1" fillId="8" borderId="0" xfId="0" applyNumberFormat="1" applyFont="1" applyFill="1" applyAlignment="1">
      <alignment horizontal="right"/>
    </xf>
    <xf numFmtId="3" fontId="1" fillId="0" borderId="0" xfId="0" applyNumberFormat="1" applyFont="1" applyAlignment="1">
      <alignment horizontal="left" vertical="top" wrapText="1"/>
    </xf>
    <xf numFmtId="3" fontId="6" fillId="0" borderId="0" xfId="0" applyNumberFormat="1" applyFont="1" applyAlignment="1">
      <alignment horizontal="left" vertical="top" wrapText="1"/>
    </xf>
    <xf numFmtId="0" fontId="16" fillId="0" borderId="0" xfId="0" applyFont="1" applyFill="1" applyBorder="1"/>
    <xf numFmtId="0" fontId="16" fillId="0" borderId="0" xfId="0" quotePrefix="1" applyFont="1" applyFill="1" applyBorder="1"/>
    <xf numFmtId="49" fontId="16" fillId="0" borderId="0" xfId="0" applyNumberFormat="1" applyFont="1" applyFill="1" applyBorder="1"/>
    <xf numFmtId="3" fontId="16" fillId="0" borderId="0" xfId="0" applyNumberFormat="1" applyFont="1" applyFill="1" applyBorder="1"/>
    <xf numFmtId="1" fontId="16" fillId="0" borderId="0" xfId="0" applyNumberFormat="1" applyFont="1" applyFill="1" applyBorder="1"/>
    <xf numFmtId="164" fontId="16" fillId="0" borderId="0" xfId="0" applyNumberFormat="1" applyFont="1" applyFill="1" applyBorder="1"/>
    <xf numFmtId="0" fontId="2" fillId="0" borderId="0" xfId="0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9" fontId="2" fillId="0" borderId="0" xfId="0" applyNumberFormat="1" applyFont="1" applyBorder="1" applyAlignment="1">
      <alignment horizontal="right"/>
    </xf>
    <xf numFmtId="3" fontId="1" fillId="0" borderId="0" xfId="0" applyNumberFormat="1" applyFont="1" applyBorder="1"/>
    <xf numFmtId="3" fontId="1" fillId="0" borderId="0" xfId="0" applyNumberFormat="1" applyFont="1" applyBorder="1" applyAlignment="1">
      <alignment horizontal="right"/>
    </xf>
    <xf numFmtId="9" fontId="1" fillId="0" borderId="0" xfId="0" applyNumberFormat="1" applyFont="1" applyBorder="1"/>
    <xf numFmtId="3" fontId="12" fillId="0" borderId="1" xfId="0" applyNumberFormat="1" applyFont="1" applyBorder="1" applyAlignment="1">
      <alignment horizontal="right"/>
    </xf>
    <xf numFmtId="3" fontId="2" fillId="0" borderId="18" xfId="0" applyNumberFormat="1" applyFont="1" applyBorder="1" applyAlignment="1">
      <alignment horizontal="right"/>
    </xf>
    <xf numFmtId="9" fontId="1" fillId="0" borderId="19" xfId="0" applyNumberFormat="1" applyFont="1" applyBorder="1"/>
    <xf numFmtId="9" fontId="1" fillId="0" borderId="20" xfId="0" applyNumberFormat="1" applyFont="1" applyBorder="1"/>
    <xf numFmtId="0" fontId="16" fillId="7" borderId="0" xfId="0" applyFont="1" applyFill="1" applyBorder="1"/>
    <xf numFmtId="9" fontId="0" fillId="7" borderId="0" xfId="0" applyNumberFormat="1" applyFill="1"/>
    <xf numFmtId="9" fontId="2" fillId="0" borderId="21" xfId="0" applyNumberFormat="1" applyFont="1" applyBorder="1" applyAlignment="1">
      <alignment horizontal="right"/>
    </xf>
    <xf numFmtId="9" fontId="1" fillId="0" borderId="4" xfId="0" applyNumberFormat="1" applyFont="1" applyBorder="1" applyAlignment="1">
      <alignment horizontal="right"/>
    </xf>
    <xf numFmtId="9" fontId="0" fillId="9" borderId="0" xfId="0" applyNumberFormat="1" applyFill="1"/>
    <xf numFmtId="3" fontId="1" fillId="0" borderId="1" xfId="0" applyNumberFormat="1" applyFont="1" applyFill="1" applyBorder="1"/>
    <xf numFmtId="0" fontId="14" fillId="0" borderId="0" xfId="0" applyFont="1" applyFill="1"/>
    <xf numFmtId="0" fontId="0" fillId="3" borderId="0" xfId="0" applyFill="1"/>
    <xf numFmtId="0" fontId="14" fillId="3" borderId="0" xfId="0" applyFont="1" applyFill="1"/>
    <xf numFmtId="3" fontId="1" fillId="0" borderId="8" xfId="0" applyNumberFormat="1" applyFont="1" applyFill="1" applyBorder="1"/>
    <xf numFmtId="3" fontId="1" fillId="2" borderId="1" xfId="0" applyNumberFormat="1" applyFont="1" applyFill="1" applyBorder="1" applyAlignment="1">
      <alignment horizontal="right"/>
    </xf>
    <xf numFmtId="3" fontId="1" fillId="2" borderId="8" xfId="0" applyNumberFormat="1" applyFont="1" applyFill="1" applyBorder="1" applyAlignment="1">
      <alignment horizontal="right"/>
    </xf>
    <xf numFmtId="9" fontId="2" fillId="0" borderId="0" xfId="0" applyNumberFormat="1" applyFont="1" applyFill="1" applyBorder="1" applyAlignment="1">
      <alignment horizontal="right"/>
    </xf>
    <xf numFmtId="3" fontId="2" fillId="0" borderId="2" xfId="0" applyNumberFormat="1" applyFont="1" applyFill="1" applyBorder="1" applyAlignment="1">
      <alignment horizontal="right"/>
    </xf>
    <xf numFmtId="9" fontId="2" fillId="0" borderId="4" xfId="0" applyNumberFormat="1" applyFont="1" applyFill="1" applyBorder="1" applyAlignment="1">
      <alignment horizontal="right"/>
    </xf>
    <xf numFmtId="0" fontId="0" fillId="8" borderId="0" xfId="0" applyFill="1" applyBorder="1"/>
    <xf numFmtId="0" fontId="0" fillId="0" borderId="0" xfId="0" applyBorder="1"/>
    <xf numFmtId="3" fontId="2" fillId="0" borderId="0" xfId="0" applyNumberFormat="1" applyFont="1" applyFill="1" applyBorder="1" applyAlignment="1">
      <alignment horizontal="right"/>
    </xf>
    <xf numFmtId="9" fontId="1" fillId="0" borderId="0" xfId="0" applyNumberFormat="1" applyFont="1" applyFill="1" applyBorder="1" applyAlignment="1">
      <alignment horizontal="right"/>
    </xf>
    <xf numFmtId="3" fontId="2" fillId="0" borderId="15" xfId="0" applyNumberFormat="1" applyFont="1" applyFill="1" applyBorder="1" applyAlignment="1">
      <alignment horizontal="right"/>
    </xf>
    <xf numFmtId="9" fontId="1" fillId="0" borderId="16" xfId="0" applyNumberFormat="1" applyFont="1" applyFill="1" applyBorder="1" applyAlignment="1">
      <alignment horizontal="right"/>
    </xf>
    <xf numFmtId="9" fontId="1" fillId="0" borderId="17" xfId="0" applyNumberFormat="1" applyFont="1" applyFill="1" applyBorder="1" applyAlignment="1">
      <alignment horizontal="right"/>
    </xf>
    <xf numFmtId="3" fontId="0" fillId="0" borderId="10" xfId="0" applyNumberFormat="1" applyBorder="1"/>
    <xf numFmtId="3" fontId="0" fillId="0" borderId="11" xfId="0" applyNumberFormat="1" applyBorder="1"/>
    <xf numFmtId="3" fontId="2" fillId="0" borderId="4" xfId="0" applyNumberFormat="1" applyFont="1" applyFill="1" applyBorder="1" applyAlignment="1">
      <alignment horizontal="right"/>
    </xf>
    <xf numFmtId="9" fontId="1" fillId="0" borderId="6" xfId="0" applyNumberFormat="1" applyFont="1" applyFill="1" applyBorder="1" applyAlignment="1">
      <alignment horizontal="right"/>
    </xf>
    <xf numFmtId="9" fontId="1" fillId="0" borderId="9" xfId="0" applyNumberFormat="1" applyFont="1" applyFill="1" applyBorder="1" applyAlignment="1">
      <alignment horizontal="right"/>
    </xf>
    <xf numFmtId="9" fontId="1" fillId="0" borderId="3" xfId="0" applyNumberFormat="1" applyFont="1" applyBorder="1" applyAlignment="1">
      <alignment horizontal="right"/>
    </xf>
    <xf numFmtId="9" fontId="0" fillId="0" borderId="6" xfId="0" applyNumberFormat="1" applyBorder="1"/>
    <xf numFmtId="0" fontId="14" fillId="0" borderId="4" xfId="0" applyFont="1" applyBorder="1" applyAlignment="1">
      <alignment horizontal="right"/>
    </xf>
    <xf numFmtId="9" fontId="0" fillId="0" borderId="0" xfId="0" applyNumberFormat="1" applyFill="1"/>
    <xf numFmtId="3" fontId="1" fillId="0" borderId="0" xfId="0" applyNumberFormat="1" applyFont="1" applyFill="1" applyBorder="1"/>
    <xf numFmtId="0" fontId="1" fillId="3" borderId="0" xfId="0" applyFont="1" applyFill="1"/>
    <xf numFmtId="3" fontId="1" fillId="3" borderId="0" xfId="0" applyNumberFormat="1" applyFont="1" applyFill="1"/>
    <xf numFmtId="3" fontId="1" fillId="3" borderId="0" xfId="0" applyNumberFormat="1" applyFont="1" applyFill="1" applyAlignment="1">
      <alignment horizontal="right"/>
    </xf>
    <xf numFmtId="9" fontId="1" fillId="3" borderId="0" xfId="0" applyNumberFormat="1" applyFont="1" applyFill="1"/>
    <xf numFmtId="2" fontId="1" fillId="0" borderId="0" xfId="0" applyNumberFormat="1" applyFont="1"/>
    <xf numFmtId="2" fontId="6" fillId="0" borderId="0" xfId="0" applyNumberFormat="1" applyFont="1"/>
    <xf numFmtId="2" fontId="2" fillId="0" borderId="0" xfId="0" applyNumberFormat="1" applyFont="1" applyAlignment="1">
      <alignment horizontal="right" vertical="top" wrapText="1"/>
    </xf>
    <xf numFmtId="2" fontId="16" fillId="6" borderId="0" xfId="0" applyNumberFormat="1" applyFont="1" applyFill="1"/>
    <xf numFmtId="2" fontId="1" fillId="7" borderId="0" xfId="0" applyNumberFormat="1" applyFont="1" applyFill="1"/>
    <xf numFmtId="2" fontId="0" fillId="0" borderId="0" xfId="0" applyNumberFormat="1"/>
    <xf numFmtId="2" fontId="0" fillId="8" borderId="0" xfId="0" applyNumberFormat="1" applyFill="1"/>
    <xf numFmtId="2" fontId="16" fillId="0" borderId="0" xfId="0" applyNumberFormat="1" applyFont="1" applyFill="1" applyBorder="1"/>
    <xf numFmtId="2" fontId="16" fillId="7" borderId="0" xfId="0" applyNumberFormat="1" applyFont="1" applyFill="1" applyBorder="1"/>
    <xf numFmtId="2" fontId="1" fillId="3" borderId="0" xfId="0" applyNumberFormat="1" applyFont="1" applyFill="1"/>
    <xf numFmtId="2" fontId="0" fillId="0" borderId="0" xfId="0" applyNumberForma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lculated_1" connectionId="2" xr16:uid="{D0022794-E512-F840-A62F-5A46ADC9BF6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mh-result_1" connectionId="4" xr16:uid="{1FD5F6E4-4C54-754F-96DB-F56405C4736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nux-all" connectionId="5" xr16:uid="{B8295B76-CF81-4A4E-8ADC-6595D445C81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nux-map-exp_1" connectionId="6" xr16:uid="{32983BD6-5823-3440-B149-AE047AD131DD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sures_100000" connectionId="7" xr16:uid="{C7BA5995-7EC3-3044-B4B0-A56A925ECAA9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sures_withMemory" connectionId="8" xr16:uid="{F6DF590C-A155-8E47-BC41-68E61C362AC5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Измерения_1" connectionId="1" xr16:uid="{FA3062EA-8E17-2E4A-86A8-F856DEE453EB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lculated_swap" connectionId="3" xr16:uid="{AC3E010A-4E74-584A-9892-F4BF158AFDD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Relationship Id="rId6" Type="http://schemas.openxmlformats.org/officeDocument/2006/relationships/queryTable" Target="../queryTables/queryTable7.xml"/><Relationship Id="rId5" Type="http://schemas.openxmlformats.org/officeDocument/2006/relationships/queryTable" Target="../queryTables/queryTable6.xml"/><Relationship Id="rId4" Type="http://schemas.openxmlformats.org/officeDocument/2006/relationships/queryTable" Target="../queryTables/query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13E2-EEE1-4942-B31B-D5FD903CE44F}">
  <dimension ref="A2:G1423"/>
  <sheetViews>
    <sheetView topLeftCell="A333" workbookViewId="0">
      <selection activeCell="A66" sqref="A66:G82"/>
    </sheetView>
  </sheetViews>
  <sheetFormatPr baseColWidth="10" defaultRowHeight="19" x14ac:dyDescent="0.25"/>
  <cols>
    <col min="1" max="1" width="80.6640625" style="137" bestFit="1" customWidth="1"/>
    <col min="2" max="2" width="6.6640625" style="137" bestFit="1" customWidth="1"/>
    <col min="3" max="3" width="8.83203125" style="137" bestFit="1" customWidth="1"/>
    <col min="4" max="4" width="14" style="137" bestFit="1" customWidth="1"/>
    <col min="5" max="5" width="8.6640625" style="137" bestFit="1" customWidth="1"/>
    <col min="6" max="6" width="19.5" style="137" bestFit="1" customWidth="1"/>
    <col min="7" max="7" width="6.33203125" style="137" bestFit="1" customWidth="1"/>
    <col min="8" max="16384" width="10.83203125" style="137"/>
  </cols>
  <sheetData>
    <row r="2" spans="1:7" x14ac:dyDescent="0.25">
      <c r="A2" s="137" t="s">
        <v>1224</v>
      </c>
    </row>
    <row r="3" spans="1:7" x14ac:dyDescent="0.25">
      <c r="A3" s="137" t="s">
        <v>2</v>
      </c>
      <c r="B3" s="137" t="s">
        <v>3</v>
      </c>
      <c r="C3" s="137" t="s">
        <v>504</v>
      </c>
      <c r="D3" s="137" t="s">
        <v>5</v>
      </c>
      <c r="E3" s="137" t="s">
        <v>1247</v>
      </c>
      <c r="F3" s="137" t="s">
        <v>505</v>
      </c>
      <c r="G3" s="137" t="s">
        <v>506</v>
      </c>
    </row>
    <row r="4" spans="1:7" x14ac:dyDescent="0.25">
      <c r="A4" s="137" t="s">
        <v>1441</v>
      </c>
      <c r="B4" s="137" t="s">
        <v>333</v>
      </c>
      <c r="C4" s="137">
        <v>25</v>
      </c>
      <c r="D4" s="137">
        <v>7711.1295790000004</v>
      </c>
      <c r="E4" s="137">
        <v>1</v>
      </c>
      <c r="F4" s="137">
        <v>256.19193899999999</v>
      </c>
      <c r="G4" s="137" t="s">
        <v>335</v>
      </c>
    </row>
    <row r="5" spans="1:7" x14ac:dyDescent="0.25">
      <c r="A5" s="137" t="s">
        <v>1442</v>
      </c>
      <c r="B5" s="137" t="s">
        <v>333</v>
      </c>
      <c r="C5" s="137">
        <v>25</v>
      </c>
      <c r="D5" s="137">
        <v>9484.9832920000008</v>
      </c>
      <c r="E5" s="137">
        <v>1</v>
      </c>
      <c r="F5" s="137">
        <v>307.08729399999999</v>
      </c>
      <c r="G5" s="137" t="s">
        <v>335</v>
      </c>
    </row>
    <row r="6" spans="1:7" x14ac:dyDescent="0.25">
      <c r="A6" s="137" t="s">
        <v>1443</v>
      </c>
      <c r="B6" s="137" t="s">
        <v>333</v>
      </c>
      <c r="C6" s="137">
        <v>25</v>
      </c>
      <c r="D6" s="137">
        <v>8718.3458649999993</v>
      </c>
      <c r="E6" s="137">
        <v>1</v>
      </c>
      <c r="F6" s="137">
        <v>501.07867499999998</v>
      </c>
      <c r="G6" s="137" t="s">
        <v>335</v>
      </c>
    </row>
    <row r="7" spans="1:7" x14ac:dyDescent="0.25">
      <c r="A7" s="137" t="s">
        <v>1444</v>
      </c>
      <c r="B7" s="137" t="s">
        <v>333</v>
      </c>
      <c r="C7" s="137">
        <v>25</v>
      </c>
      <c r="D7" s="137">
        <v>9932.6996880000006</v>
      </c>
      <c r="E7" s="137">
        <v>1</v>
      </c>
      <c r="F7" s="137">
        <v>361.56765000000001</v>
      </c>
      <c r="G7" s="137" t="s">
        <v>335</v>
      </c>
    </row>
    <row r="8" spans="1:7" x14ac:dyDescent="0.25">
      <c r="A8" s="137" t="s">
        <v>1445</v>
      </c>
      <c r="B8" s="137" t="s">
        <v>333</v>
      </c>
      <c r="C8" s="137">
        <v>25</v>
      </c>
      <c r="D8" s="137">
        <v>143677.809779</v>
      </c>
      <c r="E8" s="137">
        <v>1</v>
      </c>
      <c r="F8" s="137">
        <v>3352.317532</v>
      </c>
      <c r="G8" s="137" t="s">
        <v>335</v>
      </c>
    </row>
    <row r="9" spans="1:7" x14ac:dyDescent="0.25">
      <c r="A9" s="137" t="s">
        <v>1446</v>
      </c>
      <c r="B9" s="137" t="s">
        <v>333</v>
      </c>
      <c r="C9" s="137">
        <v>25</v>
      </c>
      <c r="D9" s="137">
        <v>159700.849285</v>
      </c>
      <c r="E9" s="137">
        <v>1</v>
      </c>
      <c r="F9" s="137">
        <v>4040.047885</v>
      </c>
      <c r="G9" s="137" t="s">
        <v>335</v>
      </c>
    </row>
    <row r="10" spans="1:7" x14ac:dyDescent="0.25">
      <c r="A10" s="137" t="s">
        <v>1447</v>
      </c>
      <c r="B10" s="137" t="s">
        <v>333</v>
      </c>
      <c r="C10" s="137">
        <v>25</v>
      </c>
      <c r="D10" s="137">
        <v>158160.48876599999</v>
      </c>
      <c r="E10" s="137">
        <v>1</v>
      </c>
      <c r="F10" s="137">
        <v>4394.788665</v>
      </c>
      <c r="G10" s="137" t="s">
        <v>335</v>
      </c>
    </row>
    <row r="11" spans="1:7" x14ac:dyDescent="0.25">
      <c r="A11" s="137" t="s">
        <v>1448</v>
      </c>
      <c r="B11" s="137" t="s">
        <v>333</v>
      </c>
      <c r="C11" s="137">
        <v>25</v>
      </c>
      <c r="D11" s="137">
        <v>150570.014417</v>
      </c>
      <c r="E11" s="137">
        <v>1</v>
      </c>
      <c r="F11" s="137">
        <v>4594.7102489999997</v>
      </c>
      <c r="G11" s="137" t="s">
        <v>335</v>
      </c>
    </row>
    <row r="12" spans="1:7" x14ac:dyDescent="0.25">
      <c r="A12" s="137" t="s">
        <v>1453</v>
      </c>
      <c r="B12" s="137" t="s">
        <v>333</v>
      </c>
      <c r="C12" s="137">
        <v>25</v>
      </c>
      <c r="D12" s="137">
        <v>1853220.216856</v>
      </c>
      <c r="E12" s="137">
        <v>1</v>
      </c>
      <c r="F12" s="137">
        <v>64871.757010000001</v>
      </c>
      <c r="G12" s="137" t="s">
        <v>335</v>
      </c>
    </row>
    <row r="13" spans="1:7" x14ac:dyDescent="0.25">
      <c r="A13" s="137" t="s">
        <v>1454</v>
      </c>
      <c r="B13" s="137" t="s">
        <v>333</v>
      </c>
      <c r="C13" s="137">
        <v>25</v>
      </c>
      <c r="D13" s="137">
        <v>2008838.754613</v>
      </c>
      <c r="E13" s="137">
        <v>1</v>
      </c>
      <c r="F13" s="137">
        <v>101148.359623</v>
      </c>
      <c r="G13" s="137" t="s">
        <v>335</v>
      </c>
    </row>
    <row r="14" spans="1:7" x14ac:dyDescent="0.25">
      <c r="A14" s="137" t="s">
        <v>1455</v>
      </c>
      <c r="B14" s="137" t="s">
        <v>333</v>
      </c>
      <c r="C14" s="137">
        <v>25</v>
      </c>
      <c r="D14" s="137">
        <v>1919899.6580449999</v>
      </c>
      <c r="E14" s="137">
        <v>1</v>
      </c>
      <c r="F14" s="137">
        <v>55495.590039000002</v>
      </c>
      <c r="G14" s="137" t="s">
        <v>335</v>
      </c>
    </row>
    <row r="15" spans="1:7" x14ac:dyDescent="0.25">
      <c r="A15" s="137" t="s">
        <v>1456</v>
      </c>
      <c r="B15" s="137" t="s">
        <v>333</v>
      </c>
      <c r="C15" s="137">
        <v>25</v>
      </c>
      <c r="D15" s="137">
        <v>2021224.5935829999</v>
      </c>
      <c r="E15" s="137">
        <v>1</v>
      </c>
      <c r="F15" s="137">
        <v>65842.809703000006</v>
      </c>
      <c r="G15" s="137" t="s">
        <v>335</v>
      </c>
    </row>
    <row r="16" spans="1:7" x14ac:dyDescent="0.25">
      <c r="A16" s="137" t="s">
        <v>1449</v>
      </c>
      <c r="B16" s="137" t="s">
        <v>333</v>
      </c>
      <c r="C16" s="137">
        <v>25</v>
      </c>
      <c r="D16" s="137">
        <v>12182248.418184999</v>
      </c>
      <c r="E16" s="137">
        <v>1</v>
      </c>
      <c r="F16" s="137">
        <v>575392.40099999995</v>
      </c>
      <c r="G16" s="137" t="s">
        <v>335</v>
      </c>
    </row>
    <row r="17" spans="1:7" x14ac:dyDescent="0.25">
      <c r="A17" s="137" t="s">
        <v>1450</v>
      </c>
      <c r="B17" s="137" t="s">
        <v>333</v>
      </c>
      <c r="C17" s="137">
        <v>25</v>
      </c>
      <c r="D17" s="137">
        <v>12477503.775304001</v>
      </c>
      <c r="E17" s="137">
        <v>1</v>
      </c>
      <c r="F17" s="137">
        <v>291512.54398100002</v>
      </c>
      <c r="G17" s="137" t="s">
        <v>335</v>
      </c>
    </row>
    <row r="18" spans="1:7" x14ac:dyDescent="0.25">
      <c r="A18" s="137" t="s">
        <v>1451</v>
      </c>
      <c r="B18" s="137" t="s">
        <v>333</v>
      </c>
      <c r="C18" s="137">
        <v>25</v>
      </c>
      <c r="D18" s="137">
        <v>12434612.092367999</v>
      </c>
      <c r="E18" s="137">
        <v>1</v>
      </c>
      <c r="F18" s="137">
        <v>696024.97830299998</v>
      </c>
      <c r="G18" s="137" t="s">
        <v>335</v>
      </c>
    </row>
    <row r="19" spans="1:7" x14ac:dyDescent="0.25">
      <c r="A19" s="137" t="s">
        <v>1452</v>
      </c>
      <c r="B19" s="137" t="s">
        <v>333</v>
      </c>
      <c r="C19" s="137">
        <v>25</v>
      </c>
      <c r="D19" s="137">
        <v>12359273.389672</v>
      </c>
      <c r="E19" s="137">
        <v>1</v>
      </c>
      <c r="F19" s="137">
        <v>502421.39685899997</v>
      </c>
      <c r="G19" s="137" t="s">
        <v>335</v>
      </c>
    </row>
    <row r="20" spans="1:7" x14ac:dyDescent="0.25">
      <c r="A20" s="137" t="s">
        <v>1457</v>
      </c>
      <c r="B20" s="137" t="s">
        <v>333</v>
      </c>
      <c r="C20" s="137">
        <v>25</v>
      </c>
      <c r="D20" s="137">
        <v>26557257.339985002</v>
      </c>
      <c r="E20" s="137">
        <v>1</v>
      </c>
      <c r="F20" s="137">
        <v>1166526.4051349999</v>
      </c>
      <c r="G20" s="137" t="s">
        <v>335</v>
      </c>
    </row>
    <row r="21" spans="1:7" x14ac:dyDescent="0.25">
      <c r="A21" s="137" t="s">
        <v>1458</v>
      </c>
      <c r="B21" s="137" t="s">
        <v>333</v>
      </c>
      <c r="C21" s="137">
        <v>25</v>
      </c>
      <c r="D21" s="137">
        <v>27670294.708198</v>
      </c>
      <c r="E21" s="137">
        <v>1</v>
      </c>
      <c r="F21" s="137">
        <v>914081.17837099999</v>
      </c>
      <c r="G21" s="137" t="s">
        <v>335</v>
      </c>
    </row>
    <row r="22" spans="1:7" x14ac:dyDescent="0.25">
      <c r="A22" s="137" t="s">
        <v>1459</v>
      </c>
      <c r="B22" s="137" t="s">
        <v>333</v>
      </c>
      <c r="C22" s="137">
        <v>25</v>
      </c>
      <c r="D22" s="137">
        <v>29297763.114553999</v>
      </c>
      <c r="E22" s="137">
        <v>1</v>
      </c>
      <c r="F22" s="137">
        <v>1830629.113315</v>
      </c>
      <c r="G22" s="137" t="s">
        <v>335</v>
      </c>
    </row>
    <row r="23" spans="1:7" x14ac:dyDescent="0.25">
      <c r="A23" s="137" t="s">
        <v>1460</v>
      </c>
      <c r="B23" s="137" t="s">
        <v>333</v>
      </c>
      <c r="C23" s="137">
        <v>25</v>
      </c>
      <c r="D23" s="137">
        <v>30951103.568224002</v>
      </c>
      <c r="E23" s="137">
        <v>1</v>
      </c>
      <c r="F23" s="137">
        <v>1075570.117506</v>
      </c>
      <c r="G23" s="137" t="s">
        <v>335</v>
      </c>
    </row>
    <row r="25" spans="1:7" x14ac:dyDescent="0.25">
      <c r="A25" s="137" t="s">
        <v>807</v>
      </c>
    </row>
    <row r="26" spans="1:7" x14ac:dyDescent="0.25">
      <c r="A26" s="137" t="s">
        <v>2</v>
      </c>
      <c r="B26" s="137" t="s">
        <v>3</v>
      </c>
      <c r="C26" s="137" t="s">
        <v>504</v>
      </c>
      <c r="D26" s="137" t="s">
        <v>5</v>
      </c>
      <c r="E26" s="137" t="s">
        <v>1247</v>
      </c>
      <c r="F26" s="137" t="s">
        <v>505</v>
      </c>
      <c r="G26" s="137" t="s">
        <v>506</v>
      </c>
    </row>
    <row r="27" spans="1:7" x14ac:dyDescent="0.25">
      <c r="A27" s="137" t="s">
        <v>1461</v>
      </c>
      <c r="B27" s="137" t="s">
        <v>333</v>
      </c>
      <c r="C27" s="137">
        <v>25</v>
      </c>
      <c r="D27" s="137">
        <v>2298.714485</v>
      </c>
      <c r="E27" s="137">
        <v>1</v>
      </c>
      <c r="F27" s="137">
        <v>108.503524</v>
      </c>
      <c r="G27" s="137" t="s">
        <v>335</v>
      </c>
    </row>
    <row r="28" spans="1:7" x14ac:dyDescent="0.25">
      <c r="A28" s="137" t="s">
        <v>1462</v>
      </c>
      <c r="B28" s="137" t="s">
        <v>333</v>
      </c>
      <c r="C28" s="137">
        <v>25</v>
      </c>
      <c r="D28" s="137">
        <v>2941.4423299999999</v>
      </c>
      <c r="E28" s="137">
        <v>1</v>
      </c>
      <c r="F28" s="137">
        <v>143.454117</v>
      </c>
      <c r="G28" s="137" t="s">
        <v>335</v>
      </c>
    </row>
    <row r="29" spans="1:7" x14ac:dyDescent="0.25">
      <c r="A29" s="137" t="s">
        <v>1463</v>
      </c>
      <c r="B29" s="137" t="s">
        <v>333</v>
      </c>
      <c r="C29" s="137">
        <v>25</v>
      </c>
      <c r="D29" s="137">
        <v>1883.233604</v>
      </c>
      <c r="E29" s="137">
        <v>1</v>
      </c>
      <c r="F29" s="137">
        <v>73.767572000000001</v>
      </c>
      <c r="G29" s="137" t="s">
        <v>335</v>
      </c>
    </row>
    <row r="30" spans="1:7" x14ac:dyDescent="0.25">
      <c r="A30" s="137" t="s">
        <v>1464</v>
      </c>
      <c r="B30" s="137" t="s">
        <v>333</v>
      </c>
      <c r="C30" s="137">
        <v>25</v>
      </c>
      <c r="D30" s="137">
        <v>2376.3783210000001</v>
      </c>
      <c r="E30" s="137">
        <v>1</v>
      </c>
      <c r="F30" s="137">
        <v>90.221767</v>
      </c>
      <c r="G30" s="137" t="s">
        <v>335</v>
      </c>
    </row>
    <row r="31" spans="1:7" x14ac:dyDescent="0.25">
      <c r="A31" s="137" t="s">
        <v>1465</v>
      </c>
      <c r="B31" s="137" t="s">
        <v>333</v>
      </c>
      <c r="C31" s="137">
        <v>25</v>
      </c>
      <c r="D31" s="137">
        <v>28368.574508999998</v>
      </c>
      <c r="E31" s="137">
        <v>1</v>
      </c>
      <c r="F31" s="137">
        <v>902.47765200000003</v>
      </c>
      <c r="G31" s="137" t="s">
        <v>335</v>
      </c>
    </row>
    <row r="32" spans="1:7" x14ac:dyDescent="0.25">
      <c r="A32" s="137" t="s">
        <v>1466</v>
      </c>
      <c r="B32" s="137" t="s">
        <v>333</v>
      </c>
      <c r="C32" s="137">
        <v>25</v>
      </c>
      <c r="D32" s="137">
        <v>35777.868220999997</v>
      </c>
      <c r="E32" s="137">
        <v>1</v>
      </c>
      <c r="F32" s="137">
        <v>1566.228766</v>
      </c>
      <c r="G32" s="137" t="s">
        <v>335</v>
      </c>
    </row>
    <row r="33" spans="1:7" x14ac:dyDescent="0.25">
      <c r="A33" s="137" t="s">
        <v>1467</v>
      </c>
      <c r="B33" s="137" t="s">
        <v>333</v>
      </c>
      <c r="C33" s="137">
        <v>25</v>
      </c>
      <c r="D33" s="137">
        <v>22528.526137000001</v>
      </c>
      <c r="E33" s="137">
        <v>1</v>
      </c>
      <c r="F33" s="137">
        <v>825.34408900000005</v>
      </c>
      <c r="G33" s="137" t="s">
        <v>335</v>
      </c>
    </row>
    <row r="34" spans="1:7" x14ac:dyDescent="0.25">
      <c r="A34" s="137" t="s">
        <v>1468</v>
      </c>
      <c r="B34" s="137" t="s">
        <v>333</v>
      </c>
      <c r="C34" s="137">
        <v>25</v>
      </c>
      <c r="D34" s="137">
        <v>28582.360616000002</v>
      </c>
      <c r="E34" s="137">
        <v>1</v>
      </c>
      <c r="F34" s="137">
        <v>1025.4899579999999</v>
      </c>
      <c r="G34" s="137" t="s">
        <v>335</v>
      </c>
    </row>
    <row r="35" spans="1:7" x14ac:dyDescent="0.25">
      <c r="A35" s="137" t="s">
        <v>1469</v>
      </c>
      <c r="B35" s="137" t="s">
        <v>333</v>
      </c>
      <c r="C35" s="137">
        <v>25</v>
      </c>
      <c r="D35" s="137">
        <v>411707.90653799998</v>
      </c>
      <c r="E35" s="137">
        <v>1</v>
      </c>
      <c r="F35" s="137">
        <v>13274.315414999999</v>
      </c>
      <c r="G35" s="137" t="s">
        <v>335</v>
      </c>
    </row>
    <row r="36" spans="1:7" x14ac:dyDescent="0.25">
      <c r="A36" s="137" t="s">
        <v>1470</v>
      </c>
      <c r="B36" s="137" t="s">
        <v>333</v>
      </c>
      <c r="C36" s="137">
        <v>25</v>
      </c>
      <c r="D36" s="137">
        <v>444347.951757</v>
      </c>
      <c r="E36" s="137">
        <v>1</v>
      </c>
      <c r="F36" s="137">
        <v>16517.366481000001</v>
      </c>
      <c r="G36" s="137" t="s">
        <v>335</v>
      </c>
    </row>
    <row r="37" spans="1:7" x14ac:dyDescent="0.25">
      <c r="A37" s="137" t="s">
        <v>1471</v>
      </c>
      <c r="B37" s="137" t="s">
        <v>333</v>
      </c>
      <c r="C37" s="137">
        <v>25</v>
      </c>
      <c r="D37" s="137">
        <v>397247.83571100002</v>
      </c>
      <c r="E37" s="137">
        <v>1</v>
      </c>
      <c r="F37" s="137">
        <v>23365.904376999999</v>
      </c>
      <c r="G37" s="137" t="s">
        <v>335</v>
      </c>
    </row>
    <row r="38" spans="1:7" x14ac:dyDescent="0.25">
      <c r="A38" s="137" t="s">
        <v>1472</v>
      </c>
      <c r="B38" s="137" t="s">
        <v>333</v>
      </c>
      <c r="C38" s="137">
        <v>25</v>
      </c>
      <c r="D38" s="137">
        <v>439875.78599900001</v>
      </c>
      <c r="E38" s="137">
        <v>1</v>
      </c>
      <c r="F38" s="137">
        <v>9537.7780139999995</v>
      </c>
      <c r="G38" s="137" t="s">
        <v>335</v>
      </c>
    </row>
    <row r="39" spans="1:7" x14ac:dyDescent="0.25">
      <c r="A39" s="137" t="s">
        <v>1473</v>
      </c>
      <c r="B39" s="137" t="s">
        <v>333</v>
      </c>
      <c r="C39" s="137">
        <v>25</v>
      </c>
      <c r="D39" s="137">
        <v>2699057.2975989999</v>
      </c>
      <c r="E39" s="137">
        <v>1</v>
      </c>
      <c r="F39" s="137">
        <v>113354.61910500001</v>
      </c>
      <c r="G39" s="137" t="s">
        <v>335</v>
      </c>
    </row>
    <row r="40" spans="1:7" x14ac:dyDescent="0.25">
      <c r="A40" s="137" t="s">
        <v>1474</v>
      </c>
      <c r="B40" s="137" t="s">
        <v>333</v>
      </c>
      <c r="C40" s="137">
        <v>25</v>
      </c>
      <c r="D40" s="137">
        <v>3202342.7447879999</v>
      </c>
      <c r="E40" s="137">
        <v>1</v>
      </c>
      <c r="F40" s="137">
        <v>144091.74860600001</v>
      </c>
      <c r="G40" s="137" t="s">
        <v>335</v>
      </c>
    </row>
    <row r="41" spans="1:7" x14ac:dyDescent="0.25">
      <c r="A41" s="137" t="s">
        <v>1475</v>
      </c>
      <c r="B41" s="137" t="s">
        <v>333</v>
      </c>
      <c r="C41" s="137">
        <v>25</v>
      </c>
      <c r="D41" s="137">
        <v>2786636.6792020001</v>
      </c>
      <c r="E41" s="137">
        <v>1</v>
      </c>
      <c r="F41" s="137">
        <v>181191.19071200001</v>
      </c>
      <c r="G41" s="137" t="s">
        <v>335</v>
      </c>
    </row>
    <row r="42" spans="1:7" x14ac:dyDescent="0.25">
      <c r="A42" s="137" t="s">
        <v>1476</v>
      </c>
      <c r="B42" s="137" t="s">
        <v>333</v>
      </c>
      <c r="C42" s="137">
        <v>25</v>
      </c>
      <c r="D42" s="137">
        <v>3143350.41481</v>
      </c>
      <c r="E42" s="137">
        <v>1</v>
      </c>
      <c r="F42" s="137">
        <v>147090.85162100001</v>
      </c>
      <c r="G42" s="137" t="s">
        <v>335</v>
      </c>
    </row>
    <row r="43" spans="1:7" x14ac:dyDescent="0.25">
      <c r="A43" s="137" t="s">
        <v>1477</v>
      </c>
      <c r="B43" s="137" t="s">
        <v>333</v>
      </c>
      <c r="C43" s="137">
        <v>25</v>
      </c>
      <c r="D43" s="137">
        <v>11359292.188517001</v>
      </c>
      <c r="E43" s="137">
        <v>1</v>
      </c>
      <c r="F43" s="137">
        <v>685738.24328399997</v>
      </c>
      <c r="G43" s="137" t="s">
        <v>335</v>
      </c>
    </row>
    <row r="44" spans="1:7" x14ac:dyDescent="0.25">
      <c r="A44" s="137" t="s">
        <v>1478</v>
      </c>
      <c r="B44" s="137" t="s">
        <v>333</v>
      </c>
      <c r="C44" s="137">
        <v>25</v>
      </c>
      <c r="D44" s="137">
        <v>9025369.3103989996</v>
      </c>
      <c r="E44" s="137">
        <v>1</v>
      </c>
      <c r="F44" s="137">
        <v>515411.71166199999</v>
      </c>
      <c r="G44" s="137" t="s">
        <v>335</v>
      </c>
    </row>
    <row r="45" spans="1:7" x14ac:dyDescent="0.25">
      <c r="A45" s="137" t="s">
        <v>1479</v>
      </c>
      <c r="B45" s="137" t="s">
        <v>333</v>
      </c>
      <c r="C45" s="137">
        <v>25</v>
      </c>
      <c r="D45" s="137">
        <v>6507303.2920890003</v>
      </c>
      <c r="E45" s="137">
        <v>1</v>
      </c>
      <c r="F45" s="137">
        <v>304478.476539</v>
      </c>
      <c r="G45" s="137" t="s">
        <v>335</v>
      </c>
    </row>
    <row r="46" spans="1:7" x14ac:dyDescent="0.25">
      <c r="A46" s="137" t="s">
        <v>1480</v>
      </c>
      <c r="B46" s="137" t="s">
        <v>333</v>
      </c>
      <c r="C46" s="137">
        <v>25</v>
      </c>
      <c r="D46" s="137">
        <v>7134283.8866280001</v>
      </c>
      <c r="E46" s="137">
        <v>1</v>
      </c>
      <c r="F46" s="137">
        <v>291579.40465899999</v>
      </c>
      <c r="G46" s="137" t="s">
        <v>335</v>
      </c>
    </row>
    <row r="48" spans="1:7" x14ac:dyDescent="0.25">
      <c r="A48" s="137" t="s">
        <v>828</v>
      </c>
    </row>
    <row r="49" spans="1:7" x14ac:dyDescent="0.25">
      <c r="A49" s="137" t="s">
        <v>2</v>
      </c>
      <c r="B49" s="137" t="s">
        <v>3</v>
      </c>
      <c r="C49" s="137" t="s">
        <v>504</v>
      </c>
      <c r="D49" s="137" t="s">
        <v>5</v>
      </c>
      <c r="E49" s="137" t="s">
        <v>1247</v>
      </c>
      <c r="F49" s="137" t="s">
        <v>505</v>
      </c>
      <c r="G49" s="137" t="s">
        <v>506</v>
      </c>
    </row>
    <row r="50" spans="1:7" x14ac:dyDescent="0.25">
      <c r="A50" s="137" t="s">
        <v>1481</v>
      </c>
      <c r="B50" s="137" t="s">
        <v>333</v>
      </c>
      <c r="C50" s="137">
        <v>25</v>
      </c>
      <c r="D50" s="137">
        <v>645.82806300000004</v>
      </c>
      <c r="E50" s="137">
        <v>1</v>
      </c>
      <c r="F50" s="137">
        <v>26.993932999999998</v>
      </c>
      <c r="G50" s="137" t="s">
        <v>335</v>
      </c>
    </row>
    <row r="51" spans="1:7" x14ac:dyDescent="0.25">
      <c r="A51" s="137" t="s">
        <v>1482</v>
      </c>
      <c r="B51" s="137" t="s">
        <v>333</v>
      </c>
      <c r="C51" s="137">
        <v>25</v>
      </c>
      <c r="D51" s="137">
        <v>309.21360299999998</v>
      </c>
      <c r="E51" s="137">
        <v>1</v>
      </c>
      <c r="F51" s="137">
        <v>18.560365000000001</v>
      </c>
      <c r="G51" s="137" t="s">
        <v>335</v>
      </c>
    </row>
    <row r="52" spans="1:7" x14ac:dyDescent="0.25">
      <c r="A52" s="137" t="s">
        <v>1483</v>
      </c>
      <c r="B52" s="137" t="s">
        <v>333</v>
      </c>
      <c r="C52" s="137">
        <v>25</v>
      </c>
      <c r="D52" s="137">
        <v>226.830522</v>
      </c>
      <c r="E52" s="137">
        <v>1</v>
      </c>
      <c r="F52" s="137">
        <v>7.5490969999999997</v>
      </c>
      <c r="G52" s="137" t="s">
        <v>335</v>
      </c>
    </row>
    <row r="53" spans="1:7" x14ac:dyDescent="0.25">
      <c r="A53" s="137" t="s">
        <v>1484</v>
      </c>
      <c r="B53" s="137" t="s">
        <v>333</v>
      </c>
      <c r="C53" s="137">
        <v>25</v>
      </c>
      <c r="D53" s="137">
        <v>6557.8912529999998</v>
      </c>
      <c r="E53" s="137">
        <v>1</v>
      </c>
      <c r="F53" s="137">
        <v>191.79163199999999</v>
      </c>
      <c r="G53" s="137" t="s">
        <v>335</v>
      </c>
    </row>
    <row r="54" spans="1:7" x14ac:dyDescent="0.25">
      <c r="A54" s="137" t="s">
        <v>1485</v>
      </c>
      <c r="B54" s="137" t="s">
        <v>333</v>
      </c>
      <c r="C54" s="137">
        <v>25</v>
      </c>
      <c r="D54" s="137">
        <v>3134.3575940000001</v>
      </c>
      <c r="E54" s="137">
        <v>1</v>
      </c>
      <c r="F54" s="137">
        <v>110.343546</v>
      </c>
      <c r="G54" s="137" t="s">
        <v>335</v>
      </c>
    </row>
    <row r="55" spans="1:7" x14ac:dyDescent="0.25">
      <c r="A55" s="137" t="s">
        <v>1486</v>
      </c>
      <c r="B55" s="137" t="s">
        <v>333</v>
      </c>
      <c r="C55" s="137">
        <v>25</v>
      </c>
      <c r="D55" s="137">
        <v>1555.5385160000001</v>
      </c>
      <c r="E55" s="137">
        <v>1</v>
      </c>
      <c r="F55" s="137">
        <v>67.248576999999997</v>
      </c>
      <c r="G55" s="137" t="s">
        <v>335</v>
      </c>
    </row>
    <row r="56" spans="1:7" x14ac:dyDescent="0.25">
      <c r="A56" s="137" t="s">
        <v>1487</v>
      </c>
      <c r="B56" s="137" t="s">
        <v>333</v>
      </c>
      <c r="C56" s="137">
        <v>25</v>
      </c>
      <c r="D56" s="137">
        <v>66253.070980000004</v>
      </c>
      <c r="E56" s="137">
        <v>1</v>
      </c>
      <c r="F56" s="137">
        <v>1385.034811</v>
      </c>
      <c r="G56" s="137" t="s">
        <v>335</v>
      </c>
    </row>
    <row r="57" spans="1:7" x14ac:dyDescent="0.25">
      <c r="A57" s="137" t="s">
        <v>1488</v>
      </c>
      <c r="B57" s="137" t="s">
        <v>333</v>
      </c>
      <c r="C57" s="137">
        <v>25</v>
      </c>
      <c r="D57" s="137">
        <v>31450.342207000002</v>
      </c>
      <c r="E57" s="137">
        <v>1</v>
      </c>
      <c r="F57" s="137">
        <v>1090.996257</v>
      </c>
      <c r="G57" s="137" t="s">
        <v>335</v>
      </c>
    </row>
    <row r="58" spans="1:7" x14ac:dyDescent="0.25">
      <c r="A58" s="137" t="s">
        <v>1489</v>
      </c>
      <c r="B58" s="137" t="s">
        <v>333</v>
      </c>
      <c r="C58" s="137">
        <v>25</v>
      </c>
      <c r="D58" s="137">
        <v>15290.119350999999</v>
      </c>
      <c r="E58" s="137">
        <v>1</v>
      </c>
      <c r="F58" s="137">
        <v>494.06667499999998</v>
      </c>
      <c r="G58" s="137" t="s">
        <v>335</v>
      </c>
    </row>
    <row r="59" spans="1:7" x14ac:dyDescent="0.25">
      <c r="A59" s="137" t="s">
        <v>1490</v>
      </c>
      <c r="B59" s="137" t="s">
        <v>333</v>
      </c>
      <c r="C59" s="137">
        <v>25</v>
      </c>
      <c r="D59" s="137">
        <v>262110.30815900001</v>
      </c>
      <c r="E59" s="137">
        <v>1</v>
      </c>
      <c r="F59" s="137">
        <v>9244.880932</v>
      </c>
      <c r="G59" s="137" t="s">
        <v>335</v>
      </c>
    </row>
    <row r="60" spans="1:7" x14ac:dyDescent="0.25">
      <c r="A60" s="137" t="s">
        <v>1491</v>
      </c>
      <c r="B60" s="137" t="s">
        <v>333</v>
      </c>
      <c r="C60" s="137">
        <v>25</v>
      </c>
      <c r="D60" s="137">
        <v>169187.06169599999</v>
      </c>
      <c r="E60" s="137">
        <v>1</v>
      </c>
      <c r="F60" s="137">
        <v>12073.0326</v>
      </c>
      <c r="G60" s="137" t="s">
        <v>335</v>
      </c>
    </row>
    <row r="61" spans="1:7" x14ac:dyDescent="0.25">
      <c r="A61" s="137" t="s">
        <v>1492</v>
      </c>
      <c r="B61" s="137" t="s">
        <v>333</v>
      </c>
      <c r="C61" s="137">
        <v>25</v>
      </c>
      <c r="D61" s="137">
        <v>81523.041767999995</v>
      </c>
      <c r="E61" s="137">
        <v>1</v>
      </c>
      <c r="F61" s="137">
        <v>2270.6281650000001</v>
      </c>
      <c r="G61" s="137" t="s">
        <v>335</v>
      </c>
    </row>
    <row r="62" spans="1:7" x14ac:dyDescent="0.25">
      <c r="A62" s="137" t="s">
        <v>1493</v>
      </c>
      <c r="B62" s="137" t="s">
        <v>333</v>
      </c>
      <c r="C62" s="137">
        <v>25</v>
      </c>
      <c r="D62" s="137">
        <v>650945.93012599996</v>
      </c>
      <c r="E62" s="137">
        <v>1</v>
      </c>
      <c r="F62" s="137">
        <v>47899.261532999997</v>
      </c>
      <c r="G62" s="137" t="s">
        <v>335</v>
      </c>
    </row>
    <row r="63" spans="1:7" x14ac:dyDescent="0.25">
      <c r="A63" s="137" t="s">
        <v>1494</v>
      </c>
      <c r="B63" s="137" t="s">
        <v>333</v>
      </c>
      <c r="C63" s="137">
        <v>25</v>
      </c>
      <c r="D63" s="137">
        <v>390282.002767</v>
      </c>
      <c r="E63" s="137">
        <v>1</v>
      </c>
      <c r="F63" s="137">
        <v>24570.299976999999</v>
      </c>
      <c r="G63" s="137" t="s">
        <v>335</v>
      </c>
    </row>
    <row r="64" spans="1:7" x14ac:dyDescent="0.25">
      <c r="A64" s="137" t="s">
        <v>1495</v>
      </c>
      <c r="B64" s="137" t="s">
        <v>333</v>
      </c>
      <c r="C64" s="137">
        <v>25</v>
      </c>
      <c r="D64" s="137">
        <v>184737.27409399999</v>
      </c>
      <c r="E64" s="137">
        <v>1</v>
      </c>
      <c r="F64" s="137">
        <v>7977.6574149999997</v>
      </c>
      <c r="G64" s="137" t="s">
        <v>335</v>
      </c>
    </row>
    <row r="66" spans="1:7" x14ac:dyDescent="0.25">
      <c r="A66" s="137" t="s">
        <v>740</v>
      </c>
    </row>
    <row r="67" spans="1:7" x14ac:dyDescent="0.25">
      <c r="A67" s="137" t="s">
        <v>2</v>
      </c>
      <c r="B67" s="137" t="s">
        <v>3</v>
      </c>
      <c r="C67" s="137" t="s">
        <v>504</v>
      </c>
      <c r="D67" s="137" t="s">
        <v>5</v>
      </c>
      <c r="E67" s="137" t="s">
        <v>1247</v>
      </c>
      <c r="F67" s="137" t="s">
        <v>505</v>
      </c>
      <c r="G67" s="137" t="s">
        <v>506</v>
      </c>
    </row>
    <row r="68" spans="1:7" x14ac:dyDescent="0.25">
      <c r="A68" s="137" t="s">
        <v>1496</v>
      </c>
      <c r="B68" s="137" t="s">
        <v>333</v>
      </c>
      <c r="C68" s="137">
        <v>25</v>
      </c>
      <c r="D68" s="137">
        <v>823.05060700000001</v>
      </c>
      <c r="E68" s="137">
        <v>1</v>
      </c>
      <c r="F68" s="137">
        <v>19.242163000000001</v>
      </c>
      <c r="G68" s="137" t="s">
        <v>335</v>
      </c>
    </row>
    <row r="69" spans="1:7" x14ac:dyDescent="0.25">
      <c r="A69" s="137" t="s">
        <v>1497</v>
      </c>
      <c r="B69" s="137" t="s">
        <v>333</v>
      </c>
      <c r="C69" s="137">
        <v>25</v>
      </c>
      <c r="D69" s="137">
        <v>265.43099599999999</v>
      </c>
      <c r="E69" s="137">
        <v>1</v>
      </c>
      <c r="F69" s="137">
        <v>7.3664909999999999</v>
      </c>
      <c r="G69" s="137" t="s">
        <v>335</v>
      </c>
    </row>
    <row r="70" spans="1:7" x14ac:dyDescent="0.25">
      <c r="A70" s="137" t="s">
        <v>1498</v>
      </c>
      <c r="B70" s="137" t="s">
        <v>333</v>
      </c>
      <c r="C70" s="137">
        <v>25</v>
      </c>
      <c r="D70" s="137">
        <v>200.54138800000001</v>
      </c>
      <c r="E70" s="137">
        <v>1</v>
      </c>
      <c r="F70" s="137">
        <v>6.023803</v>
      </c>
      <c r="G70" s="137" t="s">
        <v>335</v>
      </c>
    </row>
    <row r="71" spans="1:7" x14ac:dyDescent="0.25">
      <c r="A71" s="137" t="s">
        <v>1499</v>
      </c>
      <c r="B71" s="137" t="s">
        <v>333</v>
      </c>
      <c r="C71" s="137">
        <v>25</v>
      </c>
      <c r="D71" s="137">
        <v>7627.6982079999998</v>
      </c>
      <c r="E71" s="137">
        <v>1</v>
      </c>
      <c r="F71" s="137">
        <v>252.571091</v>
      </c>
      <c r="G71" s="137" t="s">
        <v>335</v>
      </c>
    </row>
    <row r="72" spans="1:7" x14ac:dyDescent="0.25">
      <c r="A72" s="137" t="s">
        <v>1500</v>
      </c>
      <c r="B72" s="137" t="s">
        <v>333</v>
      </c>
      <c r="C72" s="137">
        <v>25</v>
      </c>
      <c r="D72" s="137">
        <v>2360.1149839999998</v>
      </c>
      <c r="E72" s="137">
        <v>1</v>
      </c>
      <c r="F72" s="137">
        <v>172.93126100000001</v>
      </c>
      <c r="G72" s="137" t="s">
        <v>335</v>
      </c>
    </row>
    <row r="73" spans="1:7" x14ac:dyDescent="0.25">
      <c r="A73" s="137" t="s">
        <v>1501</v>
      </c>
      <c r="B73" s="137" t="s">
        <v>333</v>
      </c>
      <c r="C73" s="137">
        <v>25</v>
      </c>
      <c r="D73" s="137">
        <v>1602.7364809999999</v>
      </c>
      <c r="E73" s="137">
        <v>1</v>
      </c>
      <c r="F73" s="137">
        <v>98.577081000000007</v>
      </c>
      <c r="G73" s="137" t="s">
        <v>335</v>
      </c>
    </row>
    <row r="74" spans="1:7" x14ac:dyDescent="0.25">
      <c r="A74" s="137" t="s">
        <v>1502</v>
      </c>
      <c r="B74" s="137" t="s">
        <v>333</v>
      </c>
      <c r="C74" s="137">
        <v>25</v>
      </c>
      <c r="D74" s="137">
        <v>117983.01317599999</v>
      </c>
      <c r="E74" s="137">
        <v>1</v>
      </c>
      <c r="F74" s="137">
        <v>3125.6369970000001</v>
      </c>
      <c r="G74" s="137" t="s">
        <v>335</v>
      </c>
    </row>
    <row r="75" spans="1:7" x14ac:dyDescent="0.25">
      <c r="A75" s="137" t="s">
        <v>1503</v>
      </c>
      <c r="B75" s="137" t="s">
        <v>333</v>
      </c>
      <c r="C75" s="137">
        <v>25</v>
      </c>
      <c r="D75" s="137">
        <v>28954.299891999999</v>
      </c>
      <c r="E75" s="137">
        <v>1</v>
      </c>
      <c r="F75" s="137">
        <v>865.63308900000004</v>
      </c>
      <c r="G75" s="137" t="s">
        <v>335</v>
      </c>
    </row>
    <row r="76" spans="1:7" x14ac:dyDescent="0.25">
      <c r="A76" s="137" t="s">
        <v>1504</v>
      </c>
      <c r="B76" s="137" t="s">
        <v>333</v>
      </c>
      <c r="C76" s="137">
        <v>25</v>
      </c>
      <c r="D76" s="137">
        <v>15645.82481</v>
      </c>
      <c r="E76" s="137">
        <v>1</v>
      </c>
      <c r="F76" s="137">
        <v>496.44046900000001</v>
      </c>
      <c r="G76" s="137" t="s">
        <v>335</v>
      </c>
    </row>
    <row r="77" spans="1:7" x14ac:dyDescent="0.25">
      <c r="A77" s="137" t="s">
        <v>1505</v>
      </c>
      <c r="B77" s="137" t="s">
        <v>333</v>
      </c>
      <c r="C77" s="137">
        <v>25</v>
      </c>
      <c r="D77" s="137">
        <v>613271.27706200001</v>
      </c>
      <c r="E77" s="137">
        <v>1</v>
      </c>
      <c r="F77" s="137">
        <v>28998.595224000001</v>
      </c>
      <c r="G77" s="137" t="s">
        <v>335</v>
      </c>
    </row>
    <row r="78" spans="1:7" x14ac:dyDescent="0.25">
      <c r="A78" s="137" t="s">
        <v>1506</v>
      </c>
      <c r="B78" s="137" t="s">
        <v>333</v>
      </c>
      <c r="C78" s="137">
        <v>25</v>
      </c>
      <c r="D78" s="137">
        <v>172110.33684900001</v>
      </c>
      <c r="E78" s="137">
        <v>1</v>
      </c>
      <c r="F78" s="137">
        <v>5115.2771030000004</v>
      </c>
      <c r="G78" s="137" t="s">
        <v>335</v>
      </c>
    </row>
    <row r="79" spans="1:7" x14ac:dyDescent="0.25">
      <c r="A79" s="137" t="s">
        <v>1507</v>
      </c>
      <c r="B79" s="137" t="s">
        <v>333</v>
      </c>
      <c r="C79" s="137">
        <v>25</v>
      </c>
      <c r="D79" s="137">
        <v>117460.3766</v>
      </c>
      <c r="E79" s="137">
        <v>1</v>
      </c>
      <c r="F79" s="137">
        <v>2548.782995</v>
      </c>
      <c r="G79" s="137" t="s">
        <v>335</v>
      </c>
    </row>
    <row r="80" spans="1:7" x14ac:dyDescent="0.25">
      <c r="A80" s="137" t="s">
        <v>1508</v>
      </c>
      <c r="B80" s="137" t="s">
        <v>333</v>
      </c>
      <c r="C80" s="137">
        <v>25</v>
      </c>
      <c r="D80" s="137">
        <v>1310672.8295239999</v>
      </c>
      <c r="E80" s="137">
        <v>1</v>
      </c>
      <c r="F80" s="137">
        <v>109544.01981300001</v>
      </c>
      <c r="G80" s="137" t="s">
        <v>335</v>
      </c>
    </row>
    <row r="81" spans="1:7" x14ac:dyDescent="0.25">
      <c r="A81" s="137" t="s">
        <v>1509</v>
      </c>
      <c r="B81" s="137" t="s">
        <v>333</v>
      </c>
      <c r="C81" s="137">
        <v>25</v>
      </c>
      <c r="D81" s="137">
        <v>457444.25385500002</v>
      </c>
      <c r="E81" s="137">
        <v>1</v>
      </c>
      <c r="F81" s="137">
        <v>26202.616419000002</v>
      </c>
      <c r="G81" s="137" t="s">
        <v>335</v>
      </c>
    </row>
    <row r="82" spans="1:7" x14ac:dyDescent="0.25">
      <c r="A82" s="137" t="s">
        <v>1510</v>
      </c>
      <c r="B82" s="137" t="s">
        <v>333</v>
      </c>
      <c r="C82" s="137">
        <v>25</v>
      </c>
      <c r="D82" s="137">
        <v>794456.58698799997</v>
      </c>
      <c r="E82" s="137">
        <v>1</v>
      </c>
      <c r="F82" s="137">
        <v>584069.01414999994</v>
      </c>
      <c r="G82" s="137" t="s">
        <v>335</v>
      </c>
    </row>
    <row r="84" spans="1:7" x14ac:dyDescent="0.25">
      <c r="A84" s="137" t="s">
        <v>168</v>
      </c>
    </row>
    <row r="85" spans="1:7" x14ac:dyDescent="0.25">
      <c r="A85" s="137" t="s">
        <v>2</v>
      </c>
      <c r="B85" s="137" t="s">
        <v>3</v>
      </c>
      <c r="C85" s="137" t="s">
        <v>504</v>
      </c>
      <c r="D85" s="137" t="s">
        <v>5</v>
      </c>
      <c r="E85" s="137" t="s">
        <v>1247</v>
      </c>
      <c r="F85" s="137" t="s">
        <v>505</v>
      </c>
      <c r="G85" s="137" t="s">
        <v>506</v>
      </c>
    </row>
    <row r="86" spans="1:7" x14ac:dyDescent="0.25">
      <c r="A86" s="137" t="s">
        <v>1511</v>
      </c>
      <c r="B86" s="137" t="s">
        <v>333</v>
      </c>
      <c r="C86" s="137">
        <v>25</v>
      </c>
      <c r="D86" s="137">
        <v>6528.8187879999996</v>
      </c>
      <c r="E86" s="137">
        <v>1</v>
      </c>
      <c r="F86" s="137">
        <v>242.36175800000001</v>
      </c>
      <c r="G86" s="137" t="s">
        <v>335</v>
      </c>
    </row>
    <row r="87" spans="1:7" x14ac:dyDescent="0.25">
      <c r="A87" s="138" t="s">
        <v>1512</v>
      </c>
      <c r="B87" s="137" t="s">
        <v>333</v>
      </c>
      <c r="C87" s="137">
        <v>25</v>
      </c>
      <c r="D87" s="137">
        <v>5017.2520690000001</v>
      </c>
      <c r="E87" s="137">
        <v>1</v>
      </c>
      <c r="F87" s="137">
        <v>120.318479</v>
      </c>
      <c r="G87" s="137" t="s">
        <v>335</v>
      </c>
    </row>
    <row r="88" spans="1:7" x14ac:dyDescent="0.25">
      <c r="A88" s="137" t="s">
        <v>1513</v>
      </c>
      <c r="B88" s="137" t="s">
        <v>333</v>
      </c>
      <c r="C88" s="137">
        <v>25</v>
      </c>
      <c r="D88" s="137">
        <v>3476.5267800000001</v>
      </c>
      <c r="E88" s="137">
        <v>1</v>
      </c>
      <c r="F88" s="137">
        <v>156.41122999999999</v>
      </c>
      <c r="G88" s="137" t="s">
        <v>335</v>
      </c>
    </row>
    <row r="89" spans="1:7" x14ac:dyDescent="0.25">
      <c r="A89" s="137" t="s">
        <v>1514</v>
      </c>
      <c r="B89" s="137" t="s">
        <v>333</v>
      </c>
      <c r="C89" s="137">
        <v>25</v>
      </c>
      <c r="D89" s="137">
        <v>12009.810332999999</v>
      </c>
      <c r="E89" s="137">
        <v>1</v>
      </c>
      <c r="F89" s="137">
        <v>354.67090300000001</v>
      </c>
      <c r="G89" s="137" t="s">
        <v>335</v>
      </c>
    </row>
    <row r="90" spans="1:7" x14ac:dyDescent="0.25">
      <c r="A90" s="137" t="s">
        <v>1515</v>
      </c>
      <c r="B90" s="137" t="s">
        <v>333</v>
      </c>
      <c r="C90" s="137">
        <v>25</v>
      </c>
      <c r="D90" s="137">
        <v>62408.383985</v>
      </c>
      <c r="E90" s="137">
        <v>1</v>
      </c>
      <c r="F90" s="137">
        <v>1843.422448</v>
      </c>
      <c r="G90" s="137" t="s">
        <v>335</v>
      </c>
    </row>
    <row r="91" spans="1:7" x14ac:dyDescent="0.25">
      <c r="A91" s="137" t="s">
        <v>1516</v>
      </c>
      <c r="B91" s="137" t="s">
        <v>333</v>
      </c>
      <c r="C91" s="137">
        <v>25</v>
      </c>
      <c r="D91" s="137">
        <v>48196.625131000001</v>
      </c>
      <c r="E91" s="137">
        <v>1</v>
      </c>
      <c r="F91" s="137">
        <v>1076.200376</v>
      </c>
      <c r="G91" s="137" t="s">
        <v>335</v>
      </c>
    </row>
    <row r="92" spans="1:7" x14ac:dyDescent="0.25">
      <c r="A92" s="137" t="s">
        <v>1517</v>
      </c>
      <c r="B92" s="137" t="s">
        <v>333</v>
      </c>
      <c r="C92" s="137">
        <v>25</v>
      </c>
      <c r="D92" s="137">
        <v>33363.257517999999</v>
      </c>
      <c r="E92" s="137">
        <v>1</v>
      </c>
      <c r="F92" s="137">
        <v>1332.5376229999999</v>
      </c>
      <c r="G92" s="137" t="s">
        <v>335</v>
      </c>
    </row>
    <row r="93" spans="1:7" x14ac:dyDescent="0.25">
      <c r="A93" s="137" t="s">
        <v>1518</v>
      </c>
      <c r="B93" s="137" t="s">
        <v>333</v>
      </c>
      <c r="C93" s="137">
        <v>25</v>
      </c>
      <c r="D93" s="137">
        <v>119853.54235</v>
      </c>
      <c r="E93" s="137">
        <v>1</v>
      </c>
      <c r="F93" s="137">
        <v>3299.316249</v>
      </c>
      <c r="G93" s="137" t="s">
        <v>335</v>
      </c>
    </row>
    <row r="94" spans="1:7" x14ac:dyDescent="0.25">
      <c r="A94" s="137" t="s">
        <v>1519</v>
      </c>
      <c r="B94" s="137" t="s">
        <v>333</v>
      </c>
      <c r="C94" s="137">
        <v>25</v>
      </c>
      <c r="D94" s="137">
        <v>862672.72124600003</v>
      </c>
      <c r="E94" s="137">
        <v>1</v>
      </c>
      <c r="F94" s="137">
        <v>54896.112097999998</v>
      </c>
      <c r="G94" s="137" t="s">
        <v>335</v>
      </c>
    </row>
    <row r="95" spans="1:7" x14ac:dyDescent="0.25">
      <c r="A95" s="137" t="s">
        <v>1520</v>
      </c>
      <c r="B95" s="137" t="s">
        <v>333</v>
      </c>
      <c r="C95" s="137">
        <v>25</v>
      </c>
      <c r="D95" s="137">
        <v>607038.67917400005</v>
      </c>
      <c r="E95" s="137">
        <v>1</v>
      </c>
      <c r="F95" s="137">
        <v>19311.320162</v>
      </c>
      <c r="G95" s="137" t="s">
        <v>335</v>
      </c>
    </row>
    <row r="96" spans="1:7" x14ac:dyDescent="0.25">
      <c r="A96" s="137" t="s">
        <v>1521</v>
      </c>
      <c r="B96" s="137" t="s">
        <v>333</v>
      </c>
      <c r="C96" s="137">
        <v>25</v>
      </c>
      <c r="D96" s="137">
        <v>357104.13602999999</v>
      </c>
      <c r="E96" s="137">
        <v>1</v>
      </c>
      <c r="F96" s="137">
        <v>13512.492091</v>
      </c>
      <c r="G96" s="137" t="s">
        <v>335</v>
      </c>
    </row>
    <row r="97" spans="1:7" x14ac:dyDescent="0.25">
      <c r="A97" s="137" t="s">
        <v>1522</v>
      </c>
      <c r="B97" s="137" t="s">
        <v>333</v>
      </c>
      <c r="C97" s="137">
        <v>25</v>
      </c>
      <c r="D97" s="137">
        <v>1165281.9151659999</v>
      </c>
      <c r="E97" s="137">
        <v>1</v>
      </c>
      <c r="F97" s="137">
        <v>45487.913516000001</v>
      </c>
      <c r="G97" s="137" t="s">
        <v>335</v>
      </c>
    </row>
    <row r="98" spans="1:7" x14ac:dyDescent="0.25">
      <c r="A98" s="137" t="s">
        <v>1523</v>
      </c>
      <c r="B98" s="137" t="s">
        <v>333</v>
      </c>
      <c r="C98" s="137">
        <v>25</v>
      </c>
      <c r="D98" s="137">
        <v>12209889.029027</v>
      </c>
      <c r="E98" s="137">
        <v>1</v>
      </c>
      <c r="F98" s="137">
        <v>706744.84178400005</v>
      </c>
      <c r="G98" s="137" t="s">
        <v>335</v>
      </c>
    </row>
    <row r="99" spans="1:7" x14ac:dyDescent="0.25">
      <c r="A99" s="137" t="s">
        <v>1524</v>
      </c>
      <c r="B99" s="137" t="s">
        <v>333</v>
      </c>
      <c r="C99" s="137">
        <v>25</v>
      </c>
      <c r="D99" s="137">
        <v>5234268.2912860001</v>
      </c>
      <c r="E99" s="137">
        <v>1</v>
      </c>
      <c r="F99" s="137">
        <v>137240.85445000001</v>
      </c>
      <c r="G99" s="137" t="s">
        <v>335</v>
      </c>
    </row>
    <row r="100" spans="1:7" x14ac:dyDescent="0.25">
      <c r="A100" s="137" t="s">
        <v>1525</v>
      </c>
      <c r="B100" s="137" t="s">
        <v>333</v>
      </c>
      <c r="C100" s="137">
        <v>25</v>
      </c>
      <c r="D100" s="137">
        <v>4325584.2510219999</v>
      </c>
      <c r="E100" s="137">
        <v>1</v>
      </c>
      <c r="F100" s="137">
        <v>293119.09691700002</v>
      </c>
      <c r="G100" s="137" t="s">
        <v>335</v>
      </c>
    </row>
    <row r="101" spans="1:7" x14ac:dyDescent="0.25">
      <c r="A101" s="137" t="s">
        <v>1526</v>
      </c>
      <c r="B101" s="137" t="s">
        <v>333</v>
      </c>
      <c r="C101" s="137">
        <v>25</v>
      </c>
      <c r="D101" s="137">
        <v>13980190.019525999</v>
      </c>
      <c r="E101" s="137">
        <v>1</v>
      </c>
      <c r="F101" s="137">
        <v>356513.32708700001</v>
      </c>
      <c r="G101" s="137" t="s">
        <v>335</v>
      </c>
    </row>
    <row r="102" spans="1:7" x14ac:dyDescent="0.25">
      <c r="A102" s="137" t="s">
        <v>1527</v>
      </c>
      <c r="B102" s="137" t="s">
        <v>333</v>
      </c>
      <c r="C102" s="137">
        <v>25</v>
      </c>
      <c r="D102" s="137">
        <v>18485905.513122</v>
      </c>
      <c r="E102" s="137">
        <v>1</v>
      </c>
      <c r="F102" s="137">
        <v>3588382.6672740001</v>
      </c>
      <c r="G102" s="137" t="s">
        <v>335</v>
      </c>
    </row>
    <row r="103" spans="1:7" x14ac:dyDescent="0.25">
      <c r="A103" s="137" t="s">
        <v>1528</v>
      </c>
      <c r="B103" s="137" t="s">
        <v>333</v>
      </c>
      <c r="C103" s="137">
        <v>25</v>
      </c>
      <c r="D103" s="137">
        <v>6338693.8577939998</v>
      </c>
      <c r="E103" s="137">
        <v>1</v>
      </c>
      <c r="F103" s="137">
        <v>148619.10546399999</v>
      </c>
      <c r="G103" s="137" t="s">
        <v>335</v>
      </c>
    </row>
    <row r="104" spans="1:7" x14ac:dyDescent="0.25">
      <c r="A104" s="137" t="s">
        <v>1529</v>
      </c>
      <c r="B104" s="137" t="s">
        <v>333</v>
      </c>
      <c r="C104" s="137">
        <v>25</v>
      </c>
      <c r="D104" s="137">
        <v>5328153.8782400005</v>
      </c>
      <c r="E104" s="137">
        <v>1</v>
      </c>
      <c r="F104" s="137">
        <v>200406.06899900001</v>
      </c>
      <c r="G104" s="137" t="s">
        <v>335</v>
      </c>
    </row>
    <row r="105" spans="1:7" x14ac:dyDescent="0.25">
      <c r="A105" s="137" t="s">
        <v>1530</v>
      </c>
      <c r="B105" s="137" t="s">
        <v>333</v>
      </c>
      <c r="C105" s="137">
        <v>25</v>
      </c>
      <c r="D105" s="137">
        <v>41254425.610577002</v>
      </c>
      <c r="E105" s="137">
        <v>1</v>
      </c>
      <c r="F105" s="137">
        <v>3547033.923773</v>
      </c>
      <c r="G105" s="137" t="s">
        <v>335</v>
      </c>
    </row>
    <row r="107" spans="1:7" x14ac:dyDescent="0.25">
      <c r="A107" s="137" t="s">
        <v>881</v>
      </c>
    </row>
    <row r="108" spans="1:7" x14ac:dyDescent="0.25">
      <c r="A108" s="137" t="s">
        <v>2</v>
      </c>
      <c r="B108" s="137" t="s">
        <v>3</v>
      </c>
      <c r="C108" s="137" t="s">
        <v>504</v>
      </c>
      <c r="D108" s="137" t="s">
        <v>5</v>
      </c>
      <c r="E108" s="137" t="s">
        <v>1247</v>
      </c>
      <c r="F108" s="137" t="s">
        <v>505</v>
      </c>
      <c r="G108" s="137" t="s">
        <v>506</v>
      </c>
    </row>
    <row r="109" spans="1:7" x14ac:dyDescent="0.25">
      <c r="A109" s="137" t="s">
        <v>1540</v>
      </c>
      <c r="B109" s="137" t="s">
        <v>333</v>
      </c>
      <c r="C109" s="137">
        <v>25</v>
      </c>
      <c r="D109" s="137">
        <v>1501.65365</v>
      </c>
      <c r="E109" s="137">
        <v>1</v>
      </c>
      <c r="F109" s="137">
        <v>118.592521</v>
      </c>
      <c r="G109" s="137" t="s">
        <v>335</v>
      </c>
    </row>
    <row r="110" spans="1:7" x14ac:dyDescent="0.25">
      <c r="A110" s="137" t="s">
        <v>1541</v>
      </c>
      <c r="B110" s="137" t="s">
        <v>333</v>
      </c>
      <c r="C110" s="137">
        <v>25</v>
      </c>
      <c r="D110" s="137">
        <v>1462.9553410000001</v>
      </c>
      <c r="E110" s="137">
        <v>1</v>
      </c>
      <c r="F110" s="137">
        <v>58.068199</v>
      </c>
      <c r="G110" s="137" t="s">
        <v>335</v>
      </c>
    </row>
    <row r="111" spans="1:7" x14ac:dyDescent="0.25">
      <c r="A111" s="137" t="s">
        <v>1542</v>
      </c>
      <c r="B111" s="137" t="s">
        <v>333</v>
      </c>
      <c r="C111" s="137">
        <v>25</v>
      </c>
      <c r="D111" s="137">
        <v>2571.5817200000001</v>
      </c>
      <c r="E111" s="137">
        <v>1</v>
      </c>
      <c r="F111" s="137">
        <v>156.577414</v>
      </c>
      <c r="G111" s="137" t="s">
        <v>335</v>
      </c>
    </row>
    <row r="112" spans="1:7" x14ac:dyDescent="0.25">
      <c r="A112" s="137" t="s">
        <v>1537</v>
      </c>
      <c r="B112" s="137" t="s">
        <v>333</v>
      </c>
      <c r="C112" s="137">
        <v>25</v>
      </c>
      <c r="D112" s="137">
        <v>18745.419453999999</v>
      </c>
      <c r="E112" s="137">
        <v>1</v>
      </c>
      <c r="F112" s="137">
        <v>682.48107400000004</v>
      </c>
      <c r="G112" s="137" t="s">
        <v>335</v>
      </c>
    </row>
    <row r="113" spans="1:7" x14ac:dyDescent="0.25">
      <c r="A113" s="137" t="s">
        <v>1538</v>
      </c>
      <c r="B113" s="137" t="s">
        <v>333</v>
      </c>
      <c r="C113" s="137">
        <v>25</v>
      </c>
      <c r="D113" s="137">
        <v>17213.344082</v>
      </c>
      <c r="E113" s="137">
        <v>1</v>
      </c>
      <c r="F113" s="137">
        <v>598.27176099999997</v>
      </c>
      <c r="G113" s="137" t="s">
        <v>335</v>
      </c>
    </row>
    <row r="114" spans="1:7" x14ac:dyDescent="0.25">
      <c r="A114" s="137" t="s">
        <v>1539</v>
      </c>
      <c r="B114" s="137" t="s">
        <v>333</v>
      </c>
      <c r="C114" s="137">
        <v>25</v>
      </c>
      <c r="D114" s="137">
        <v>29744.808346999998</v>
      </c>
      <c r="E114" s="137">
        <v>1</v>
      </c>
      <c r="F114" s="137">
        <v>1723.2953520000001</v>
      </c>
      <c r="G114" s="137" t="s">
        <v>335</v>
      </c>
    </row>
    <row r="115" spans="1:7" x14ac:dyDescent="0.25">
      <c r="A115" s="137" t="s">
        <v>1534</v>
      </c>
      <c r="B115" s="137" t="s">
        <v>333</v>
      </c>
      <c r="C115" s="137">
        <v>25</v>
      </c>
      <c r="D115" s="137">
        <v>258652.879377</v>
      </c>
      <c r="E115" s="137">
        <v>1</v>
      </c>
      <c r="F115" s="137">
        <v>9517.9759410000006</v>
      </c>
      <c r="G115" s="137" t="s">
        <v>335</v>
      </c>
    </row>
    <row r="116" spans="1:7" x14ac:dyDescent="0.25">
      <c r="A116" s="137" t="s">
        <v>1535</v>
      </c>
      <c r="B116" s="137" t="s">
        <v>333</v>
      </c>
      <c r="C116" s="137">
        <v>25</v>
      </c>
      <c r="D116" s="137">
        <v>253632.725041</v>
      </c>
      <c r="E116" s="137">
        <v>1</v>
      </c>
      <c r="F116" s="137">
        <v>9516.9147969999995</v>
      </c>
      <c r="G116" s="137" t="s">
        <v>335</v>
      </c>
    </row>
    <row r="117" spans="1:7" x14ac:dyDescent="0.25">
      <c r="A117" s="137" t="s">
        <v>1536</v>
      </c>
      <c r="B117" s="137" t="s">
        <v>333</v>
      </c>
      <c r="C117" s="137">
        <v>25</v>
      </c>
      <c r="D117" s="137">
        <v>396422.37014700001</v>
      </c>
      <c r="E117" s="137">
        <v>1</v>
      </c>
      <c r="F117" s="137">
        <v>17354.357868999999</v>
      </c>
      <c r="G117" s="137" t="s">
        <v>335</v>
      </c>
    </row>
    <row r="118" spans="1:7" x14ac:dyDescent="0.25">
      <c r="A118" s="137" t="s">
        <v>1543</v>
      </c>
      <c r="B118" s="137" t="s">
        <v>333</v>
      </c>
      <c r="C118" s="137">
        <v>25</v>
      </c>
      <c r="D118" s="137">
        <v>1856687.79431</v>
      </c>
      <c r="E118" s="137">
        <v>1</v>
      </c>
      <c r="F118" s="137">
        <v>149893.391883</v>
      </c>
      <c r="G118" s="137" t="s">
        <v>335</v>
      </c>
    </row>
    <row r="119" spans="1:7" x14ac:dyDescent="0.25">
      <c r="A119" s="137" t="s">
        <v>1544</v>
      </c>
      <c r="B119" s="137" t="s">
        <v>333</v>
      </c>
      <c r="C119" s="137">
        <v>25</v>
      </c>
      <c r="D119" s="137">
        <v>1991703.5027749999</v>
      </c>
      <c r="E119" s="137">
        <v>1</v>
      </c>
      <c r="F119" s="137">
        <v>113410.418687</v>
      </c>
      <c r="G119" s="137" t="s">
        <v>335</v>
      </c>
    </row>
    <row r="120" spans="1:7" x14ac:dyDescent="0.25">
      <c r="A120" s="137" t="s">
        <v>1545</v>
      </c>
      <c r="B120" s="137" t="s">
        <v>333</v>
      </c>
      <c r="C120" s="137">
        <v>25</v>
      </c>
      <c r="D120" s="137">
        <v>3237559.7560939998</v>
      </c>
      <c r="E120" s="137">
        <v>1</v>
      </c>
      <c r="F120" s="137">
        <v>210831.37914800001</v>
      </c>
      <c r="G120" s="137" t="s">
        <v>335</v>
      </c>
    </row>
    <row r="121" spans="1:7" x14ac:dyDescent="0.25">
      <c r="A121" s="137" t="s">
        <v>1531</v>
      </c>
      <c r="B121" s="137" t="s">
        <v>333</v>
      </c>
      <c r="C121" s="137">
        <v>25</v>
      </c>
      <c r="D121" s="137">
        <v>6853927.7024579998</v>
      </c>
      <c r="E121" s="137">
        <v>1</v>
      </c>
      <c r="F121" s="137">
        <v>459681.97448199999</v>
      </c>
      <c r="G121" s="137" t="s">
        <v>335</v>
      </c>
    </row>
    <row r="122" spans="1:7" x14ac:dyDescent="0.25">
      <c r="A122" s="137" t="s">
        <v>1532</v>
      </c>
      <c r="B122" s="137" t="s">
        <v>333</v>
      </c>
      <c r="C122" s="137">
        <v>25</v>
      </c>
      <c r="D122" s="137">
        <v>5772453.5668959999</v>
      </c>
      <c r="E122" s="137">
        <v>1</v>
      </c>
      <c r="F122" s="137">
        <v>626319.80144700001</v>
      </c>
      <c r="G122" s="137" t="s">
        <v>335</v>
      </c>
    </row>
    <row r="123" spans="1:7" x14ac:dyDescent="0.25">
      <c r="A123" s="137" t="s">
        <v>1533</v>
      </c>
      <c r="B123" s="137" t="s">
        <v>333</v>
      </c>
      <c r="C123" s="137">
        <v>25</v>
      </c>
      <c r="D123" s="137">
        <v>9840582.2259010002</v>
      </c>
      <c r="E123" s="137">
        <v>1</v>
      </c>
      <c r="F123" s="137">
        <v>705554.46746199997</v>
      </c>
      <c r="G123" s="137" t="s">
        <v>335</v>
      </c>
    </row>
    <row r="125" spans="1:7" x14ac:dyDescent="0.25">
      <c r="A125" s="137" t="s">
        <v>759</v>
      </c>
    </row>
    <row r="126" spans="1:7" x14ac:dyDescent="0.25">
      <c r="A126" s="137" t="s">
        <v>2</v>
      </c>
      <c r="B126" s="137" t="s">
        <v>3</v>
      </c>
      <c r="C126" s="137" t="s">
        <v>504</v>
      </c>
      <c r="D126" s="137" t="s">
        <v>5</v>
      </c>
      <c r="E126" s="137" t="s">
        <v>1247</v>
      </c>
      <c r="F126" s="137" t="s">
        <v>505</v>
      </c>
      <c r="G126" s="137" t="s">
        <v>506</v>
      </c>
    </row>
    <row r="127" spans="1:7" x14ac:dyDescent="0.25">
      <c r="A127" s="137" t="s">
        <v>1546</v>
      </c>
      <c r="B127" s="137" t="s">
        <v>333</v>
      </c>
      <c r="C127" s="137">
        <v>25</v>
      </c>
      <c r="D127" s="137">
        <v>1425.9261309999999</v>
      </c>
      <c r="E127" s="137">
        <v>1</v>
      </c>
      <c r="F127" s="137">
        <v>85.815796000000006</v>
      </c>
      <c r="G127" s="137" t="s">
        <v>335</v>
      </c>
    </row>
    <row r="128" spans="1:7" x14ac:dyDescent="0.25">
      <c r="A128" s="137" t="s">
        <v>1547</v>
      </c>
      <c r="B128" s="137" t="s">
        <v>333</v>
      </c>
      <c r="C128" s="137">
        <v>25</v>
      </c>
      <c r="D128" s="137">
        <v>89.234611000000001</v>
      </c>
      <c r="E128" s="137">
        <v>1</v>
      </c>
      <c r="F128" s="137">
        <v>3.655065</v>
      </c>
      <c r="G128" s="137" t="s">
        <v>335</v>
      </c>
    </row>
    <row r="129" spans="1:7" x14ac:dyDescent="0.25">
      <c r="A129" s="137" t="s">
        <v>1548</v>
      </c>
      <c r="B129" s="137" t="s">
        <v>333</v>
      </c>
      <c r="C129" s="137">
        <v>25</v>
      </c>
      <c r="D129" s="137">
        <v>567.14028900000005</v>
      </c>
      <c r="E129" s="137">
        <v>1</v>
      </c>
      <c r="F129" s="137">
        <v>14.618297</v>
      </c>
      <c r="G129" s="137" t="s">
        <v>335</v>
      </c>
    </row>
    <row r="130" spans="1:7" x14ac:dyDescent="0.25">
      <c r="A130" s="137" t="s">
        <v>1549</v>
      </c>
      <c r="B130" s="137" t="s">
        <v>333</v>
      </c>
      <c r="C130" s="137">
        <v>25</v>
      </c>
      <c r="D130" s="137">
        <v>17604.730670000001</v>
      </c>
      <c r="E130" s="137">
        <v>1</v>
      </c>
      <c r="F130" s="137">
        <v>489.52551499999998</v>
      </c>
      <c r="G130" s="137" t="s">
        <v>335</v>
      </c>
    </row>
    <row r="131" spans="1:7" x14ac:dyDescent="0.25">
      <c r="A131" s="137" t="s">
        <v>1550</v>
      </c>
      <c r="B131" s="137" t="s">
        <v>333</v>
      </c>
      <c r="C131" s="137">
        <v>25</v>
      </c>
      <c r="D131" s="137">
        <v>1035.2749670000001</v>
      </c>
      <c r="E131" s="137">
        <v>1</v>
      </c>
      <c r="F131" s="137">
        <v>39.755209000000001</v>
      </c>
      <c r="G131" s="137" t="s">
        <v>335</v>
      </c>
    </row>
    <row r="132" spans="1:7" x14ac:dyDescent="0.25">
      <c r="A132" s="137" t="s">
        <v>1551</v>
      </c>
      <c r="B132" s="137" t="s">
        <v>333</v>
      </c>
      <c r="C132" s="137">
        <v>25</v>
      </c>
      <c r="D132" s="137">
        <v>5476.151914</v>
      </c>
      <c r="E132" s="137">
        <v>1</v>
      </c>
      <c r="F132" s="137">
        <v>236.40899999999999</v>
      </c>
      <c r="G132" s="137" t="s">
        <v>335</v>
      </c>
    </row>
    <row r="133" spans="1:7" x14ac:dyDescent="0.25">
      <c r="A133" s="137" t="s">
        <v>1552</v>
      </c>
      <c r="B133" s="137" t="s">
        <v>333</v>
      </c>
      <c r="C133" s="137">
        <v>25</v>
      </c>
      <c r="D133" s="137">
        <v>155973.34830099999</v>
      </c>
      <c r="E133" s="137">
        <v>1</v>
      </c>
      <c r="F133" s="137">
        <v>9115.5043999999998</v>
      </c>
      <c r="G133" s="137" t="s">
        <v>335</v>
      </c>
    </row>
    <row r="134" spans="1:7" x14ac:dyDescent="0.25">
      <c r="A134" s="137" t="s">
        <v>1553</v>
      </c>
      <c r="B134" s="137" t="s">
        <v>333</v>
      </c>
      <c r="C134" s="137">
        <v>25</v>
      </c>
      <c r="D134" s="137">
        <v>10593.468414999999</v>
      </c>
      <c r="E134" s="137">
        <v>1</v>
      </c>
      <c r="F134" s="137">
        <v>691.70584299999996</v>
      </c>
      <c r="G134" s="137" t="s">
        <v>335</v>
      </c>
    </row>
    <row r="135" spans="1:7" x14ac:dyDescent="0.25">
      <c r="A135" s="137" t="s">
        <v>1554</v>
      </c>
      <c r="B135" s="137" t="s">
        <v>333</v>
      </c>
      <c r="C135" s="137">
        <v>25</v>
      </c>
      <c r="D135" s="137">
        <v>59865.088612</v>
      </c>
      <c r="E135" s="137">
        <v>1</v>
      </c>
      <c r="F135" s="137">
        <v>2232.4211949999999</v>
      </c>
      <c r="G135" s="137" t="s">
        <v>335</v>
      </c>
    </row>
    <row r="136" spans="1:7" x14ac:dyDescent="0.25">
      <c r="A136" s="137" t="s">
        <v>1555</v>
      </c>
      <c r="B136" s="137" t="s">
        <v>333</v>
      </c>
      <c r="C136" s="137">
        <v>25</v>
      </c>
      <c r="D136" s="137">
        <v>865922.20172500005</v>
      </c>
      <c r="E136" s="137">
        <v>1</v>
      </c>
      <c r="F136" s="137">
        <v>45802.790790999999</v>
      </c>
      <c r="G136" s="137" t="s">
        <v>335</v>
      </c>
    </row>
    <row r="137" spans="1:7" x14ac:dyDescent="0.25">
      <c r="A137" s="137" t="s">
        <v>1556</v>
      </c>
      <c r="B137" s="137" t="s">
        <v>333</v>
      </c>
      <c r="C137" s="137">
        <v>25</v>
      </c>
      <c r="D137" s="137">
        <v>55516.137091999997</v>
      </c>
      <c r="E137" s="137">
        <v>1</v>
      </c>
      <c r="F137" s="137">
        <v>2428.9167739999998</v>
      </c>
      <c r="G137" s="137" t="s">
        <v>335</v>
      </c>
    </row>
    <row r="138" spans="1:7" x14ac:dyDescent="0.25">
      <c r="A138" s="137" t="s">
        <v>1557</v>
      </c>
      <c r="B138" s="137" t="s">
        <v>333</v>
      </c>
      <c r="C138" s="137">
        <v>25</v>
      </c>
      <c r="D138" s="137">
        <v>288035.98804999999</v>
      </c>
      <c r="E138" s="137">
        <v>1</v>
      </c>
      <c r="F138" s="137">
        <v>20464.660139</v>
      </c>
      <c r="G138" s="137" t="s">
        <v>335</v>
      </c>
    </row>
    <row r="139" spans="1:7" x14ac:dyDescent="0.25">
      <c r="A139" s="137" t="s">
        <v>1558</v>
      </c>
      <c r="B139" s="137" t="s">
        <v>333</v>
      </c>
      <c r="C139" s="137">
        <v>25</v>
      </c>
      <c r="D139" s="137">
        <v>2153384.2204530002</v>
      </c>
      <c r="E139" s="137">
        <v>1</v>
      </c>
      <c r="F139" s="137">
        <v>100008.954432</v>
      </c>
      <c r="G139" s="137" t="s">
        <v>335</v>
      </c>
    </row>
    <row r="140" spans="1:7" x14ac:dyDescent="0.25">
      <c r="A140" s="137" t="s">
        <v>1559</v>
      </c>
      <c r="B140" s="137" t="s">
        <v>333</v>
      </c>
      <c r="C140" s="137">
        <v>25</v>
      </c>
      <c r="D140" s="137">
        <v>117974.26260099999</v>
      </c>
      <c r="E140" s="137">
        <v>1</v>
      </c>
      <c r="F140" s="137">
        <v>5321.3831140000002</v>
      </c>
      <c r="G140" s="137" t="s">
        <v>335</v>
      </c>
    </row>
    <row r="141" spans="1:7" x14ac:dyDescent="0.25">
      <c r="A141" s="137" t="s">
        <v>1560</v>
      </c>
      <c r="B141" s="137" t="s">
        <v>333</v>
      </c>
      <c r="C141" s="137">
        <v>25</v>
      </c>
      <c r="D141" s="137">
        <v>656285.33930200001</v>
      </c>
      <c r="E141" s="137">
        <v>1</v>
      </c>
      <c r="F141" s="137">
        <v>25726.147503</v>
      </c>
      <c r="G141" s="137" t="s">
        <v>335</v>
      </c>
    </row>
    <row r="143" spans="1:7" x14ac:dyDescent="0.25">
      <c r="A143" s="137" t="s">
        <v>165</v>
      </c>
    </row>
    <row r="144" spans="1:7" x14ac:dyDescent="0.25">
      <c r="A144" s="137" t="s">
        <v>2</v>
      </c>
      <c r="B144" s="137" t="s">
        <v>3</v>
      </c>
      <c r="C144" s="137" t="s">
        <v>504</v>
      </c>
      <c r="D144" s="137" t="s">
        <v>5</v>
      </c>
      <c r="E144" s="137" t="s">
        <v>1247</v>
      </c>
      <c r="F144" s="137" t="s">
        <v>505</v>
      </c>
      <c r="G144" s="137" t="s">
        <v>506</v>
      </c>
    </row>
    <row r="145" spans="1:7" x14ac:dyDescent="0.25">
      <c r="A145" s="137" t="s">
        <v>1561</v>
      </c>
      <c r="B145" s="137" t="s">
        <v>333</v>
      </c>
      <c r="C145" s="137">
        <v>25</v>
      </c>
      <c r="D145" s="137">
        <v>1321.318487</v>
      </c>
      <c r="E145" s="137">
        <v>1</v>
      </c>
      <c r="F145" s="137">
        <v>81.179868999999997</v>
      </c>
      <c r="G145" s="137" t="s">
        <v>335</v>
      </c>
    </row>
    <row r="146" spans="1:7" x14ac:dyDescent="0.25">
      <c r="A146" s="137" t="s">
        <v>1562</v>
      </c>
      <c r="B146" s="137" t="s">
        <v>333</v>
      </c>
      <c r="C146" s="137">
        <v>25</v>
      </c>
      <c r="D146" s="137">
        <v>665.98268499999995</v>
      </c>
      <c r="E146" s="137">
        <v>1</v>
      </c>
      <c r="F146" s="137">
        <v>27.893068</v>
      </c>
      <c r="G146" s="137" t="s">
        <v>335</v>
      </c>
    </row>
    <row r="147" spans="1:7" x14ac:dyDescent="0.25">
      <c r="A147" s="137" t="s">
        <v>1563</v>
      </c>
      <c r="B147" s="137" t="s">
        <v>333</v>
      </c>
      <c r="C147" s="137">
        <v>25</v>
      </c>
      <c r="D147" s="137">
        <v>828.69000700000004</v>
      </c>
      <c r="E147" s="137">
        <v>1</v>
      </c>
      <c r="F147" s="137">
        <v>65.008212</v>
      </c>
      <c r="G147" s="137" t="s">
        <v>335</v>
      </c>
    </row>
    <row r="148" spans="1:7" x14ac:dyDescent="0.25">
      <c r="A148" s="137" t="s">
        <v>1564</v>
      </c>
      <c r="B148" s="137" t="s">
        <v>333</v>
      </c>
      <c r="C148" s="137">
        <v>25</v>
      </c>
      <c r="D148" s="137">
        <v>14055.63111</v>
      </c>
      <c r="E148" s="137">
        <v>1</v>
      </c>
      <c r="F148" s="137">
        <v>724.135535</v>
      </c>
      <c r="G148" s="137" t="s">
        <v>335</v>
      </c>
    </row>
    <row r="149" spans="1:7" x14ac:dyDescent="0.25">
      <c r="A149" s="137" t="s">
        <v>1565</v>
      </c>
      <c r="B149" s="137" t="s">
        <v>333</v>
      </c>
      <c r="C149" s="137">
        <v>25</v>
      </c>
      <c r="D149" s="137">
        <v>7383.8546640000004</v>
      </c>
      <c r="E149" s="137">
        <v>1</v>
      </c>
      <c r="F149" s="137">
        <v>351.612663</v>
      </c>
      <c r="G149" s="137" t="s">
        <v>335</v>
      </c>
    </row>
    <row r="150" spans="1:7" x14ac:dyDescent="0.25">
      <c r="A150" s="137" t="s">
        <v>1566</v>
      </c>
      <c r="B150" s="137" t="s">
        <v>333</v>
      </c>
      <c r="C150" s="137">
        <v>25</v>
      </c>
      <c r="D150" s="137">
        <v>11717.387891</v>
      </c>
      <c r="E150" s="137">
        <v>1</v>
      </c>
      <c r="F150" s="137">
        <v>425.83163400000001</v>
      </c>
      <c r="G150" s="137" t="s">
        <v>335</v>
      </c>
    </row>
    <row r="151" spans="1:7" x14ac:dyDescent="0.25">
      <c r="A151" s="137" t="s">
        <v>1567</v>
      </c>
      <c r="B151" s="137" t="s">
        <v>333</v>
      </c>
      <c r="C151" s="137">
        <v>25</v>
      </c>
      <c r="D151" s="137">
        <v>140482.187882</v>
      </c>
      <c r="E151" s="137">
        <v>1</v>
      </c>
      <c r="F151" s="137">
        <v>7129.7786489999999</v>
      </c>
      <c r="G151" s="137" t="s">
        <v>335</v>
      </c>
    </row>
    <row r="152" spans="1:7" x14ac:dyDescent="0.25">
      <c r="A152" s="137" t="s">
        <v>1568</v>
      </c>
      <c r="B152" s="137" t="s">
        <v>333</v>
      </c>
      <c r="C152" s="137">
        <v>25</v>
      </c>
      <c r="D152" s="137">
        <v>65976.551344000007</v>
      </c>
      <c r="E152" s="137">
        <v>1</v>
      </c>
      <c r="F152" s="137">
        <v>3480.2493509999999</v>
      </c>
      <c r="G152" s="137" t="s">
        <v>335</v>
      </c>
    </row>
    <row r="153" spans="1:7" x14ac:dyDescent="0.25">
      <c r="A153" s="137" t="s">
        <v>1569</v>
      </c>
      <c r="B153" s="137" t="s">
        <v>333</v>
      </c>
      <c r="C153" s="137">
        <v>25</v>
      </c>
      <c r="D153" s="137">
        <v>100287.626586</v>
      </c>
      <c r="E153" s="137">
        <v>1</v>
      </c>
      <c r="F153" s="137">
        <v>5366.0047489999997</v>
      </c>
      <c r="G153" s="137" t="s">
        <v>335</v>
      </c>
    </row>
    <row r="154" spans="1:7" x14ac:dyDescent="0.25">
      <c r="A154" s="137" t="s">
        <v>1570</v>
      </c>
      <c r="B154" s="137" t="s">
        <v>333</v>
      </c>
      <c r="C154" s="137">
        <v>25</v>
      </c>
      <c r="D154" s="137">
        <v>895976.89073999994</v>
      </c>
      <c r="E154" s="137">
        <v>1</v>
      </c>
      <c r="F154" s="137">
        <v>45665.046389000003</v>
      </c>
      <c r="G154" s="137" t="s">
        <v>335</v>
      </c>
    </row>
    <row r="155" spans="1:7" x14ac:dyDescent="0.25">
      <c r="A155" s="137" t="s">
        <v>1571</v>
      </c>
      <c r="B155" s="137" t="s">
        <v>333</v>
      </c>
      <c r="C155" s="137">
        <v>25</v>
      </c>
      <c r="D155" s="137">
        <v>351567.90547499998</v>
      </c>
      <c r="E155" s="137">
        <v>1</v>
      </c>
      <c r="F155" s="137">
        <v>24516.694387</v>
      </c>
      <c r="G155" s="137" t="s">
        <v>335</v>
      </c>
    </row>
    <row r="156" spans="1:7" x14ac:dyDescent="0.25">
      <c r="A156" s="137" t="s">
        <v>1572</v>
      </c>
      <c r="B156" s="137" t="s">
        <v>333</v>
      </c>
      <c r="C156" s="137">
        <v>25</v>
      </c>
      <c r="D156" s="137">
        <v>592326.42277199996</v>
      </c>
      <c r="E156" s="137">
        <v>1</v>
      </c>
      <c r="F156" s="137">
        <v>28535.04333</v>
      </c>
      <c r="G156" s="137" t="s">
        <v>335</v>
      </c>
    </row>
    <row r="157" spans="1:7" x14ac:dyDescent="0.25">
      <c r="A157" s="137" t="s">
        <v>1573</v>
      </c>
      <c r="B157" s="137" t="s">
        <v>333</v>
      </c>
      <c r="C157" s="137">
        <v>25</v>
      </c>
      <c r="D157" s="137">
        <v>1681013.578854</v>
      </c>
      <c r="E157" s="137">
        <v>1</v>
      </c>
      <c r="F157" s="137">
        <v>90699.917344000001</v>
      </c>
      <c r="G157" s="137" t="s">
        <v>335</v>
      </c>
    </row>
    <row r="158" spans="1:7" x14ac:dyDescent="0.25">
      <c r="A158" s="137" t="s">
        <v>1574</v>
      </c>
      <c r="B158" s="137" t="s">
        <v>333</v>
      </c>
      <c r="C158" s="137">
        <v>25</v>
      </c>
      <c r="D158" s="137">
        <v>792064.89881100005</v>
      </c>
      <c r="E158" s="137">
        <v>1</v>
      </c>
      <c r="F158" s="137">
        <v>53134.007307</v>
      </c>
      <c r="G158" s="137" t="s">
        <v>335</v>
      </c>
    </row>
    <row r="159" spans="1:7" x14ac:dyDescent="0.25">
      <c r="A159" s="137" t="s">
        <v>1575</v>
      </c>
      <c r="B159" s="137" t="s">
        <v>333</v>
      </c>
      <c r="C159" s="137">
        <v>25</v>
      </c>
      <c r="D159" s="137">
        <v>1083026.1664120001</v>
      </c>
      <c r="E159" s="137">
        <v>1</v>
      </c>
      <c r="F159" s="137">
        <v>57168.833766000003</v>
      </c>
      <c r="G159" s="137" t="s">
        <v>335</v>
      </c>
    </row>
    <row r="161" spans="1:7" x14ac:dyDescent="0.25">
      <c r="A161" s="137" t="s">
        <v>164</v>
      </c>
    </row>
    <row r="162" spans="1:7" x14ac:dyDescent="0.25">
      <c r="A162" s="137" t="s">
        <v>2</v>
      </c>
      <c r="B162" s="137" t="s">
        <v>3</v>
      </c>
      <c r="C162" s="137" t="s">
        <v>504</v>
      </c>
      <c r="D162" s="137" t="s">
        <v>5</v>
      </c>
      <c r="E162" s="137" t="s">
        <v>1247</v>
      </c>
      <c r="F162" s="137" t="s">
        <v>505</v>
      </c>
      <c r="G162" s="137" t="s">
        <v>506</v>
      </c>
    </row>
    <row r="163" spans="1:7" x14ac:dyDescent="0.25">
      <c r="A163" s="137" t="s">
        <v>1576</v>
      </c>
      <c r="B163" s="137" t="s">
        <v>333</v>
      </c>
      <c r="C163" s="137">
        <v>25</v>
      </c>
      <c r="D163" s="137">
        <v>1751.003052</v>
      </c>
      <c r="E163" s="137">
        <v>1</v>
      </c>
      <c r="F163" s="137">
        <v>67.324230999999997</v>
      </c>
      <c r="G163" s="137" t="s">
        <v>335</v>
      </c>
    </row>
    <row r="164" spans="1:7" x14ac:dyDescent="0.25">
      <c r="A164" s="137" t="s">
        <v>1577</v>
      </c>
      <c r="B164" s="137" t="s">
        <v>333</v>
      </c>
      <c r="C164" s="137">
        <v>25</v>
      </c>
      <c r="D164" s="137">
        <v>2429.5840750000002</v>
      </c>
      <c r="E164" s="137">
        <v>1</v>
      </c>
      <c r="F164" s="137">
        <v>97.487857000000005</v>
      </c>
      <c r="G164" s="137" t="s">
        <v>335</v>
      </c>
    </row>
    <row r="165" spans="1:7" x14ac:dyDescent="0.25">
      <c r="A165" s="137" t="s">
        <v>1578</v>
      </c>
      <c r="B165" s="137" t="s">
        <v>333</v>
      </c>
      <c r="C165" s="137">
        <v>25</v>
      </c>
      <c r="D165" s="137">
        <v>3166.5465020000001</v>
      </c>
      <c r="E165" s="137">
        <v>1</v>
      </c>
      <c r="F165" s="137">
        <v>157.51430099999999</v>
      </c>
      <c r="G165" s="137" t="s">
        <v>335</v>
      </c>
    </row>
    <row r="166" spans="1:7" x14ac:dyDescent="0.25">
      <c r="A166" s="137" t="s">
        <v>1579</v>
      </c>
      <c r="B166" s="137" t="s">
        <v>333</v>
      </c>
      <c r="C166" s="137">
        <v>25</v>
      </c>
      <c r="D166" s="137">
        <v>21963.053548</v>
      </c>
      <c r="E166" s="137">
        <v>1</v>
      </c>
      <c r="F166" s="137">
        <v>1050.2518480000001</v>
      </c>
      <c r="G166" s="137" t="s">
        <v>335</v>
      </c>
    </row>
    <row r="167" spans="1:7" x14ac:dyDescent="0.25">
      <c r="A167" s="137" t="s">
        <v>1580</v>
      </c>
      <c r="B167" s="137" t="s">
        <v>333</v>
      </c>
      <c r="C167" s="137">
        <v>25</v>
      </c>
      <c r="D167" s="137">
        <v>25027.395864999999</v>
      </c>
      <c r="E167" s="137">
        <v>1</v>
      </c>
      <c r="F167" s="137">
        <v>1407.9836989999999</v>
      </c>
      <c r="G167" s="137" t="s">
        <v>335</v>
      </c>
    </row>
    <row r="168" spans="1:7" x14ac:dyDescent="0.25">
      <c r="A168" s="137" t="s">
        <v>1581</v>
      </c>
      <c r="B168" s="137" t="s">
        <v>333</v>
      </c>
      <c r="C168" s="137">
        <v>25</v>
      </c>
      <c r="D168" s="137">
        <v>33042.861984000003</v>
      </c>
      <c r="E168" s="137">
        <v>1</v>
      </c>
      <c r="F168" s="137">
        <v>1680.0989199999999</v>
      </c>
      <c r="G168" s="137" t="s">
        <v>335</v>
      </c>
    </row>
    <row r="169" spans="1:7" x14ac:dyDescent="0.25">
      <c r="A169" s="137" t="s">
        <v>1582</v>
      </c>
      <c r="B169" s="137" t="s">
        <v>333</v>
      </c>
      <c r="C169" s="137">
        <v>25</v>
      </c>
      <c r="D169" s="137">
        <v>204405.345145</v>
      </c>
      <c r="E169" s="137">
        <v>1</v>
      </c>
      <c r="F169" s="137">
        <v>12043.967264999999</v>
      </c>
      <c r="G169" s="137" t="s">
        <v>335</v>
      </c>
    </row>
    <row r="170" spans="1:7" x14ac:dyDescent="0.25">
      <c r="A170" s="137" t="s">
        <v>1583</v>
      </c>
      <c r="B170" s="137" t="s">
        <v>333</v>
      </c>
      <c r="C170" s="137">
        <v>25</v>
      </c>
      <c r="D170" s="137">
        <v>235032.219163</v>
      </c>
      <c r="E170" s="137">
        <v>1</v>
      </c>
      <c r="F170" s="137">
        <v>11930.540469</v>
      </c>
      <c r="G170" s="137" t="s">
        <v>335</v>
      </c>
    </row>
    <row r="171" spans="1:7" x14ac:dyDescent="0.25">
      <c r="A171" s="137" t="s">
        <v>1584</v>
      </c>
      <c r="B171" s="137" t="s">
        <v>333</v>
      </c>
      <c r="C171" s="137">
        <v>25</v>
      </c>
      <c r="D171" s="137">
        <v>213769.44677899999</v>
      </c>
      <c r="E171" s="137">
        <v>1</v>
      </c>
      <c r="F171" s="137">
        <v>8042.9334040000003</v>
      </c>
      <c r="G171" s="137" t="s">
        <v>335</v>
      </c>
    </row>
    <row r="172" spans="1:7" x14ac:dyDescent="0.25">
      <c r="A172" s="137" t="s">
        <v>1585</v>
      </c>
      <c r="B172" s="137" t="s">
        <v>333</v>
      </c>
      <c r="C172" s="137">
        <v>25</v>
      </c>
      <c r="D172" s="137">
        <v>1096220.0983470001</v>
      </c>
      <c r="E172" s="137">
        <v>1</v>
      </c>
      <c r="F172" s="137">
        <v>46592.553140999997</v>
      </c>
      <c r="G172" s="137" t="s">
        <v>335</v>
      </c>
    </row>
    <row r="173" spans="1:7" x14ac:dyDescent="0.25">
      <c r="A173" s="137" t="s">
        <v>1586</v>
      </c>
      <c r="B173" s="137" t="s">
        <v>333</v>
      </c>
      <c r="C173" s="137">
        <v>25</v>
      </c>
      <c r="D173" s="137">
        <v>1203238.676647</v>
      </c>
      <c r="E173" s="137">
        <v>1</v>
      </c>
      <c r="F173" s="137">
        <v>69112.958562999993</v>
      </c>
      <c r="G173" s="137" t="s">
        <v>335</v>
      </c>
    </row>
    <row r="174" spans="1:7" x14ac:dyDescent="0.25">
      <c r="A174" s="137" t="s">
        <v>1587</v>
      </c>
      <c r="B174" s="137" t="s">
        <v>333</v>
      </c>
      <c r="C174" s="137">
        <v>25</v>
      </c>
      <c r="D174" s="137">
        <v>1695113.1683439999</v>
      </c>
      <c r="E174" s="137">
        <v>1</v>
      </c>
      <c r="F174" s="137">
        <v>76335.989906999996</v>
      </c>
      <c r="G174" s="137" t="s">
        <v>335</v>
      </c>
    </row>
    <row r="175" spans="1:7" x14ac:dyDescent="0.25">
      <c r="A175" s="137" t="s">
        <v>1588</v>
      </c>
      <c r="B175" s="137" t="s">
        <v>333</v>
      </c>
      <c r="C175" s="137">
        <v>25</v>
      </c>
      <c r="D175" s="137">
        <v>2514695.6077350001</v>
      </c>
      <c r="E175" s="137">
        <v>1</v>
      </c>
      <c r="F175" s="137">
        <v>172550.47304400001</v>
      </c>
      <c r="G175" s="137" t="s">
        <v>335</v>
      </c>
    </row>
    <row r="176" spans="1:7" x14ac:dyDescent="0.25">
      <c r="A176" s="137" t="s">
        <v>1589</v>
      </c>
      <c r="B176" s="137" t="s">
        <v>333</v>
      </c>
      <c r="C176" s="137">
        <v>25</v>
      </c>
      <c r="D176" s="137">
        <v>2644223.8690490001</v>
      </c>
      <c r="E176" s="137">
        <v>1</v>
      </c>
      <c r="F176" s="137">
        <v>148941.219083</v>
      </c>
      <c r="G176" s="137" t="s">
        <v>335</v>
      </c>
    </row>
    <row r="177" spans="1:7" x14ac:dyDescent="0.25">
      <c r="A177" s="137" t="s">
        <v>1590</v>
      </c>
      <c r="B177" s="137" t="s">
        <v>333</v>
      </c>
      <c r="C177" s="137">
        <v>25</v>
      </c>
      <c r="D177" s="137">
        <v>3139258.9000499998</v>
      </c>
      <c r="E177" s="137">
        <v>1</v>
      </c>
      <c r="F177" s="137">
        <v>202678.135997</v>
      </c>
      <c r="G177" s="137" t="s">
        <v>335</v>
      </c>
    </row>
    <row r="179" spans="1:7" x14ac:dyDescent="0.25">
      <c r="A179" s="137" t="s">
        <v>163</v>
      </c>
    </row>
    <row r="180" spans="1:7" x14ac:dyDescent="0.25">
      <c r="A180" s="137" t="s">
        <v>2</v>
      </c>
      <c r="B180" s="137" t="s">
        <v>3</v>
      </c>
      <c r="C180" s="137" t="s">
        <v>504</v>
      </c>
      <c r="D180" s="137" t="s">
        <v>5</v>
      </c>
      <c r="E180" s="137" t="s">
        <v>1247</v>
      </c>
      <c r="F180" s="137" t="s">
        <v>505</v>
      </c>
      <c r="G180" s="137" t="s">
        <v>506</v>
      </c>
    </row>
    <row r="181" spans="1:7" x14ac:dyDescent="0.25">
      <c r="A181" s="137" t="s">
        <v>1591</v>
      </c>
      <c r="B181" s="137" t="s">
        <v>333</v>
      </c>
      <c r="C181" s="137">
        <v>25</v>
      </c>
      <c r="D181" s="137">
        <v>2905.0744930000001</v>
      </c>
      <c r="E181" s="137">
        <v>1</v>
      </c>
      <c r="F181" s="137">
        <v>72.477131999999997</v>
      </c>
      <c r="G181" s="137" t="s">
        <v>335</v>
      </c>
    </row>
    <row r="182" spans="1:7" x14ac:dyDescent="0.25">
      <c r="A182" s="137" t="s">
        <v>1592</v>
      </c>
      <c r="B182" s="137" t="s">
        <v>333</v>
      </c>
      <c r="C182" s="137">
        <v>25</v>
      </c>
      <c r="D182" s="137">
        <v>3809.6844289999999</v>
      </c>
      <c r="E182" s="137">
        <v>1</v>
      </c>
      <c r="F182" s="137">
        <v>102.42377399999999</v>
      </c>
      <c r="G182" s="137" t="s">
        <v>335</v>
      </c>
    </row>
    <row r="183" spans="1:7" x14ac:dyDescent="0.25">
      <c r="A183" s="137" t="s">
        <v>1593</v>
      </c>
      <c r="B183" s="137" t="s">
        <v>333</v>
      </c>
      <c r="C183" s="137">
        <v>25</v>
      </c>
      <c r="D183" s="137">
        <v>4709.1243599999998</v>
      </c>
      <c r="E183" s="137">
        <v>1</v>
      </c>
      <c r="F183" s="137">
        <v>288.37044300000002</v>
      </c>
      <c r="G183" s="137" t="s">
        <v>335</v>
      </c>
    </row>
    <row r="184" spans="1:7" x14ac:dyDescent="0.25">
      <c r="A184" s="137" t="s">
        <v>1594</v>
      </c>
      <c r="B184" s="137" t="s">
        <v>333</v>
      </c>
      <c r="C184" s="137">
        <v>25</v>
      </c>
      <c r="D184" s="137">
        <v>34222.919470000001</v>
      </c>
      <c r="E184" s="137">
        <v>1</v>
      </c>
      <c r="F184" s="137">
        <v>930.84790199999998</v>
      </c>
      <c r="G184" s="137" t="s">
        <v>335</v>
      </c>
    </row>
    <row r="185" spans="1:7" x14ac:dyDescent="0.25">
      <c r="A185" s="137" t="s">
        <v>1595</v>
      </c>
      <c r="B185" s="137" t="s">
        <v>333</v>
      </c>
      <c r="C185" s="137">
        <v>25</v>
      </c>
      <c r="D185" s="137">
        <v>40587.910999</v>
      </c>
      <c r="E185" s="137">
        <v>1</v>
      </c>
      <c r="F185" s="137">
        <v>1268.115941</v>
      </c>
      <c r="G185" s="137" t="s">
        <v>335</v>
      </c>
    </row>
    <row r="186" spans="1:7" x14ac:dyDescent="0.25">
      <c r="A186" s="137" t="s">
        <v>1596</v>
      </c>
      <c r="B186" s="137" t="s">
        <v>333</v>
      </c>
      <c r="C186" s="137">
        <v>25</v>
      </c>
      <c r="D186" s="137">
        <v>49403.410735999998</v>
      </c>
      <c r="E186" s="137">
        <v>1</v>
      </c>
      <c r="F186" s="137">
        <v>2401.0174550000002</v>
      </c>
      <c r="G186" s="137" t="s">
        <v>335</v>
      </c>
    </row>
    <row r="187" spans="1:7" x14ac:dyDescent="0.25">
      <c r="A187" s="137" t="s">
        <v>1597</v>
      </c>
      <c r="B187" s="137" t="s">
        <v>333</v>
      </c>
      <c r="C187" s="137">
        <v>25</v>
      </c>
      <c r="D187" s="137">
        <v>290541.51453500002</v>
      </c>
      <c r="E187" s="137">
        <v>1</v>
      </c>
      <c r="F187" s="137">
        <v>8738.4163169999993</v>
      </c>
      <c r="G187" s="137" t="s">
        <v>335</v>
      </c>
    </row>
    <row r="188" spans="1:7" x14ac:dyDescent="0.25">
      <c r="A188" s="137" t="s">
        <v>1598</v>
      </c>
      <c r="B188" s="137" t="s">
        <v>333</v>
      </c>
      <c r="C188" s="137">
        <v>25</v>
      </c>
      <c r="D188" s="137">
        <v>375164.07777700003</v>
      </c>
      <c r="E188" s="137">
        <v>1</v>
      </c>
      <c r="F188" s="137">
        <v>18549.687988999998</v>
      </c>
      <c r="G188" s="137" t="s">
        <v>335</v>
      </c>
    </row>
    <row r="189" spans="1:7" x14ac:dyDescent="0.25">
      <c r="A189" s="137" t="s">
        <v>1599</v>
      </c>
      <c r="B189" s="137" t="s">
        <v>333</v>
      </c>
      <c r="C189" s="137">
        <v>25</v>
      </c>
      <c r="D189" s="137">
        <v>534746.13440900005</v>
      </c>
      <c r="E189" s="137">
        <v>1</v>
      </c>
      <c r="F189" s="137">
        <v>36943.852234999998</v>
      </c>
      <c r="G189" s="137" t="s">
        <v>335</v>
      </c>
    </row>
    <row r="190" spans="1:7" x14ac:dyDescent="0.25">
      <c r="A190" s="137" t="s">
        <v>1600</v>
      </c>
      <c r="B190" s="137" t="s">
        <v>333</v>
      </c>
      <c r="C190" s="137">
        <v>25</v>
      </c>
      <c r="D190" s="137">
        <v>1819715.418936</v>
      </c>
      <c r="E190" s="137">
        <v>1</v>
      </c>
      <c r="F190" s="137">
        <v>95834.158209000001</v>
      </c>
      <c r="G190" s="137" t="s">
        <v>335</v>
      </c>
    </row>
    <row r="191" spans="1:7" x14ac:dyDescent="0.25">
      <c r="A191" s="137" t="s">
        <v>1601</v>
      </c>
      <c r="B191" s="137" t="s">
        <v>333</v>
      </c>
      <c r="C191" s="137">
        <v>25</v>
      </c>
      <c r="D191" s="137">
        <v>1894837.7277480001</v>
      </c>
      <c r="E191" s="137">
        <v>1</v>
      </c>
      <c r="F191" s="137">
        <v>59050.337191999999</v>
      </c>
      <c r="G191" s="137" t="s">
        <v>335</v>
      </c>
    </row>
    <row r="192" spans="1:7" x14ac:dyDescent="0.25">
      <c r="A192" s="137" t="s">
        <v>1602</v>
      </c>
      <c r="B192" s="137" t="s">
        <v>333</v>
      </c>
      <c r="C192" s="137">
        <v>25</v>
      </c>
      <c r="D192" s="137">
        <v>2499326.5775020001</v>
      </c>
      <c r="E192" s="137">
        <v>1</v>
      </c>
      <c r="F192" s="137">
        <v>102927.68428099999</v>
      </c>
      <c r="G192" s="137" t="s">
        <v>335</v>
      </c>
    </row>
    <row r="193" spans="1:7" x14ac:dyDescent="0.25">
      <c r="A193" s="137" t="s">
        <v>1603</v>
      </c>
      <c r="B193" s="137" t="s">
        <v>333</v>
      </c>
      <c r="C193" s="137">
        <v>25</v>
      </c>
      <c r="D193" s="137">
        <v>3469183.5155270002</v>
      </c>
      <c r="E193" s="137">
        <v>1</v>
      </c>
      <c r="F193" s="137">
        <v>156742.42079199999</v>
      </c>
      <c r="G193" s="137" t="s">
        <v>335</v>
      </c>
    </row>
    <row r="194" spans="1:7" x14ac:dyDescent="0.25">
      <c r="A194" s="137" t="s">
        <v>1604</v>
      </c>
      <c r="B194" s="137" t="s">
        <v>333</v>
      </c>
      <c r="C194" s="137">
        <v>25</v>
      </c>
      <c r="D194" s="137">
        <v>3952660.065889</v>
      </c>
      <c r="E194" s="137">
        <v>1</v>
      </c>
      <c r="F194" s="137">
        <v>118321.603066</v>
      </c>
      <c r="G194" s="137" t="s">
        <v>335</v>
      </c>
    </row>
    <row r="195" spans="1:7" x14ac:dyDescent="0.25">
      <c r="A195" s="137" t="s">
        <v>1605</v>
      </c>
      <c r="B195" s="137" t="s">
        <v>333</v>
      </c>
      <c r="C195" s="137">
        <v>25</v>
      </c>
      <c r="D195" s="137">
        <v>5135325.574887</v>
      </c>
      <c r="E195" s="137">
        <v>1</v>
      </c>
      <c r="F195" s="137">
        <v>266502.781755</v>
      </c>
      <c r="G195" s="137" t="s">
        <v>335</v>
      </c>
    </row>
    <row r="197" spans="1:7" x14ac:dyDescent="0.25">
      <c r="A197" s="137" t="s">
        <v>161</v>
      </c>
    </row>
    <row r="198" spans="1:7" x14ac:dyDescent="0.25">
      <c r="A198" s="137" t="s">
        <v>2</v>
      </c>
      <c r="B198" s="137" t="s">
        <v>3</v>
      </c>
      <c r="C198" s="137" t="s">
        <v>504</v>
      </c>
      <c r="D198" s="137" t="s">
        <v>5</v>
      </c>
      <c r="E198" s="137" t="s">
        <v>1247</v>
      </c>
      <c r="F198" s="137" t="s">
        <v>505</v>
      </c>
      <c r="G198" s="137" t="s">
        <v>506</v>
      </c>
    </row>
    <row r="199" spans="1:7" x14ac:dyDescent="0.25">
      <c r="A199" s="137" t="s">
        <v>1606</v>
      </c>
      <c r="B199" s="137" t="s">
        <v>333</v>
      </c>
      <c r="C199" s="137">
        <v>25</v>
      </c>
      <c r="D199" s="137">
        <v>6192.0283840000002</v>
      </c>
      <c r="E199" s="137">
        <v>1</v>
      </c>
      <c r="F199" s="137">
        <v>319.24181199999998</v>
      </c>
      <c r="G199" s="137" t="s">
        <v>335</v>
      </c>
    </row>
    <row r="200" spans="1:7" x14ac:dyDescent="0.25">
      <c r="A200" s="137" t="s">
        <v>1607</v>
      </c>
      <c r="B200" s="137" t="s">
        <v>333</v>
      </c>
      <c r="C200" s="137">
        <v>25</v>
      </c>
      <c r="D200" s="137">
        <v>8480.1689139999999</v>
      </c>
      <c r="E200" s="137">
        <v>1</v>
      </c>
      <c r="F200" s="137">
        <v>231.83674099999999</v>
      </c>
      <c r="G200" s="137" t="s">
        <v>335</v>
      </c>
    </row>
    <row r="201" spans="1:7" x14ac:dyDescent="0.25">
      <c r="A201" s="137" t="s">
        <v>1608</v>
      </c>
      <c r="B201" s="137" t="s">
        <v>333</v>
      </c>
      <c r="C201" s="137">
        <v>25</v>
      </c>
      <c r="D201" s="137">
        <v>11011.357156</v>
      </c>
      <c r="E201" s="137">
        <v>1</v>
      </c>
      <c r="F201" s="137">
        <v>479.69233500000001</v>
      </c>
      <c r="G201" s="137" t="s">
        <v>335</v>
      </c>
    </row>
    <row r="202" spans="1:7" x14ac:dyDescent="0.25">
      <c r="A202" s="137" t="s">
        <v>1609</v>
      </c>
      <c r="B202" s="137" t="s">
        <v>333</v>
      </c>
      <c r="C202" s="137">
        <v>25</v>
      </c>
      <c r="D202" s="137">
        <v>75301.622749999995</v>
      </c>
      <c r="E202" s="137">
        <v>1</v>
      </c>
      <c r="F202" s="137">
        <v>2520.626299</v>
      </c>
      <c r="G202" s="137" t="s">
        <v>335</v>
      </c>
    </row>
    <row r="203" spans="1:7" x14ac:dyDescent="0.25">
      <c r="A203" s="137" t="s">
        <v>1610</v>
      </c>
      <c r="B203" s="137" t="s">
        <v>333</v>
      </c>
      <c r="C203" s="137">
        <v>25</v>
      </c>
      <c r="D203" s="137">
        <v>91473.917398000005</v>
      </c>
      <c r="E203" s="137">
        <v>1</v>
      </c>
      <c r="F203" s="137">
        <v>3031.8762929999998</v>
      </c>
      <c r="G203" s="137" t="s">
        <v>335</v>
      </c>
    </row>
    <row r="204" spans="1:7" x14ac:dyDescent="0.25">
      <c r="A204" s="137" t="s">
        <v>1611</v>
      </c>
      <c r="B204" s="137" t="s">
        <v>333</v>
      </c>
      <c r="C204" s="137">
        <v>25</v>
      </c>
      <c r="D204" s="137">
        <v>107022.039983</v>
      </c>
      <c r="E204" s="137">
        <v>1</v>
      </c>
      <c r="F204" s="137">
        <v>7239.7781430000005</v>
      </c>
      <c r="G204" s="137" t="s">
        <v>335</v>
      </c>
    </row>
    <row r="205" spans="1:7" x14ac:dyDescent="0.25">
      <c r="A205" s="137" t="s">
        <v>1612</v>
      </c>
      <c r="B205" s="137" t="s">
        <v>333</v>
      </c>
      <c r="C205" s="137">
        <v>25</v>
      </c>
      <c r="D205" s="137">
        <v>614537.97322199994</v>
      </c>
      <c r="E205" s="137">
        <v>1</v>
      </c>
      <c r="F205" s="137">
        <v>20037.882795000001</v>
      </c>
      <c r="G205" s="137" t="s">
        <v>335</v>
      </c>
    </row>
    <row r="206" spans="1:7" x14ac:dyDescent="0.25">
      <c r="A206" s="137" t="s">
        <v>1613</v>
      </c>
      <c r="B206" s="137" t="s">
        <v>333</v>
      </c>
      <c r="C206" s="137">
        <v>25</v>
      </c>
      <c r="D206" s="137">
        <v>843245.79326399998</v>
      </c>
      <c r="E206" s="137">
        <v>1</v>
      </c>
      <c r="F206" s="137">
        <v>37847.305272999998</v>
      </c>
      <c r="G206" s="137" t="s">
        <v>335</v>
      </c>
    </row>
    <row r="207" spans="1:7" x14ac:dyDescent="0.25">
      <c r="A207" s="137" t="s">
        <v>1614</v>
      </c>
      <c r="B207" s="137" t="s">
        <v>333</v>
      </c>
      <c r="C207" s="137">
        <v>25</v>
      </c>
      <c r="D207" s="137">
        <v>1151171.2771330001</v>
      </c>
      <c r="E207" s="137">
        <v>1</v>
      </c>
      <c r="F207" s="137">
        <v>64139.272319999996</v>
      </c>
      <c r="G207" s="137" t="s">
        <v>335</v>
      </c>
    </row>
    <row r="208" spans="1:7" x14ac:dyDescent="0.25">
      <c r="A208" s="137" t="s">
        <v>1615</v>
      </c>
      <c r="B208" s="137" t="s">
        <v>333</v>
      </c>
      <c r="C208" s="137">
        <v>25</v>
      </c>
      <c r="D208" s="137">
        <v>3427219.0556919998</v>
      </c>
      <c r="E208" s="137">
        <v>1</v>
      </c>
      <c r="F208" s="137">
        <v>113290.933473</v>
      </c>
      <c r="G208" s="137" t="s">
        <v>335</v>
      </c>
    </row>
    <row r="209" spans="1:7" x14ac:dyDescent="0.25">
      <c r="A209" s="137" t="s">
        <v>1616</v>
      </c>
      <c r="B209" s="137" t="s">
        <v>333</v>
      </c>
      <c r="C209" s="137">
        <v>25</v>
      </c>
      <c r="D209" s="137">
        <v>4403514.697811</v>
      </c>
      <c r="E209" s="137">
        <v>1</v>
      </c>
      <c r="F209" s="137">
        <v>169675.65856800001</v>
      </c>
      <c r="G209" s="137" t="s">
        <v>335</v>
      </c>
    </row>
    <row r="210" spans="1:7" x14ac:dyDescent="0.25">
      <c r="A210" s="137" t="s">
        <v>1617</v>
      </c>
      <c r="B210" s="137" t="s">
        <v>333</v>
      </c>
      <c r="C210" s="137">
        <v>25</v>
      </c>
      <c r="D210" s="137">
        <v>5887389.5657019997</v>
      </c>
      <c r="E210" s="137">
        <v>1</v>
      </c>
      <c r="F210" s="137">
        <v>450953.13955600001</v>
      </c>
      <c r="G210" s="137" t="s">
        <v>335</v>
      </c>
    </row>
    <row r="211" spans="1:7" x14ac:dyDescent="0.25">
      <c r="A211" s="137" t="s">
        <v>1618</v>
      </c>
      <c r="B211" s="137" t="s">
        <v>333</v>
      </c>
      <c r="C211" s="137">
        <v>25</v>
      </c>
      <c r="D211" s="137">
        <v>7465281.105126</v>
      </c>
      <c r="E211" s="137">
        <v>1</v>
      </c>
      <c r="F211" s="137">
        <v>273678.10507300001</v>
      </c>
      <c r="G211" s="137" t="s">
        <v>335</v>
      </c>
    </row>
    <row r="212" spans="1:7" x14ac:dyDescent="0.25">
      <c r="A212" s="137" t="s">
        <v>1619</v>
      </c>
      <c r="B212" s="137" t="s">
        <v>333</v>
      </c>
      <c r="C212" s="137">
        <v>25</v>
      </c>
      <c r="D212" s="137">
        <v>9815934.9042220004</v>
      </c>
      <c r="E212" s="137">
        <v>1</v>
      </c>
      <c r="F212" s="137">
        <v>432123.41867899999</v>
      </c>
      <c r="G212" s="137" t="s">
        <v>335</v>
      </c>
    </row>
    <row r="213" spans="1:7" x14ac:dyDescent="0.25">
      <c r="A213" s="137" t="s">
        <v>1620</v>
      </c>
      <c r="B213" s="137" t="s">
        <v>333</v>
      </c>
      <c r="C213" s="137">
        <v>25</v>
      </c>
      <c r="D213" s="137">
        <v>11558141.320506999</v>
      </c>
      <c r="E213" s="137">
        <v>1</v>
      </c>
      <c r="F213" s="137">
        <v>703050.60202300001</v>
      </c>
      <c r="G213" s="137" t="s">
        <v>335</v>
      </c>
    </row>
    <row r="215" spans="1:7" x14ac:dyDescent="0.25">
      <c r="A215" s="137" t="s">
        <v>1621</v>
      </c>
    </row>
    <row r="216" spans="1:7" x14ac:dyDescent="0.25">
      <c r="A216" s="137" t="s">
        <v>2</v>
      </c>
      <c r="B216" s="137" t="s">
        <v>3</v>
      </c>
      <c r="C216" s="137" t="s">
        <v>504</v>
      </c>
      <c r="D216" s="137" t="s">
        <v>5</v>
      </c>
      <c r="E216" s="137" t="s">
        <v>1247</v>
      </c>
      <c r="F216" s="137" t="s">
        <v>505</v>
      </c>
      <c r="G216" s="137" t="s">
        <v>506</v>
      </c>
    </row>
    <row r="217" spans="1:7" x14ac:dyDescent="0.25">
      <c r="A217" s="137" t="s">
        <v>1622</v>
      </c>
      <c r="B217" s="137" t="s">
        <v>333</v>
      </c>
      <c r="C217" s="137">
        <v>25</v>
      </c>
      <c r="D217" s="137">
        <v>4583.7006709999996</v>
      </c>
      <c r="E217" s="137">
        <v>1</v>
      </c>
      <c r="F217" s="137">
        <v>145.142842</v>
      </c>
      <c r="G217" s="137" t="s">
        <v>335</v>
      </c>
    </row>
    <row r="218" spans="1:7" x14ac:dyDescent="0.25">
      <c r="A218" s="137" t="s">
        <v>1623</v>
      </c>
      <c r="B218" s="137" t="s">
        <v>333</v>
      </c>
      <c r="C218" s="137">
        <v>25</v>
      </c>
      <c r="D218" s="137">
        <v>4704.0060320000002</v>
      </c>
      <c r="E218" s="137">
        <v>1</v>
      </c>
      <c r="F218" s="137">
        <v>166.073859</v>
      </c>
      <c r="G218" s="137" t="s">
        <v>335</v>
      </c>
    </row>
    <row r="219" spans="1:7" x14ac:dyDescent="0.25">
      <c r="A219" s="137" t="s">
        <v>1624</v>
      </c>
      <c r="B219" s="137" t="s">
        <v>333</v>
      </c>
      <c r="C219" s="137">
        <v>25</v>
      </c>
      <c r="D219" s="137">
        <v>5665.4480249999997</v>
      </c>
      <c r="E219" s="137">
        <v>1</v>
      </c>
      <c r="F219" s="137">
        <v>240.80195000000001</v>
      </c>
      <c r="G219" s="137" t="s">
        <v>335</v>
      </c>
    </row>
    <row r="220" spans="1:7" x14ac:dyDescent="0.25">
      <c r="A220" s="137" t="s">
        <v>1625</v>
      </c>
      <c r="B220" s="137" t="s">
        <v>333</v>
      </c>
      <c r="C220" s="137">
        <v>25</v>
      </c>
      <c r="D220" s="137">
        <v>60481.153313000003</v>
      </c>
      <c r="E220" s="137">
        <v>1</v>
      </c>
      <c r="F220" s="137">
        <v>2054.2571619999999</v>
      </c>
      <c r="G220" s="137" t="s">
        <v>335</v>
      </c>
    </row>
    <row r="221" spans="1:7" x14ac:dyDescent="0.25">
      <c r="A221" s="137" t="s">
        <v>1626</v>
      </c>
      <c r="B221" s="137" t="s">
        <v>333</v>
      </c>
      <c r="C221" s="137">
        <v>25</v>
      </c>
      <c r="D221" s="137">
        <v>63604.614225999998</v>
      </c>
      <c r="E221" s="137">
        <v>1</v>
      </c>
      <c r="F221" s="137">
        <v>2494.5031920000001</v>
      </c>
      <c r="G221" s="137" t="s">
        <v>335</v>
      </c>
    </row>
    <row r="222" spans="1:7" x14ac:dyDescent="0.25">
      <c r="A222" s="137" t="s">
        <v>1627</v>
      </c>
      <c r="B222" s="137" t="s">
        <v>333</v>
      </c>
      <c r="C222" s="137">
        <v>25</v>
      </c>
      <c r="D222" s="137">
        <v>76145.455593000006</v>
      </c>
      <c r="E222" s="137">
        <v>1</v>
      </c>
      <c r="F222" s="137">
        <v>4279.8435710000003</v>
      </c>
      <c r="G222" s="137" t="s">
        <v>335</v>
      </c>
    </row>
    <row r="223" spans="1:7" x14ac:dyDescent="0.25">
      <c r="A223" s="137" t="s">
        <v>1628</v>
      </c>
      <c r="B223" s="137" t="s">
        <v>333</v>
      </c>
      <c r="C223" s="137">
        <v>25</v>
      </c>
      <c r="D223" s="137">
        <v>683430.14150799997</v>
      </c>
      <c r="E223" s="137">
        <v>1</v>
      </c>
      <c r="F223" s="137">
        <v>15159.141158</v>
      </c>
      <c r="G223" s="137" t="s">
        <v>335</v>
      </c>
    </row>
    <row r="224" spans="1:7" x14ac:dyDescent="0.25">
      <c r="A224" s="137" t="s">
        <v>1629</v>
      </c>
      <c r="B224" s="137" t="s">
        <v>333</v>
      </c>
      <c r="C224" s="137">
        <v>25</v>
      </c>
      <c r="D224" s="137">
        <v>709308.18256900006</v>
      </c>
      <c r="E224" s="137">
        <v>1</v>
      </c>
      <c r="F224" s="137">
        <v>12201.653214</v>
      </c>
      <c r="G224" s="137" t="s">
        <v>335</v>
      </c>
    </row>
    <row r="225" spans="1:7" x14ac:dyDescent="0.25">
      <c r="A225" s="137" t="s">
        <v>1630</v>
      </c>
      <c r="B225" s="137" t="s">
        <v>333</v>
      </c>
      <c r="C225" s="137">
        <v>25</v>
      </c>
      <c r="D225" s="137">
        <v>798942.05297700001</v>
      </c>
      <c r="E225" s="137">
        <v>1</v>
      </c>
      <c r="F225" s="137">
        <v>24736.11505</v>
      </c>
      <c r="G225" s="137" t="s">
        <v>335</v>
      </c>
    </row>
    <row r="226" spans="1:7" x14ac:dyDescent="0.25">
      <c r="A226" s="137" t="s">
        <v>1631</v>
      </c>
      <c r="B226" s="137" t="s">
        <v>333</v>
      </c>
      <c r="C226" s="137">
        <v>25</v>
      </c>
      <c r="D226" s="137">
        <v>3752294.9114930001</v>
      </c>
      <c r="E226" s="137">
        <v>1</v>
      </c>
      <c r="F226" s="137">
        <v>86612.644050999996</v>
      </c>
      <c r="G226" s="137" t="s">
        <v>335</v>
      </c>
    </row>
    <row r="227" spans="1:7" x14ac:dyDescent="0.25">
      <c r="A227" s="137" t="s">
        <v>1632</v>
      </c>
      <c r="B227" s="137" t="s">
        <v>333</v>
      </c>
      <c r="C227" s="137">
        <v>25</v>
      </c>
      <c r="D227" s="137">
        <v>3663141.4205789999</v>
      </c>
      <c r="E227" s="137">
        <v>1</v>
      </c>
      <c r="F227" s="137">
        <v>128833.455373</v>
      </c>
      <c r="G227" s="137" t="s">
        <v>335</v>
      </c>
    </row>
    <row r="228" spans="1:7" x14ac:dyDescent="0.25">
      <c r="A228" s="137" t="s">
        <v>1633</v>
      </c>
      <c r="B228" s="137" t="s">
        <v>333</v>
      </c>
      <c r="C228" s="137">
        <v>25</v>
      </c>
      <c r="D228" s="137">
        <v>4190252.49492</v>
      </c>
      <c r="E228" s="137">
        <v>1</v>
      </c>
      <c r="F228" s="137">
        <v>228320.704562</v>
      </c>
      <c r="G228" s="137" t="s">
        <v>335</v>
      </c>
    </row>
    <row r="229" spans="1:7" x14ac:dyDescent="0.25">
      <c r="A229" s="137" t="s">
        <v>1634</v>
      </c>
      <c r="B229" s="137" t="s">
        <v>333</v>
      </c>
      <c r="C229" s="137">
        <v>25</v>
      </c>
      <c r="D229" s="137">
        <v>7073775.7116360003</v>
      </c>
      <c r="E229" s="137">
        <v>1</v>
      </c>
      <c r="F229" s="137">
        <v>219808.94323199999</v>
      </c>
      <c r="G229" s="137" t="s">
        <v>335</v>
      </c>
    </row>
    <row r="230" spans="1:7" x14ac:dyDescent="0.25">
      <c r="A230" s="137" t="s">
        <v>1635</v>
      </c>
      <c r="B230" s="137" t="s">
        <v>333</v>
      </c>
      <c r="C230" s="137">
        <v>25</v>
      </c>
      <c r="D230" s="137">
        <v>6941934.0204469999</v>
      </c>
      <c r="E230" s="137">
        <v>1</v>
      </c>
      <c r="F230" s="137">
        <v>145306.45366200001</v>
      </c>
      <c r="G230" s="137" t="s">
        <v>335</v>
      </c>
    </row>
    <row r="231" spans="1:7" x14ac:dyDescent="0.25">
      <c r="A231" s="137" t="s">
        <v>1636</v>
      </c>
      <c r="B231" s="137" t="s">
        <v>333</v>
      </c>
      <c r="C231" s="137">
        <v>25</v>
      </c>
      <c r="D231" s="137">
        <v>7963089.7926350003</v>
      </c>
      <c r="E231" s="137">
        <v>1</v>
      </c>
      <c r="F231" s="137">
        <v>315525.29300100001</v>
      </c>
      <c r="G231" s="137" t="s">
        <v>335</v>
      </c>
    </row>
    <row r="233" spans="1:7" x14ac:dyDescent="0.25">
      <c r="A233" s="137" t="s">
        <v>1243</v>
      </c>
    </row>
    <row r="234" spans="1:7" x14ac:dyDescent="0.25">
      <c r="A234" s="137" t="s">
        <v>2</v>
      </c>
      <c r="B234" s="137" t="s">
        <v>3</v>
      </c>
      <c r="C234" s="137" t="s">
        <v>504</v>
      </c>
      <c r="D234" s="137" t="s">
        <v>5</v>
      </c>
      <c r="E234" s="137" t="s">
        <v>1247</v>
      </c>
      <c r="F234" s="137" t="s">
        <v>505</v>
      </c>
      <c r="G234" s="137" t="s">
        <v>506</v>
      </c>
    </row>
    <row r="235" spans="1:7" x14ac:dyDescent="0.25">
      <c r="A235" s="137" t="s">
        <v>1637</v>
      </c>
      <c r="B235" s="137" t="s">
        <v>333</v>
      </c>
      <c r="C235" s="137">
        <v>25</v>
      </c>
      <c r="D235" s="137">
        <v>36528.462598999999</v>
      </c>
      <c r="E235" s="137">
        <v>1</v>
      </c>
      <c r="F235" s="137">
        <v>1802.9123750000001</v>
      </c>
      <c r="G235" s="137" t="s">
        <v>335</v>
      </c>
    </row>
    <row r="236" spans="1:7" x14ac:dyDescent="0.25">
      <c r="A236" s="137" t="s">
        <v>1638</v>
      </c>
      <c r="B236" s="137" t="s">
        <v>333</v>
      </c>
      <c r="C236" s="137">
        <v>25</v>
      </c>
      <c r="D236" s="137">
        <v>42645.785055</v>
      </c>
      <c r="E236" s="137">
        <v>1</v>
      </c>
      <c r="F236" s="137">
        <v>2284.8420820000001</v>
      </c>
      <c r="G236" s="137" t="s">
        <v>335</v>
      </c>
    </row>
    <row r="237" spans="1:7" x14ac:dyDescent="0.25">
      <c r="A237" s="137" t="s">
        <v>1639</v>
      </c>
      <c r="B237" s="137" t="s">
        <v>333</v>
      </c>
      <c r="C237" s="137">
        <v>25</v>
      </c>
      <c r="D237" s="137">
        <v>51804.300864999997</v>
      </c>
      <c r="E237" s="137">
        <v>1</v>
      </c>
      <c r="F237" s="137">
        <v>2233.2468060000001</v>
      </c>
      <c r="G237" s="137" t="s">
        <v>335</v>
      </c>
    </row>
    <row r="238" spans="1:7" x14ac:dyDescent="0.25">
      <c r="A238" s="137" t="s">
        <v>1640</v>
      </c>
      <c r="B238" s="137" t="s">
        <v>333</v>
      </c>
      <c r="C238" s="137">
        <v>25</v>
      </c>
      <c r="D238" s="137">
        <v>315156.47585400002</v>
      </c>
      <c r="E238" s="137">
        <v>1</v>
      </c>
      <c r="F238" s="137">
        <v>18580.874193</v>
      </c>
      <c r="G238" s="137" t="s">
        <v>335</v>
      </c>
    </row>
    <row r="239" spans="1:7" x14ac:dyDescent="0.25">
      <c r="A239" s="137" t="s">
        <v>1641</v>
      </c>
      <c r="B239" s="137" t="s">
        <v>333</v>
      </c>
      <c r="C239" s="137">
        <v>25</v>
      </c>
      <c r="D239" s="137">
        <v>339107.89250700001</v>
      </c>
      <c r="E239" s="137">
        <v>1</v>
      </c>
      <c r="F239" s="137">
        <v>9920.4744879999998</v>
      </c>
      <c r="G239" s="137" t="s">
        <v>335</v>
      </c>
    </row>
    <row r="240" spans="1:7" x14ac:dyDescent="0.25">
      <c r="A240" s="137" t="s">
        <v>1642</v>
      </c>
      <c r="B240" s="137" t="s">
        <v>333</v>
      </c>
      <c r="C240" s="137">
        <v>25</v>
      </c>
      <c r="D240" s="137">
        <v>482648.93680700002</v>
      </c>
      <c r="E240" s="137">
        <v>1</v>
      </c>
      <c r="F240" s="137">
        <v>25507.988599</v>
      </c>
      <c r="G240" s="137" t="s">
        <v>335</v>
      </c>
    </row>
    <row r="241" spans="1:7" x14ac:dyDescent="0.25">
      <c r="A241" s="137" t="s">
        <v>1643</v>
      </c>
      <c r="B241" s="137" t="s">
        <v>333</v>
      </c>
      <c r="C241" s="137">
        <v>25</v>
      </c>
      <c r="D241" s="137">
        <v>2301404.6139110001</v>
      </c>
      <c r="E241" s="137">
        <v>1</v>
      </c>
      <c r="F241" s="137">
        <v>119530.163732</v>
      </c>
      <c r="G241" s="137" t="s">
        <v>335</v>
      </c>
    </row>
    <row r="242" spans="1:7" x14ac:dyDescent="0.25">
      <c r="A242" s="137" t="s">
        <v>1644</v>
      </c>
      <c r="B242" s="137" t="s">
        <v>333</v>
      </c>
      <c r="C242" s="137">
        <v>25</v>
      </c>
      <c r="D242" s="137">
        <v>3216278.3678830001</v>
      </c>
      <c r="E242" s="137">
        <v>1</v>
      </c>
      <c r="F242" s="137">
        <v>154770.904064</v>
      </c>
      <c r="G242" s="137" t="s">
        <v>335</v>
      </c>
    </row>
    <row r="243" spans="1:7" x14ac:dyDescent="0.25">
      <c r="A243" s="137" t="s">
        <v>1645</v>
      </c>
      <c r="B243" s="137" t="s">
        <v>333</v>
      </c>
      <c r="C243" s="137">
        <v>25</v>
      </c>
      <c r="D243" s="137">
        <v>4375825.610878</v>
      </c>
      <c r="E243" s="137">
        <v>1</v>
      </c>
      <c r="F243" s="137">
        <v>195920.21854</v>
      </c>
      <c r="G243" s="137" t="s">
        <v>335</v>
      </c>
    </row>
    <row r="244" spans="1:7" x14ac:dyDescent="0.25">
      <c r="A244" s="137" t="s">
        <v>1646</v>
      </c>
      <c r="B244" s="137" t="s">
        <v>333</v>
      </c>
      <c r="C244" s="137">
        <v>25</v>
      </c>
      <c r="D244" s="137">
        <v>13968326.159274001</v>
      </c>
      <c r="E244" s="137">
        <v>1</v>
      </c>
      <c r="F244" s="137">
        <v>452519.62545300002</v>
      </c>
      <c r="G244" s="137" t="s">
        <v>335</v>
      </c>
    </row>
    <row r="245" spans="1:7" x14ac:dyDescent="0.25">
      <c r="A245" s="137" t="s">
        <v>1647</v>
      </c>
      <c r="B245" s="137" t="s">
        <v>333</v>
      </c>
      <c r="C245" s="137">
        <v>25</v>
      </c>
      <c r="D245" s="137">
        <v>14524237.144562</v>
      </c>
      <c r="E245" s="137">
        <v>1</v>
      </c>
      <c r="F245" s="137">
        <v>669210.53402200004</v>
      </c>
      <c r="G245" s="137" t="s">
        <v>335</v>
      </c>
    </row>
    <row r="246" spans="1:7" x14ac:dyDescent="0.25">
      <c r="A246" s="137" t="s">
        <v>1648</v>
      </c>
      <c r="B246" s="137" t="s">
        <v>333</v>
      </c>
      <c r="C246" s="137">
        <v>25</v>
      </c>
      <c r="D246" s="137">
        <v>19876539.762272</v>
      </c>
      <c r="E246" s="137">
        <v>1</v>
      </c>
      <c r="F246" s="137">
        <v>721885.76928500005</v>
      </c>
      <c r="G246" s="137" t="s">
        <v>335</v>
      </c>
    </row>
    <row r="247" spans="1:7" x14ac:dyDescent="0.25">
      <c r="A247" s="137" t="s">
        <v>1649</v>
      </c>
      <c r="B247" s="137" t="s">
        <v>333</v>
      </c>
      <c r="C247" s="137">
        <v>25</v>
      </c>
      <c r="D247" s="137">
        <v>34631256.343249999</v>
      </c>
      <c r="E247" s="137">
        <v>1</v>
      </c>
      <c r="F247" s="137">
        <v>1536048.7855509999</v>
      </c>
      <c r="G247" s="137" t="s">
        <v>335</v>
      </c>
    </row>
    <row r="248" spans="1:7" x14ac:dyDescent="0.25">
      <c r="A248" s="137" t="s">
        <v>1650</v>
      </c>
      <c r="B248" s="137" t="s">
        <v>333</v>
      </c>
      <c r="C248" s="137">
        <v>25</v>
      </c>
      <c r="D248" s="137">
        <v>28660046.979554001</v>
      </c>
      <c r="E248" s="137">
        <v>1</v>
      </c>
      <c r="F248" s="137">
        <v>1246684.64708</v>
      </c>
      <c r="G248" s="137" t="s">
        <v>335</v>
      </c>
    </row>
    <row r="249" spans="1:7" x14ac:dyDescent="0.25">
      <c r="A249" s="137" t="s">
        <v>1651</v>
      </c>
      <c r="B249" s="137" t="s">
        <v>333</v>
      </c>
      <c r="C249" s="137">
        <v>25</v>
      </c>
      <c r="D249" s="137">
        <v>41507354.523346998</v>
      </c>
      <c r="E249" s="137">
        <v>1</v>
      </c>
      <c r="F249" s="137">
        <v>1614464.4419209999</v>
      </c>
      <c r="G249" s="137" t="s">
        <v>335</v>
      </c>
    </row>
    <row r="251" spans="1:7" x14ac:dyDescent="0.25">
      <c r="A251" s="137" t="s">
        <v>964</v>
      </c>
    </row>
    <row r="252" spans="1:7" x14ac:dyDescent="0.25">
      <c r="A252" s="137" t="s">
        <v>2</v>
      </c>
      <c r="B252" s="137" t="s">
        <v>3</v>
      </c>
      <c r="C252" s="137" t="s">
        <v>504</v>
      </c>
      <c r="D252" s="137" t="s">
        <v>5</v>
      </c>
      <c r="E252" s="137" t="s">
        <v>1247</v>
      </c>
      <c r="F252" s="137" t="s">
        <v>505</v>
      </c>
      <c r="G252" s="137" t="s">
        <v>506</v>
      </c>
    </row>
    <row r="253" spans="1:7" x14ac:dyDescent="0.25">
      <c r="A253" s="137" t="s">
        <v>1652</v>
      </c>
      <c r="B253" s="137" t="s">
        <v>333</v>
      </c>
      <c r="C253" s="137">
        <v>25</v>
      </c>
      <c r="D253" s="137">
        <v>3587.3546299999998</v>
      </c>
      <c r="E253" s="137">
        <v>1</v>
      </c>
      <c r="F253" s="137">
        <v>84.059768000000005</v>
      </c>
      <c r="G253" s="137" t="s">
        <v>335</v>
      </c>
    </row>
    <row r="254" spans="1:7" x14ac:dyDescent="0.25">
      <c r="A254" s="137" t="s">
        <v>1653</v>
      </c>
      <c r="B254" s="137" t="s">
        <v>333</v>
      </c>
      <c r="C254" s="137">
        <v>25</v>
      </c>
      <c r="D254" s="137">
        <v>4435.8320439999998</v>
      </c>
      <c r="E254" s="137">
        <v>1</v>
      </c>
      <c r="F254" s="137">
        <v>126.176666</v>
      </c>
      <c r="G254" s="137" t="s">
        <v>335</v>
      </c>
    </row>
    <row r="255" spans="1:7" x14ac:dyDescent="0.25">
      <c r="A255" s="137" t="s">
        <v>1654</v>
      </c>
      <c r="B255" s="137" t="s">
        <v>333</v>
      </c>
      <c r="C255" s="137">
        <v>25</v>
      </c>
      <c r="D255" s="137">
        <v>4192.9931420000003</v>
      </c>
      <c r="E255" s="137">
        <v>1</v>
      </c>
      <c r="F255" s="137">
        <v>204.40169499999999</v>
      </c>
      <c r="G255" s="137" t="s">
        <v>335</v>
      </c>
    </row>
    <row r="256" spans="1:7" x14ac:dyDescent="0.25">
      <c r="A256" s="137" t="s">
        <v>1655</v>
      </c>
      <c r="B256" s="137" t="s">
        <v>333</v>
      </c>
      <c r="C256" s="137">
        <v>25</v>
      </c>
      <c r="D256" s="137">
        <v>99869.503502000007</v>
      </c>
      <c r="E256" s="137">
        <v>1</v>
      </c>
      <c r="F256" s="137">
        <v>2050.4135879999999</v>
      </c>
      <c r="G256" s="137" t="s">
        <v>335</v>
      </c>
    </row>
    <row r="257" spans="1:7" x14ac:dyDescent="0.25">
      <c r="A257" s="137" t="s">
        <v>1656</v>
      </c>
      <c r="B257" s="137" t="s">
        <v>333</v>
      </c>
      <c r="C257" s="137">
        <v>25</v>
      </c>
      <c r="D257" s="137">
        <v>107220.26710899999</v>
      </c>
      <c r="E257" s="137">
        <v>1</v>
      </c>
      <c r="F257" s="137">
        <v>2238.6516459999998</v>
      </c>
      <c r="G257" s="137" t="s">
        <v>335</v>
      </c>
    </row>
    <row r="258" spans="1:7" x14ac:dyDescent="0.25">
      <c r="A258" s="137" t="s">
        <v>1657</v>
      </c>
      <c r="B258" s="137" t="s">
        <v>333</v>
      </c>
      <c r="C258" s="137">
        <v>25</v>
      </c>
      <c r="D258" s="137">
        <v>105528.140273</v>
      </c>
      <c r="E258" s="137">
        <v>1</v>
      </c>
      <c r="F258" s="137">
        <v>3867.595828</v>
      </c>
      <c r="G258" s="137" t="s">
        <v>335</v>
      </c>
    </row>
    <row r="259" spans="1:7" x14ac:dyDescent="0.25">
      <c r="A259" s="137" t="s">
        <v>1658</v>
      </c>
      <c r="B259" s="137" t="s">
        <v>333</v>
      </c>
      <c r="C259" s="137">
        <v>25</v>
      </c>
      <c r="D259" s="137">
        <v>1426413.2983880001</v>
      </c>
      <c r="E259" s="137">
        <v>1</v>
      </c>
      <c r="F259" s="137">
        <v>22985.165185999998</v>
      </c>
      <c r="G259" s="137" t="s">
        <v>335</v>
      </c>
    </row>
    <row r="260" spans="1:7" x14ac:dyDescent="0.25">
      <c r="A260" s="137" t="s">
        <v>1659</v>
      </c>
      <c r="B260" s="137" t="s">
        <v>333</v>
      </c>
      <c r="C260" s="137">
        <v>25</v>
      </c>
      <c r="D260" s="137">
        <v>1475388.6059910001</v>
      </c>
      <c r="E260" s="137">
        <v>1</v>
      </c>
      <c r="F260" s="137">
        <v>32130.876527</v>
      </c>
      <c r="G260" s="137" t="s">
        <v>335</v>
      </c>
    </row>
    <row r="261" spans="1:7" x14ac:dyDescent="0.25">
      <c r="A261" s="137" t="s">
        <v>1660</v>
      </c>
      <c r="B261" s="137" t="s">
        <v>333</v>
      </c>
      <c r="C261" s="137">
        <v>25</v>
      </c>
      <c r="D261" s="137">
        <v>1465024.188445</v>
      </c>
      <c r="E261" s="137">
        <v>1</v>
      </c>
      <c r="F261" s="137">
        <v>45425.392746999998</v>
      </c>
      <c r="G261" s="137" t="s">
        <v>335</v>
      </c>
    </row>
    <row r="262" spans="1:7" x14ac:dyDescent="0.25">
      <c r="A262" s="137" t="s">
        <v>1661</v>
      </c>
      <c r="B262" s="137" t="s">
        <v>333</v>
      </c>
      <c r="C262" s="137">
        <v>25</v>
      </c>
      <c r="D262" s="137">
        <v>8930319.4974990003</v>
      </c>
      <c r="E262" s="137">
        <v>1</v>
      </c>
      <c r="F262" s="137">
        <v>305523.49387499999</v>
      </c>
      <c r="G262" s="137" t="s">
        <v>335</v>
      </c>
    </row>
    <row r="263" spans="1:7" x14ac:dyDescent="0.25">
      <c r="A263" s="137" t="s">
        <v>1662</v>
      </c>
      <c r="B263" s="137" t="s">
        <v>333</v>
      </c>
      <c r="C263" s="137">
        <v>25</v>
      </c>
      <c r="D263" s="137">
        <v>9252358.1879019998</v>
      </c>
      <c r="E263" s="137">
        <v>1</v>
      </c>
      <c r="F263" s="137">
        <v>255089.541463</v>
      </c>
      <c r="G263" s="137" t="s">
        <v>335</v>
      </c>
    </row>
    <row r="264" spans="1:7" x14ac:dyDescent="0.25">
      <c r="A264" s="137" t="s">
        <v>1663</v>
      </c>
      <c r="B264" s="137" t="s">
        <v>333</v>
      </c>
      <c r="C264" s="137">
        <v>25</v>
      </c>
      <c r="D264" s="137">
        <v>9079943.5233009998</v>
      </c>
      <c r="E264" s="137">
        <v>1</v>
      </c>
      <c r="F264" s="137">
        <v>231279.2335</v>
      </c>
      <c r="G264" s="137" t="s">
        <v>335</v>
      </c>
    </row>
    <row r="265" spans="1:7" x14ac:dyDescent="0.25">
      <c r="A265" s="137" t="s">
        <v>1664</v>
      </c>
      <c r="B265" s="137" t="s">
        <v>333</v>
      </c>
      <c r="C265" s="137">
        <v>25</v>
      </c>
      <c r="D265" s="137">
        <v>19779983.017597999</v>
      </c>
      <c r="E265" s="137">
        <v>1</v>
      </c>
      <c r="F265" s="137">
        <v>448433.93275600002</v>
      </c>
      <c r="G265" s="137" t="s">
        <v>335</v>
      </c>
    </row>
    <row r="266" spans="1:7" x14ac:dyDescent="0.25">
      <c r="A266" s="137" t="s">
        <v>1665</v>
      </c>
      <c r="B266" s="137" t="s">
        <v>333</v>
      </c>
      <c r="C266" s="137">
        <v>25</v>
      </c>
      <c r="D266" s="137">
        <v>20143320.993795</v>
      </c>
      <c r="E266" s="137">
        <v>1</v>
      </c>
      <c r="F266" s="137">
        <v>520621.288007</v>
      </c>
      <c r="G266" s="137" t="s">
        <v>335</v>
      </c>
    </row>
    <row r="267" spans="1:7" x14ac:dyDescent="0.25">
      <c r="A267" s="137" t="s">
        <v>1666</v>
      </c>
      <c r="B267" s="137" t="s">
        <v>333</v>
      </c>
      <c r="C267" s="137">
        <v>25</v>
      </c>
      <c r="D267" s="137">
        <v>21534010.718940999</v>
      </c>
      <c r="E267" s="137">
        <v>1</v>
      </c>
      <c r="F267" s="137">
        <v>979292.18402599997</v>
      </c>
      <c r="G267" s="137" t="s">
        <v>335</v>
      </c>
    </row>
    <row r="269" spans="1:7" x14ac:dyDescent="0.25">
      <c r="A269" s="137" t="s">
        <v>980</v>
      </c>
    </row>
    <row r="270" spans="1:7" x14ac:dyDescent="0.25">
      <c r="A270" s="137" t="s">
        <v>2</v>
      </c>
      <c r="B270" s="137" t="s">
        <v>3</v>
      </c>
      <c r="C270" s="137" t="s">
        <v>504</v>
      </c>
      <c r="D270" s="137" t="s">
        <v>5</v>
      </c>
      <c r="E270" s="137" t="s">
        <v>1247</v>
      </c>
      <c r="F270" s="137" t="s">
        <v>505</v>
      </c>
      <c r="G270" s="137" t="s">
        <v>506</v>
      </c>
    </row>
    <row r="271" spans="1:7" x14ac:dyDescent="0.25">
      <c r="A271" s="137" t="s">
        <v>1667</v>
      </c>
      <c r="B271" s="137" t="s">
        <v>333</v>
      </c>
      <c r="C271" s="137">
        <v>25</v>
      </c>
      <c r="D271" s="137">
        <v>94.691739999999996</v>
      </c>
      <c r="E271" s="137">
        <v>1</v>
      </c>
      <c r="F271" s="137">
        <v>4.8964109999999996</v>
      </c>
      <c r="G271" s="137" t="s">
        <v>335</v>
      </c>
    </row>
    <row r="272" spans="1:7" x14ac:dyDescent="0.25">
      <c r="A272" s="137" t="s">
        <v>1668</v>
      </c>
      <c r="B272" s="137" t="s">
        <v>333</v>
      </c>
      <c r="C272" s="137">
        <v>25</v>
      </c>
      <c r="D272" s="137">
        <v>26.39415</v>
      </c>
      <c r="E272" s="137">
        <v>1</v>
      </c>
      <c r="F272" s="137">
        <v>1.0191049999999999</v>
      </c>
      <c r="G272" s="137" t="s">
        <v>335</v>
      </c>
    </row>
    <row r="273" spans="1:7" x14ac:dyDescent="0.25">
      <c r="A273" s="137" t="s">
        <v>1669</v>
      </c>
      <c r="B273" s="137" t="s">
        <v>333</v>
      </c>
      <c r="C273" s="137">
        <v>25</v>
      </c>
      <c r="D273" s="137">
        <v>78.557895000000002</v>
      </c>
      <c r="E273" s="137">
        <v>1</v>
      </c>
      <c r="F273" s="137">
        <v>2.0661339999999999</v>
      </c>
      <c r="G273" s="137" t="s">
        <v>335</v>
      </c>
    </row>
    <row r="274" spans="1:7" x14ac:dyDescent="0.25">
      <c r="A274" s="137" t="s">
        <v>1670</v>
      </c>
      <c r="B274" s="137" t="s">
        <v>333</v>
      </c>
      <c r="C274" s="137">
        <v>25</v>
      </c>
      <c r="D274" s="137">
        <v>750.27970400000004</v>
      </c>
      <c r="E274" s="137">
        <v>1</v>
      </c>
      <c r="F274" s="137">
        <v>31.651865999999998</v>
      </c>
      <c r="G274" s="137" t="s">
        <v>335</v>
      </c>
    </row>
    <row r="275" spans="1:7" x14ac:dyDescent="0.25">
      <c r="A275" s="137" t="s">
        <v>1671</v>
      </c>
      <c r="B275" s="137" t="s">
        <v>333</v>
      </c>
      <c r="C275" s="137">
        <v>25</v>
      </c>
      <c r="D275" s="137">
        <v>120.90795300000001</v>
      </c>
      <c r="E275" s="137">
        <v>1</v>
      </c>
      <c r="F275" s="137">
        <v>5.1506790000000002</v>
      </c>
      <c r="G275" s="137" t="s">
        <v>335</v>
      </c>
    </row>
    <row r="276" spans="1:7" x14ac:dyDescent="0.25">
      <c r="A276" s="137" t="s">
        <v>1672</v>
      </c>
      <c r="B276" s="137" t="s">
        <v>333</v>
      </c>
      <c r="C276" s="137">
        <v>25</v>
      </c>
      <c r="D276" s="137">
        <v>299.57829099999998</v>
      </c>
      <c r="E276" s="137">
        <v>1</v>
      </c>
      <c r="F276" s="137">
        <v>8.6506989999999995</v>
      </c>
      <c r="G276" s="137" t="s">
        <v>335</v>
      </c>
    </row>
    <row r="277" spans="1:7" x14ac:dyDescent="0.25">
      <c r="A277" s="137" t="s">
        <v>1673</v>
      </c>
      <c r="B277" s="137" t="s">
        <v>333</v>
      </c>
      <c r="C277" s="137">
        <v>25</v>
      </c>
      <c r="D277" s="137">
        <v>8014.1822279999997</v>
      </c>
      <c r="E277" s="137">
        <v>1</v>
      </c>
      <c r="F277" s="137">
        <v>392.63815199999999</v>
      </c>
      <c r="G277" s="137" t="s">
        <v>335</v>
      </c>
    </row>
    <row r="278" spans="1:7" x14ac:dyDescent="0.25">
      <c r="A278" s="137" t="s">
        <v>1674</v>
      </c>
      <c r="B278" s="137" t="s">
        <v>333</v>
      </c>
      <c r="C278" s="137">
        <v>25</v>
      </c>
      <c r="D278" s="137">
        <v>1822.9973199999999</v>
      </c>
      <c r="E278" s="137">
        <v>1</v>
      </c>
      <c r="F278" s="137">
        <v>53.457692000000002</v>
      </c>
      <c r="G278" s="137" t="s">
        <v>335</v>
      </c>
    </row>
    <row r="279" spans="1:7" x14ac:dyDescent="0.25">
      <c r="A279" s="137" t="s">
        <v>1675</v>
      </c>
      <c r="B279" s="137" t="s">
        <v>333</v>
      </c>
      <c r="C279" s="137">
        <v>25</v>
      </c>
      <c r="D279" s="137">
        <v>2847.8743030000001</v>
      </c>
      <c r="E279" s="137">
        <v>1</v>
      </c>
      <c r="F279" s="137">
        <v>163.28711200000001</v>
      </c>
      <c r="G279" s="137" t="s">
        <v>335</v>
      </c>
    </row>
    <row r="280" spans="1:7" x14ac:dyDescent="0.25">
      <c r="A280" s="137" t="s">
        <v>1676</v>
      </c>
      <c r="B280" s="137" t="s">
        <v>333</v>
      </c>
      <c r="C280" s="137">
        <v>25</v>
      </c>
      <c r="D280" s="137">
        <v>40953.883496000002</v>
      </c>
      <c r="E280" s="137">
        <v>1</v>
      </c>
      <c r="F280" s="137">
        <v>2059.9867389999999</v>
      </c>
      <c r="G280" s="137" t="s">
        <v>335</v>
      </c>
    </row>
    <row r="281" spans="1:7" x14ac:dyDescent="0.25">
      <c r="A281" s="137" t="s">
        <v>1677</v>
      </c>
      <c r="B281" s="137" t="s">
        <v>333</v>
      </c>
      <c r="C281" s="137">
        <v>25</v>
      </c>
      <c r="D281" s="137">
        <v>9518.1816579999995</v>
      </c>
      <c r="E281" s="137">
        <v>1</v>
      </c>
      <c r="F281" s="137">
        <v>326.72772700000002</v>
      </c>
      <c r="G281" s="137" t="s">
        <v>335</v>
      </c>
    </row>
    <row r="282" spans="1:7" x14ac:dyDescent="0.25">
      <c r="A282" s="137" t="s">
        <v>1678</v>
      </c>
      <c r="B282" s="137" t="s">
        <v>333</v>
      </c>
      <c r="C282" s="137">
        <v>25</v>
      </c>
      <c r="D282" s="137">
        <v>13470.414881999999</v>
      </c>
      <c r="E282" s="137">
        <v>1</v>
      </c>
      <c r="F282" s="137">
        <v>703.67403899999999</v>
      </c>
      <c r="G282" s="137" t="s">
        <v>335</v>
      </c>
    </row>
    <row r="283" spans="1:7" x14ac:dyDescent="0.25">
      <c r="A283" s="137" t="s">
        <v>1679</v>
      </c>
      <c r="B283" s="137" t="s">
        <v>333</v>
      </c>
      <c r="C283" s="137">
        <v>25</v>
      </c>
      <c r="D283" s="137">
        <v>72697.060511999996</v>
      </c>
      <c r="E283" s="137">
        <v>1</v>
      </c>
      <c r="F283" s="137">
        <v>1369.660333</v>
      </c>
      <c r="G283" s="137" t="s">
        <v>335</v>
      </c>
    </row>
    <row r="284" spans="1:7" x14ac:dyDescent="0.25">
      <c r="A284" s="137" t="s">
        <v>1680</v>
      </c>
      <c r="B284" s="137" t="s">
        <v>333</v>
      </c>
      <c r="C284" s="137">
        <v>25</v>
      </c>
      <c r="D284" s="137">
        <v>20985.081290999999</v>
      </c>
      <c r="E284" s="137">
        <v>1</v>
      </c>
      <c r="F284" s="137">
        <v>548.79671599999995</v>
      </c>
      <c r="G284" s="137" t="s">
        <v>335</v>
      </c>
    </row>
    <row r="285" spans="1:7" x14ac:dyDescent="0.25">
      <c r="A285" s="137" t="s">
        <v>1681</v>
      </c>
      <c r="B285" s="137" t="s">
        <v>333</v>
      </c>
      <c r="C285" s="137">
        <v>25</v>
      </c>
      <c r="D285" s="137">
        <v>26486.835672000001</v>
      </c>
      <c r="E285" s="137">
        <v>1</v>
      </c>
      <c r="F285" s="137">
        <v>1261.0157380000001</v>
      </c>
      <c r="G285" s="137" t="s">
        <v>335</v>
      </c>
    </row>
    <row r="287" spans="1:7" x14ac:dyDescent="0.25">
      <c r="A287" s="137" t="s">
        <v>1203</v>
      </c>
    </row>
    <row r="288" spans="1:7" x14ac:dyDescent="0.25">
      <c r="A288" s="137" t="s">
        <v>2</v>
      </c>
      <c r="B288" s="137" t="s">
        <v>3</v>
      </c>
      <c r="C288" s="137" t="s">
        <v>504</v>
      </c>
      <c r="D288" s="137" t="s">
        <v>5</v>
      </c>
      <c r="E288" s="137" t="s">
        <v>1247</v>
      </c>
      <c r="F288" s="137" t="s">
        <v>505</v>
      </c>
      <c r="G288" s="137" t="s">
        <v>506</v>
      </c>
    </row>
    <row r="289" spans="1:7" x14ac:dyDescent="0.25">
      <c r="A289" s="137" t="s">
        <v>1249</v>
      </c>
      <c r="B289" s="137" t="s">
        <v>333</v>
      </c>
      <c r="C289" s="137">
        <v>10</v>
      </c>
      <c r="D289" s="137">
        <v>100908.727447</v>
      </c>
      <c r="E289" s="137">
        <v>1</v>
      </c>
      <c r="F289" s="137">
        <v>5071.0229090000003</v>
      </c>
      <c r="G289" s="137" t="s">
        <v>335</v>
      </c>
    </row>
    <row r="290" spans="1:7" x14ac:dyDescent="0.25">
      <c r="A290" s="137" t="s">
        <v>1250</v>
      </c>
      <c r="B290" s="137" t="s">
        <v>333</v>
      </c>
      <c r="C290" s="137">
        <v>10</v>
      </c>
      <c r="D290" s="137">
        <v>23115.282655999999</v>
      </c>
      <c r="E290" s="137">
        <v>1</v>
      </c>
      <c r="F290" s="137">
        <v>1124.226361</v>
      </c>
      <c r="G290" s="137" t="s">
        <v>335</v>
      </c>
    </row>
    <row r="291" spans="1:7" x14ac:dyDescent="0.25">
      <c r="A291" s="137" t="s">
        <v>1251</v>
      </c>
      <c r="B291" s="137" t="s">
        <v>333</v>
      </c>
      <c r="C291" s="137">
        <v>10</v>
      </c>
      <c r="D291" s="137">
        <v>12788.527934</v>
      </c>
      <c r="E291" s="137">
        <v>1</v>
      </c>
      <c r="F291" s="137">
        <v>584.65571799999998</v>
      </c>
      <c r="G291" s="137" t="s">
        <v>335</v>
      </c>
    </row>
    <row r="292" spans="1:7" x14ac:dyDescent="0.25">
      <c r="A292" s="137" t="s">
        <v>1252</v>
      </c>
      <c r="B292" s="137" t="s">
        <v>333</v>
      </c>
      <c r="C292" s="137">
        <v>10</v>
      </c>
      <c r="D292" s="137">
        <v>175267.402673</v>
      </c>
      <c r="E292" s="137">
        <v>1</v>
      </c>
      <c r="F292" s="137">
        <v>12940.997373</v>
      </c>
      <c r="G292" s="137" t="s">
        <v>335</v>
      </c>
    </row>
    <row r="293" spans="1:7" x14ac:dyDescent="0.25">
      <c r="A293" s="137" t="s">
        <v>1253</v>
      </c>
      <c r="B293" s="137" t="s">
        <v>333</v>
      </c>
      <c r="C293" s="137">
        <v>10</v>
      </c>
      <c r="D293" s="137">
        <v>196165.329214</v>
      </c>
      <c r="E293" s="137">
        <v>1</v>
      </c>
      <c r="F293" s="137">
        <v>19738.531143</v>
      </c>
      <c r="G293" s="137" t="s">
        <v>335</v>
      </c>
    </row>
    <row r="294" spans="1:7" x14ac:dyDescent="0.25">
      <c r="A294" s="137" t="s">
        <v>1254</v>
      </c>
      <c r="B294" s="137" t="s">
        <v>333</v>
      </c>
      <c r="C294" s="137">
        <v>10</v>
      </c>
      <c r="D294" s="137">
        <v>79589.171715000004</v>
      </c>
      <c r="E294" s="137">
        <v>1</v>
      </c>
      <c r="F294" s="137">
        <v>5036.2682519999998</v>
      </c>
      <c r="G294" s="137" t="s">
        <v>335</v>
      </c>
    </row>
    <row r="295" spans="1:7" x14ac:dyDescent="0.25">
      <c r="A295" s="137" t="s">
        <v>1255</v>
      </c>
      <c r="B295" s="137" t="s">
        <v>333</v>
      </c>
      <c r="C295" s="137">
        <v>10</v>
      </c>
      <c r="D295" s="137">
        <v>243992.252125</v>
      </c>
      <c r="E295" s="137">
        <v>1</v>
      </c>
      <c r="F295" s="137">
        <v>14460.308805999999</v>
      </c>
      <c r="G295" s="137" t="s">
        <v>335</v>
      </c>
    </row>
    <row r="296" spans="1:7" x14ac:dyDescent="0.25">
      <c r="A296" s="137" t="s">
        <v>1256</v>
      </c>
      <c r="B296" s="137" t="s">
        <v>333</v>
      </c>
      <c r="C296" s="137">
        <v>10</v>
      </c>
      <c r="D296" s="137">
        <v>396358.796439</v>
      </c>
      <c r="E296" s="137">
        <v>1</v>
      </c>
      <c r="F296" s="137">
        <v>50816.662357000001</v>
      </c>
      <c r="G296" s="137" t="s">
        <v>335</v>
      </c>
    </row>
    <row r="297" spans="1:7" x14ac:dyDescent="0.25">
      <c r="A297" s="137" t="s">
        <v>1257</v>
      </c>
      <c r="B297" s="137" t="s">
        <v>333</v>
      </c>
      <c r="C297" s="137">
        <v>10</v>
      </c>
      <c r="D297" s="137">
        <v>218262.83951200001</v>
      </c>
      <c r="E297" s="137">
        <v>1</v>
      </c>
      <c r="F297" s="137">
        <v>10152.917520999999</v>
      </c>
      <c r="G297" s="137" t="s">
        <v>335</v>
      </c>
    </row>
    <row r="298" spans="1:7" x14ac:dyDescent="0.25">
      <c r="A298" s="137" t="s">
        <v>1258</v>
      </c>
      <c r="B298" s="137" t="s">
        <v>333</v>
      </c>
      <c r="C298" s="137">
        <v>10</v>
      </c>
      <c r="D298" s="137">
        <v>430436.276664</v>
      </c>
      <c r="E298" s="137">
        <v>1</v>
      </c>
      <c r="F298" s="137">
        <v>26272.255968000001</v>
      </c>
      <c r="G298" s="137" t="s">
        <v>335</v>
      </c>
    </row>
    <row r="299" spans="1:7" x14ac:dyDescent="0.25">
      <c r="A299" s="137" t="s">
        <v>1259</v>
      </c>
      <c r="B299" s="137" t="s">
        <v>333</v>
      </c>
      <c r="C299" s="137">
        <v>10</v>
      </c>
      <c r="D299" s="137">
        <v>663841.06513100001</v>
      </c>
      <c r="E299" s="137">
        <v>1</v>
      </c>
      <c r="F299" s="137">
        <v>57562.792814</v>
      </c>
      <c r="G299" s="137" t="s">
        <v>335</v>
      </c>
    </row>
    <row r="300" spans="1:7" x14ac:dyDescent="0.25">
      <c r="A300" s="137" t="s">
        <v>1260</v>
      </c>
      <c r="B300" s="137" t="s">
        <v>333</v>
      </c>
      <c r="C300" s="137">
        <v>10</v>
      </c>
      <c r="D300" s="137">
        <v>387406.67086800002</v>
      </c>
      <c r="E300" s="137">
        <v>1</v>
      </c>
      <c r="F300" s="137">
        <v>44648.557991000001</v>
      </c>
      <c r="G300" s="137" t="s">
        <v>335</v>
      </c>
    </row>
    <row r="301" spans="1:7" x14ac:dyDescent="0.25">
      <c r="A301" s="137" t="s">
        <v>1261</v>
      </c>
      <c r="B301" s="137" t="s">
        <v>333</v>
      </c>
      <c r="C301" s="137">
        <v>10</v>
      </c>
      <c r="D301" s="137">
        <v>824413.67684800003</v>
      </c>
      <c r="E301" s="137">
        <v>1</v>
      </c>
      <c r="F301" s="137">
        <v>49125.105359000001</v>
      </c>
      <c r="G301" s="137" t="s">
        <v>335</v>
      </c>
    </row>
    <row r="302" spans="1:7" x14ac:dyDescent="0.25">
      <c r="A302" s="137" t="s">
        <v>1262</v>
      </c>
      <c r="B302" s="137" t="s">
        <v>333</v>
      </c>
      <c r="C302" s="137">
        <v>10</v>
      </c>
      <c r="D302" s="137">
        <v>1310796.8150760001</v>
      </c>
      <c r="E302" s="137">
        <v>1</v>
      </c>
      <c r="F302" s="137">
        <v>69093.491368999996</v>
      </c>
      <c r="G302" s="137" t="s">
        <v>335</v>
      </c>
    </row>
    <row r="303" spans="1:7" x14ac:dyDescent="0.25">
      <c r="A303" s="137" t="s">
        <v>1263</v>
      </c>
      <c r="B303" s="137" t="s">
        <v>333</v>
      </c>
      <c r="C303" s="137">
        <v>10</v>
      </c>
      <c r="D303" s="137">
        <v>816782.00971400004</v>
      </c>
      <c r="E303" s="137">
        <v>1</v>
      </c>
      <c r="F303" s="137">
        <v>82649.383757000003</v>
      </c>
      <c r="G303" s="137" t="s">
        <v>335</v>
      </c>
    </row>
    <row r="304" spans="1:7" x14ac:dyDescent="0.25">
      <c r="A304" s="137" t="s">
        <v>1264</v>
      </c>
      <c r="B304" s="137" t="s">
        <v>333</v>
      </c>
      <c r="C304" s="137">
        <v>10</v>
      </c>
      <c r="D304" s="137">
        <v>2601809.524466</v>
      </c>
      <c r="E304" s="137">
        <v>1</v>
      </c>
      <c r="F304" s="137">
        <v>517238.92907800002</v>
      </c>
      <c r="G304" s="137" t="s">
        <v>335</v>
      </c>
    </row>
    <row r="305" spans="1:7" x14ac:dyDescent="0.25">
      <c r="A305" s="137" t="s">
        <v>1265</v>
      </c>
      <c r="B305" s="137" t="s">
        <v>333</v>
      </c>
      <c r="C305" s="137">
        <v>10</v>
      </c>
      <c r="D305" s="137">
        <v>2811449.8762849998</v>
      </c>
      <c r="E305" s="137">
        <v>1</v>
      </c>
      <c r="F305" s="137">
        <v>267983.59456499998</v>
      </c>
      <c r="G305" s="137" t="s">
        <v>335</v>
      </c>
    </row>
    <row r="306" spans="1:7" x14ac:dyDescent="0.25">
      <c r="A306" s="137" t="s">
        <v>1266</v>
      </c>
      <c r="B306" s="137" t="s">
        <v>333</v>
      </c>
      <c r="C306" s="137">
        <v>10</v>
      </c>
      <c r="D306" s="137">
        <v>1483218.223738</v>
      </c>
      <c r="E306" s="137">
        <v>1</v>
      </c>
      <c r="F306" s="137">
        <v>114224.17943</v>
      </c>
      <c r="G306" s="137" t="s">
        <v>335</v>
      </c>
    </row>
    <row r="307" spans="1:7" x14ac:dyDescent="0.25">
      <c r="A307" s="137" t="s">
        <v>1267</v>
      </c>
      <c r="B307" s="137" t="s">
        <v>333</v>
      </c>
      <c r="C307" s="137">
        <v>10</v>
      </c>
      <c r="D307" s="137">
        <v>5130262.2180380002</v>
      </c>
      <c r="E307" s="137">
        <v>1</v>
      </c>
      <c r="F307" s="137">
        <v>477861.58741600002</v>
      </c>
      <c r="G307" s="137" t="s">
        <v>335</v>
      </c>
    </row>
    <row r="308" spans="1:7" x14ac:dyDescent="0.25">
      <c r="A308" s="137" t="s">
        <v>1268</v>
      </c>
      <c r="B308" s="137" t="s">
        <v>333</v>
      </c>
      <c r="C308" s="137">
        <v>10</v>
      </c>
      <c r="D308" s="137">
        <v>3694294.2495129998</v>
      </c>
      <c r="E308" s="137">
        <v>1</v>
      </c>
      <c r="F308" s="137">
        <v>574153.62303799996</v>
      </c>
      <c r="G308" s="137" t="s">
        <v>335</v>
      </c>
    </row>
    <row r="309" spans="1:7" x14ac:dyDescent="0.25">
      <c r="A309" s="137" t="s">
        <v>1269</v>
      </c>
      <c r="B309" s="137" t="s">
        <v>333</v>
      </c>
      <c r="C309" s="137">
        <v>10</v>
      </c>
      <c r="D309" s="137">
        <v>2071302.509291</v>
      </c>
      <c r="E309" s="137">
        <v>1</v>
      </c>
      <c r="F309" s="137">
        <v>142745.15674800001</v>
      </c>
      <c r="G309" s="137" t="s">
        <v>335</v>
      </c>
    </row>
    <row r="310" spans="1:7" x14ac:dyDescent="0.25">
      <c r="A310" s="137" t="s">
        <v>1270</v>
      </c>
      <c r="B310" s="137" t="s">
        <v>333</v>
      </c>
      <c r="C310" s="137">
        <v>10</v>
      </c>
      <c r="D310" s="137">
        <v>9297884.5174180008</v>
      </c>
      <c r="E310" s="137">
        <v>1</v>
      </c>
      <c r="F310" s="137">
        <v>603603.03210499999</v>
      </c>
      <c r="G310" s="137" t="s">
        <v>335</v>
      </c>
    </row>
    <row r="311" spans="1:7" x14ac:dyDescent="0.25">
      <c r="A311" s="137" t="s">
        <v>1271</v>
      </c>
      <c r="B311" s="137" t="s">
        <v>333</v>
      </c>
      <c r="C311" s="137">
        <v>10</v>
      </c>
      <c r="D311" s="137">
        <v>6235820.8476679996</v>
      </c>
      <c r="E311" s="137">
        <v>1</v>
      </c>
      <c r="F311" s="137">
        <v>536186.99737700005</v>
      </c>
      <c r="G311" s="137" t="s">
        <v>335</v>
      </c>
    </row>
    <row r="312" spans="1:7" x14ac:dyDescent="0.25">
      <c r="A312" s="137" t="s">
        <v>1272</v>
      </c>
      <c r="B312" s="137" t="s">
        <v>333</v>
      </c>
      <c r="C312" s="137">
        <v>10</v>
      </c>
      <c r="D312" s="137">
        <v>3762281.3883170001</v>
      </c>
      <c r="E312" s="137">
        <v>1</v>
      </c>
      <c r="F312" s="137">
        <v>250118.882877</v>
      </c>
      <c r="G312" s="137" t="s">
        <v>335</v>
      </c>
    </row>
    <row r="313" spans="1:7" x14ac:dyDescent="0.25">
      <c r="A313" s="137" t="s">
        <v>1273</v>
      </c>
      <c r="B313" s="137" t="s">
        <v>333</v>
      </c>
      <c r="C313" s="137">
        <v>10</v>
      </c>
      <c r="D313" s="137">
        <v>110337404.422267</v>
      </c>
      <c r="E313" s="137">
        <v>1</v>
      </c>
      <c r="F313" s="137">
        <v>5871417.0394080002</v>
      </c>
      <c r="G313" s="137" t="s">
        <v>335</v>
      </c>
    </row>
    <row r="314" spans="1:7" x14ac:dyDescent="0.25">
      <c r="A314" s="137" t="s">
        <v>1274</v>
      </c>
      <c r="B314" s="137" t="s">
        <v>333</v>
      </c>
      <c r="C314" s="137">
        <v>10</v>
      </c>
      <c r="D314" s="137">
        <v>9389510.9492349997</v>
      </c>
      <c r="E314" s="137">
        <v>1</v>
      </c>
      <c r="F314" s="137">
        <v>1059073.322925</v>
      </c>
      <c r="G314" s="137" t="s">
        <v>335</v>
      </c>
    </row>
    <row r="315" spans="1:7" x14ac:dyDescent="0.25">
      <c r="A315" s="137" t="s">
        <v>1275</v>
      </c>
      <c r="B315" s="137" t="s">
        <v>333</v>
      </c>
      <c r="C315" s="137">
        <v>10</v>
      </c>
      <c r="D315" s="137">
        <v>6213363.8306329995</v>
      </c>
      <c r="E315" s="137">
        <v>1</v>
      </c>
      <c r="F315" s="137">
        <v>387372.99495099997</v>
      </c>
      <c r="G315" s="137" t="s">
        <v>335</v>
      </c>
    </row>
    <row r="317" spans="1:7" x14ac:dyDescent="0.25">
      <c r="A317" s="137" t="s">
        <v>1276</v>
      </c>
    </row>
    <row r="318" spans="1:7" x14ac:dyDescent="0.25">
      <c r="A318" s="137" t="s">
        <v>2</v>
      </c>
      <c r="B318" s="137" t="s">
        <v>3</v>
      </c>
      <c r="C318" s="137" t="s">
        <v>504</v>
      </c>
      <c r="D318" s="137" t="s">
        <v>5</v>
      </c>
      <c r="E318" s="137" t="s">
        <v>1247</v>
      </c>
      <c r="F318" s="137" t="s">
        <v>505</v>
      </c>
      <c r="G318" s="137" t="s">
        <v>506</v>
      </c>
    </row>
    <row r="319" spans="1:7" x14ac:dyDescent="0.25">
      <c r="A319" s="137" t="s">
        <v>1277</v>
      </c>
      <c r="B319" s="137" t="s">
        <v>333</v>
      </c>
      <c r="C319" s="137">
        <v>10</v>
      </c>
      <c r="D319" s="137">
        <v>162624.18749499999</v>
      </c>
      <c r="E319" s="137">
        <v>1</v>
      </c>
      <c r="F319" s="137">
        <v>23584.380703999999</v>
      </c>
      <c r="G319" s="137" t="s">
        <v>335</v>
      </c>
    </row>
    <row r="320" spans="1:7" x14ac:dyDescent="0.25">
      <c r="A320" s="137" t="s">
        <v>1278</v>
      </c>
      <c r="B320" s="137" t="s">
        <v>333</v>
      </c>
      <c r="C320" s="137">
        <v>10</v>
      </c>
      <c r="D320" s="137">
        <v>11705.516651</v>
      </c>
      <c r="E320" s="137">
        <v>1</v>
      </c>
      <c r="F320" s="137">
        <v>526.19051200000001</v>
      </c>
      <c r="G320" s="137" t="s">
        <v>335</v>
      </c>
    </row>
    <row r="321" spans="1:7" x14ac:dyDescent="0.25">
      <c r="A321" s="137" t="s">
        <v>1279</v>
      </c>
      <c r="B321" s="137" t="s">
        <v>333</v>
      </c>
      <c r="C321" s="137">
        <v>10</v>
      </c>
      <c r="D321" s="137">
        <v>63043.833171999999</v>
      </c>
      <c r="E321" s="137">
        <v>1</v>
      </c>
      <c r="F321" s="137">
        <v>3819.132267</v>
      </c>
      <c r="G321" s="137" t="s">
        <v>335</v>
      </c>
    </row>
    <row r="322" spans="1:7" x14ac:dyDescent="0.25">
      <c r="A322" s="137" t="s">
        <v>1280</v>
      </c>
      <c r="B322" s="137" t="s">
        <v>333</v>
      </c>
      <c r="C322" s="137">
        <v>10</v>
      </c>
      <c r="D322" s="137">
        <v>149984.195806</v>
      </c>
      <c r="E322" s="137">
        <v>1</v>
      </c>
      <c r="F322" s="137">
        <v>16722.042087000002</v>
      </c>
      <c r="G322" s="137" t="s">
        <v>335</v>
      </c>
    </row>
    <row r="323" spans="1:7" x14ac:dyDescent="0.25">
      <c r="A323" s="137" t="s">
        <v>1281</v>
      </c>
      <c r="B323" s="137" t="s">
        <v>333</v>
      </c>
      <c r="C323" s="137">
        <v>10</v>
      </c>
      <c r="D323" s="137">
        <v>82560.280801000001</v>
      </c>
      <c r="E323" s="137">
        <v>1</v>
      </c>
      <c r="F323" s="137">
        <v>5173.343022</v>
      </c>
      <c r="G323" s="137" t="s">
        <v>335</v>
      </c>
    </row>
    <row r="324" spans="1:7" x14ac:dyDescent="0.25">
      <c r="A324" s="137" t="s">
        <v>1282</v>
      </c>
      <c r="B324" s="137" t="s">
        <v>333</v>
      </c>
      <c r="C324" s="137">
        <v>10</v>
      </c>
      <c r="D324" s="137">
        <v>114011.493267</v>
      </c>
      <c r="E324" s="137">
        <v>1</v>
      </c>
      <c r="F324" s="137">
        <v>4177.1643190000004</v>
      </c>
      <c r="G324" s="137" t="s">
        <v>335</v>
      </c>
    </row>
    <row r="325" spans="1:7" x14ac:dyDescent="0.25">
      <c r="A325" s="137" t="s">
        <v>1283</v>
      </c>
      <c r="B325" s="137" t="s">
        <v>333</v>
      </c>
      <c r="C325" s="137">
        <v>10</v>
      </c>
      <c r="D325" s="137">
        <v>218174.987119</v>
      </c>
      <c r="E325" s="137">
        <v>1</v>
      </c>
      <c r="F325" s="137">
        <v>13911.068003</v>
      </c>
      <c r="G325" s="137" t="s">
        <v>335</v>
      </c>
    </row>
    <row r="326" spans="1:7" x14ac:dyDescent="0.25">
      <c r="A326" s="137" t="s">
        <v>1284</v>
      </c>
      <c r="B326" s="137" t="s">
        <v>333</v>
      </c>
      <c r="C326" s="137">
        <v>10</v>
      </c>
      <c r="D326" s="137">
        <v>271297.60645299999</v>
      </c>
      <c r="E326" s="137">
        <v>1</v>
      </c>
      <c r="F326" s="137">
        <v>14839.752171</v>
      </c>
      <c r="G326" s="137" t="s">
        <v>335</v>
      </c>
    </row>
    <row r="327" spans="1:7" x14ac:dyDescent="0.25">
      <c r="A327" s="137" t="s">
        <v>1285</v>
      </c>
      <c r="B327" s="137" t="s">
        <v>333</v>
      </c>
      <c r="C327" s="137">
        <v>10</v>
      </c>
      <c r="D327" s="137">
        <v>343095.45588999998</v>
      </c>
      <c r="E327" s="137">
        <v>1</v>
      </c>
      <c r="F327" s="137">
        <v>18366.909630999999</v>
      </c>
      <c r="G327" s="137" t="s">
        <v>335</v>
      </c>
    </row>
    <row r="328" spans="1:7" x14ac:dyDescent="0.25">
      <c r="A328" s="137" t="s">
        <v>1286</v>
      </c>
      <c r="B328" s="137" t="s">
        <v>333</v>
      </c>
      <c r="C328" s="137">
        <v>10</v>
      </c>
      <c r="D328" s="137">
        <v>358397.66694000002</v>
      </c>
      <c r="E328" s="137">
        <v>1</v>
      </c>
      <c r="F328" s="137">
        <v>35240.490486000002</v>
      </c>
      <c r="G328" s="137" t="s">
        <v>335</v>
      </c>
    </row>
    <row r="329" spans="1:7" x14ac:dyDescent="0.25">
      <c r="A329" s="137" t="s">
        <v>1287</v>
      </c>
      <c r="B329" s="137" t="s">
        <v>333</v>
      </c>
      <c r="C329" s="137">
        <v>10</v>
      </c>
      <c r="D329" s="137">
        <v>445692.413887</v>
      </c>
      <c r="E329" s="137">
        <v>1</v>
      </c>
      <c r="F329" s="137">
        <v>46418.396889000003</v>
      </c>
      <c r="G329" s="137" t="s">
        <v>335</v>
      </c>
    </row>
    <row r="330" spans="1:7" x14ac:dyDescent="0.25">
      <c r="A330" s="137" t="s">
        <v>1288</v>
      </c>
      <c r="B330" s="137" t="s">
        <v>333</v>
      </c>
      <c r="C330" s="137">
        <v>10</v>
      </c>
      <c r="D330" s="137">
        <v>564398.22887400002</v>
      </c>
      <c r="E330" s="137">
        <v>1</v>
      </c>
      <c r="F330" s="137">
        <v>49759.193638999997</v>
      </c>
      <c r="G330" s="137" t="s">
        <v>335</v>
      </c>
    </row>
    <row r="331" spans="1:7" x14ac:dyDescent="0.25">
      <c r="A331" s="137" t="s">
        <v>1289</v>
      </c>
      <c r="B331" s="137" t="s">
        <v>333</v>
      </c>
      <c r="C331" s="137">
        <v>10</v>
      </c>
      <c r="D331" s="137">
        <v>693575.28395900002</v>
      </c>
      <c r="E331" s="137">
        <v>1</v>
      </c>
      <c r="F331" s="137">
        <v>51586.752627000002</v>
      </c>
      <c r="G331" s="137" t="s">
        <v>335</v>
      </c>
    </row>
    <row r="332" spans="1:7" x14ac:dyDescent="0.25">
      <c r="A332" s="137" t="s">
        <v>1290</v>
      </c>
      <c r="B332" s="137" t="s">
        <v>333</v>
      </c>
      <c r="C332" s="137">
        <v>10</v>
      </c>
      <c r="D332" s="137">
        <v>1017492.931506</v>
      </c>
      <c r="E332" s="137">
        <v>1</v>
      </c>
      <c r="F332" s="137">
        <v>101813.93199700001</v>
      </c>
      <c r="G332" s="137" t="s">
        <v>335</v>
      </c>
    </row>
    <row r="333" spans="1:7" x14ac:dyDescent="0.25">
      <c r="A333" s="137" t="s">
        <v>1291</v>
      </c>
      <c r="B333" s="137" t="s">
        <v>333</v>
      </c>
      <c r="C333" s="137">
        <v>10</v>
      </c>
      <c r="D333" s="137">
        <v>1225843.550575</v>
      </c>
      <c r="E333" s="137">
        <v>1</v>
      </c>
      <c r="F333" s="137">
        <v>77004.748231999998</v>
      </c>
      <c r="G333" s="137" t="s">
        <v>335</v>
      </c>
    </row>
    <row r="334" spans="1:7" x14ac:dyDescent="0.25">
      <c r="A334" s="137" t="s">
        <v>1292</v>
      </c>
      <c r="B334" s="137" t="s">
        <v>333</v>
      </c>
      <c r="C334" s="137">
        <v>10</v>
      </c>
      <c r="D334" s="137">
        <v>1854997.5349570001</v>
      </c>
      <c r="E334" s="137">
        <v>1</v>
      </c>
      <c r="F334" s="137">
        <v>102264.38407499999</v>
      </c>
      <c r="G334" s="137" t="s">
        <v>335</v>
      </c>
    </row>
    <row r="335" spans="1:7" x14ac:dyDescent="0.25">
      <c r="A335" s="137" t="s">
        <v>1293</v>
      </c>
      <c r="B335" s="137" t="s">
        <v>333</v>
      </c>
      <c r="C335" s="137">
        <v>10</v>
      </c>
      <c r="D335" s="137">
        <v>2100678.2710810001</v>
      </c>
      <c r="E335" s="137">
        <v>1</v>
      </c>
      <c r="F335" s="137">
        <v>211371.25578899999</v>
      </c>
      <c r="G335" s="137" t="s">
        <v>335</v>
      </c>
    </row>
    <row r="336" spans="1:7" x14ac:dyDescent="0.25">
      <c r="A336" s="137" t="s">
        <v>1294</v>
      </c>
      <c r="B336" s="137" t="s">
        <v>333</v>
      </c>
      <c r="C336" s="137">
        <v>10</v>
      </c>
      <c r="D336" s="137">
        <v>1683471.9864660001</v>
      </c>
      <c r="E336" s="137">
        <v>1</v>
      </c>
      <c r="F336" s="137">
        <v>126185.036653</v>
      </c>
      <c r="G336" s="137" t="s">
        <v>335</v>
      </c>
    </row>
    <row r="337" spans="1:7" x14ac:dyDescent="0.25">
      <c r="A337" s="137" t="s">
        <v>1295</v>
      </c>
      <c r="B337" s="137" t="s">
        <v>333</v>
      </c>
      <c r="C337" s="137">
        <v>10</v>
      </c>
      <c r="D337" s="137">
        <v>3820332.4349580002</v>
      </c>
      <c r="E337" s="137">
        <v>1</v>
      </c>
      <c r="F337" s="137">
        <v>271851.83481999999</v>
      </c>
      <c r="G337" s="137" t="s">
        <v>335</v>
      </c>
    </row>
    <row r="338" spans="1:7" x14ac:dyDescent="0.25">
      <c r="A338" s="137" t="s">
        <v>1296</v>
      </c>
      <c r="B338" s="137" t="s">
        <v>333</v>
      </c>
      <c r="C338" s="137">
        <v>10</v>
      </c>
      <c r="D338" s="137">
        <v>3347209.9517339999</v>
      </c>
      <c r="E338" s="137">
        <v>1</v>
      </c>
      <c r="F338" s="137">
        <v>121159.664408</v>
      </c>
      <c r="G338" s="137" t="s">
        <v>335</v>
      </c>
    </row>
    <row r="339" spans="1:7" x14ac:dyDescent="0.25">
      <c r="A339" s="137" t="s">
        <v>1297</v>
      </c>
      <c r="B339" s="137" t="s">
        <v>333</v>
      </c>
      <c r="C339" s="137">
        <v>10</v>
      </c>
      <c r="D339" s="137">
        <v>2688720.8166120001</v>
      </c>
      <c r="E339" s="137">
        <v>1</v>
      </c>
      <c r="F339" s="137">
        <v>200673.59977599999</v>
      </c>
      <c r="G339" s="137" t="s">
        <v>335</v>
      </c>
    </row>
    <row r="340" spans="1:7" x14ac:dyDescent="0.25">
      <c r="A340" s="137" t="s">
        <v>1298</v>
      </c>
      <c r="B340" s="137" t="s">
        <v>333</v>
      </c>
      <c r="C340" s="137">
        <v>10</v>
      </c>
      <c r="D340" s="137">
        <v>5693118.588672</v>
      </c>
      <c r="E340" s="137">
        <v>1</v>
      </c>
      <c r="F340" s="137">
        <v>362780.23002700001</v>
      </c>
      <c r="G340" s="137" t="s">
        <v>335</v>
      </c>
    </row>
    <row r="341" spans="1:7" x14ac:dyDescent="0.25">
      <c r="A341" s="137" t="s">
        <v>1299</v>
      </c>
      <c r="B341" s="137" t="s">
        <v>333</v>
      </c>
      <c r="C341" s="137">
        <v>10</v>
      </c>
      <c r="D341" s="137">
        <v>5009280.9909260003</v>
      </c>
      <c r="E341" s="137">
        <v>1</v>
      </c>
      <c r="F341" s="137">
        <v>363114.55300499999</v>
      </c>
      <c r="G341" s="137" t="s">
        <v>335</v>
      </c>
    </row>
    <row r="342" spans="1:7" x14ac:dyDescent="0.25">
      <c r="A342" s="137" t="s">
        <v>1300</v>
      </c>
      <c r="B342" s="137" t="s">
        <v>333</v>
      </c>
      <c r="C342" s="137">
        <v>10</v>
      </c>
      <c r="D342" s="137">
        <v>4007397.5293040001</v>
      </c>
      <c r="E342" s="137">
        <v>1</v>
      </c>
      <c r="F342" s="137">
        <v>386334.91466200002</v>
      </c>
      <c r="G342" s="137" t="s">
        <v>335</v>
      </c>
    </row>
    <row r="343" spans="1:7" x14ac:dyDescent="0.25">
      <c r="A343" s="137" t="s">
        <v>1301</v>
      </c>
      <c r="B343" s="137" t="s">
        <v>333</v>
      </c>
      <c r="C343" s="137">
        <v>10</v>
      </c>
      <c r="D343" s="137">
        <v>7386983.2976430003</v>
      </c>
      <c r="E343" s="137">
        <v>1</v>
      </c>
      <c r="F343" s="137">
        <v>627530.44297199999</v>
      </c>
      <c r="G343" s="137" t="s">
        <v>335</v>
      </c>
    </row>
    <row r="344" spans="1:7" x14ac:dyDescent="0.25">
      <c r="A344" s="137" t="s">
        <v>1302</v>
      </c>
      <c r="B344" s="137" t="s">
        <v>333</v>
      </c>
      <c r="C344" s="137">
        <v>10</v>
      </c>
      <c r="D344" s="137">
        <v>7610725.7308679996</v>
      </c>
      <c r="E344" s="137">
        <v>1</v>
      </c>
      <c r="F344" s="137">
        <v>245690.09430999999</v>
      </c>
      <c r="G344" s="137" t="s">
        <v>335</v>
      </c>
    </row>
    <row r="345" spans="1:7" x14ac:dyDescent="0.25">
      <c r="A345" s="137" t="s">
        <v>1303</v>
      </c>
      <c r="B345" s="137" t="s">
        <v>333</v>
      </c>
      <c r="C345" s="137">
        <v>10</v>
      </c>
      <c r="D345" s="137">
        <v>5120006.3350579999</v>
      </c>
      <c r="E345" s="137">
        <v>1</v>
      </c>
      <c r="F345" s="137">
        <v>461707.06926000002</v>
      </c>
      <c r="G345" s="137" t="s">
        <v>335</v>
      </c>
    </row>
    <row r="346" spans="1:7" x14ac:dyDescent="0.25">
      <c r="A346" s="137" t="s">
        <v>1304</v>
      </c>
      <c r="B346" s="137" t="s">
        <v>333</v>
      </c>
      <c r="C346" s="137">
        <v>10</v>
      </c>
      <c r="D346" s="137">
        <v>122083038.45154899</v>
      </c>
      <c r="E346" s="137">
        <v>1</v>
      </c>
      <c r="F346" s="137">
        <v>7915645.2665520003</v>
      </c>
      <c r="G346" s="137" t="s">
        <v>335</v>
      </c>
    </row>
    <row r="347" spans="1:7" x14ac:dyDescent="0.25">
      <c r="A347" s="137" t="s">
        <v>1305</v>
      </c>
      <c r="B347" s="137" t="s">
        <v>333</v>
      </c>
      <c r="C347" s="137">
        <v>10</v>
      </c>
      <c r="D347" s="137">
        <v>14142643.967401</v>
      </c>
      <c r="E347" s="137">
        <v>1</v>
      </c>
      <c r="F347" s="137">
        <v>383555.70701499999</v>
      </c>
      <c r="G347" s="137" t="s">
        <v>335</v>
      </c>
    </row>
    <row r="348" spans="1:7" x14ac:dyDescent="0.25">
      <c r="A348" s="137" t="s">
        <v>1306</v>
      </c>
      <c r="B348" s="137" t="s">
        <v>333</v>
      </c>
      <c r="C348" s="137">
        <v>10</v>
      </c>
      <c r="D348" s="137">
        <v>10047733.723540001</v>
      </c>
      <c r="E348" s="137">
        <v>1</v>
      </c>
      <c r="F348" s="137">
        <v>668681.14948000002</v>
      </c>
      <c r="G348" s="137" t="s">
        <v>335</v>
      </c>
    </row>
    <row r="1276" spans="1:6" x14ac:dyDescent="0.25">
      <c r="A1276" s="139"/>
      <c r="C1276" s="140"/>
      <c r="F1276" s="141"/>
    </row>
    <row r="1277" spans="1:6" x14ac:dyDescent="0.25">
      <c r="A1277" s="139"/>
      <c r="C1277" s="140"/>
      <c r="F1277" s="141"/>
    </row>
    <row r="1278" spans="1:6" x14ac:dyDescent="0.25">
      <c r="A1278" s="139"/>
      <c r="C1278" s="140"/>
      <c r="F1278" s="141"/>
    </row>
    <row r="1279" spans="1:6" x14ac:dyDescent="0.25">
      <c r="A1279" s="139"/>
      <c r="C1279" s="140"/>
      <c r="F1279" s="141"/>
    </row>
    <row r="1280" spans="1:6" x14ac:dyDescent="0.25">
      <c r="A1280" s="139"/>
      <c r="C1280" s="140"/>
      <c r="F1280" s="141"/>
    </row>
    <row r="1281" spans="1:6" x14ac:dyDescent="0.25">
      <c r="A1281" s="139"/>
      <c r="C1281" s="140"/>
      <c r="F1281" s="141"/>
    </row>
    <row r="1282" spans="1:6" x14ac:dyDescent="0.25">
      <c r="A1282" s="139"/>
      <c r="C1282" s="140"/>
      <c r="F1282" s="141"/>
    </row>
    <row r="1283" spans="1:6" x14ac:dyDescent="0.25">
      <c r="A1283" s="139"/>
      <c r="C1283" s="140"/>
      <c r="F1283" s="141"/>
    </row>
    <row r="1284" spans="1:6" x14ac:dyDescent="0.25">
      <c r="A1284" s="139"/>
      <c r="C1284" s="140"/>
      <c r="F1284" s="141"/>
    </row>
    <row r="1285" spans="1:6" x14ac:dyDescent="0.25">
      <c r="A1285" s="139"/>
      <c r="C1285" s="140"/>
      <c r="F1285" s="141"/>
    </row>
    <row r="1286" spans="1:6" x14ac:dyDescent="0.25">
      <c r="A1286" s="139"/>
      <c r="C1286" s="140"/>
      <c r="F1286" s="141"/>
    </row>
    <row r="1287" spans="1:6" x14ac:dyDescent="0.25">
      <c r="A1287" s="139"/>
      <c r="C1287" s="140"/>
      <c r="F1287" s="141"/>
    </row>
    <row r="1288" spans="1:6" x14ac:dyDescent="0.25">
      <c r="A1288" s="139"/>
      <c r="C1288" s="140"/>
      <c r="F1288" s="141"/>
    </row>
    <row r="1289" spans="1:6" x14ac:dyDescent="0.25">
      <c r="A1289" s="139"/>
      <c r="C1289" s="140"/>
      <c r="F1289" s="141"/>
    </row>
    <row r="1290" spans="1:6" x14ac:dyDescent="0.25">
      <c r="A1290" s="139"/>
      <c r="C1290" s="140"/>
      <c r="F1290" s="141"/>
    </row>
    <row r="1291" spans="1:6" x14ac:dyDescent="0.25">
      <c r="A1291" s="139"/>
      <c r="C1291" s="140"/>
      <c r="F1291" s="141"/>
    </row>
    <row r="1292" spans="1:6" x14ac:dyDescent="0.25">
      <c r="A1292" s="139"/>
      <c r="C1292" s="140"/>
      <c r="F1292" s="141"/>
    </row>
    <row r="1293" spans="1:6" x14ac:dyDescent="0.25">
      <c r="C1293" s="140"/>
      <c r="F1293" s="141"/>
    </row>
    <row r="1294" spans="1:6" x14ac:dyDescent="0.25">
      <c r="A1294" s="139"/>
      <c r="C1294" s="140"/>
      <c r="F1294" s="141"/>
    </row>
    <row r="1295" spans="1:6" x14ac:dyDescent="0.25">
      <c r="A1295" s="139"/>
      <c r="C1295" s="140"/>
      <c r="F1295" s="141"/>
    </row>
    <row r="1296" spans="1:6" x14ac:dyDescent="0.25">
      <c r="A1296" s="139"/>
      <c r="C1296" s="140"/>
      <c r="F1296" s="141"/>
    </row>
    <row r="1297" spans="1:6" x14ac:dyDescent="0.25">
      <c r="A1297" s="139"/>
      <c r="C1297" s="140"/>
      <c r="F1297" s="141"/>
    </row>
    <row r="1298" spans="1:6" x14ac:dyDescent="0.25">
      <c r="A1298" s="139"/>
      <c r="C1298" s="140"/>
      <c r="F1298" s="141"/>
    </row>
    <row r="1299" spans="1:6" x14ac:dyDescent="0.25">
      <c r="A1299" s="139"/>
      <c r="C1299" s="140"/>
      <c r="F1299" s="141"/>
    </row>
    <row r="1300" spans="1:6" x14ac:dyDescent="0.25">
      <c r="A1300" s="139"/>
      <c r="C1300" s="140"/>
      <c r="F1300" s="141"/>
    </row>
    <row r="1301" spans="1:6" x14ac:dyDescent="0.25">
      <c r="A1301" s="139"/>
      <c r="C1301" s="140"/>
      <c r="F1301" s="141"/>
    </row>
    <row r="1302" spans="1:6" x14ac:dyDescent="0.25">
      <c r="A1302" s="139"/>
      <c r="C1302" s="140"/>
      <c r="F1302" s="141"/>
    </row>
    <row r="1303" spans="1:6" x14ac:dyDescent="0.25">
      <c r="A1303" s="139"/>
      <c r="C1303" s="140"/>
      <c r="F1303" s="141"/>
    </row>
    <row r="1304" spans="1:6" x14ac:dyDescent="0.25">
      <c r="A1304" s="139"/>
      <c r="C1304" s="140"/>
      <c r="F1304" s="141"/>
    </row>
    <row r="1305" spans="1:6" x14ac:dyDescent="0.25">
      <c r="A1305" s="139"/>
      <c r="C1305" s="140"/>
      <c r="F1305" s="141"/>
    </row>
    <row r="1306" spans="1:6" x14ac:dyDescent="0.25">
      <c r="A1306" s="139"/>
      <c r="C1306" s="140"/>
      <c r="F1306" s="141"/>
    </row>
    <row r="1307" spans="1:6" x14ac:dyDescent="0.25">
      <c r="A1307" s="139"/>
      <c r="C1307" s="140"/>
      <c r="F1307" s="141"/>
    </row>
    <row r="1308" spans="1:6" x14ac:dyDescent="0.25">
      <c r="A1308" s="139"/>
      <c r="C1308" s="140"/>
      <c r="F1308" s="141"/>
    </row>
    <row r="1309" spans="1:6" x14ac:dyDescent="0.25">
      <c r="A1309" s="139"/>
      <c r="C1309" s="140"/>
      <c r="F1309" s="141"/>
    </row>
    <row r="1310" spans="1:6" x14ac:dyDescent="0.25">
      <c r="A1310" s="139"/>
      <c r="C1310" s="140"/>
      <c r="F1310" s="141"/>
    </row>
    <row r="1311" spans="1:6" x14ac:dyDescent="0.25">
      <c r="C1311" s="140"/>
      <c r="F1311" s="141"/>
    </row>
    <row r="1312" spans="1:6" x14ac:dyDescent="0.25">
      <c r="A1312" s="139"/>
      <c r="C1312" s="140"/>
      <c r="F1312" s="141"/>
    </row>
    <row r="1313" spans="1:6" x14ac:dyDescent="0.25">
      <c r="A1313" s="139"/>
      <c r="C1313" s="140"/>
      <c r="F1313" s="141"/>
    </row>
    <row r="1314" spans="1:6" x14ac:dyDescent="0.25">
      <c r="A1314" s="139"/>
      <c r="C1314" s="140"/>
      <c r="F1314" s="141"/>
    </row>
    <row r="1315" spans="1:6" x14ac:dyDescent="0.25">
      <c r="A1315" s="139"/>
      <c r="C1315" s="140"/>
      <c r="F1315" s="141"/>
    </row>
    <row r="1316" spans="1:6" x14ac:dyDescent="0.25">
      <c r="A1316" s="139"/>
      <c r="C1316" s="140"/>
      <c r="F1316" s="141"/>
    </row>
    <row r="1317" spans="1:6" x14ac:dyDescent="0.25">
      <c r="A1317" s="139"/>
      <c r="C1317" s="140"/>
      <c r="F1317" s="141"/>
    </row>
    <row r="1318" spans="1:6" x14ac:dyDescent="0.25">
      <c r="A1318" s="139"/>
      <c r="C1318" s="140"/>
      <c r="F1318" s="141"/>
    </row>
    <row r="1319" spans="1:6" x14ac:dyDescent="0.25">
      <c r="A1319" s="139"/>
      <c r="C1319" s="140"/>
      <c r="F1319" s="141"/>
    </row>
    <row r="1320" spans="1:6" x14ac:dyDescent="0.25">
      <c r="A1320" s="139"/>
      <c r="C1320" s="140"/>
      <c r="F1320" s="141"/>
    </row>
    <row r="1321" spans="1:6" x14ac:dyDescent="0.25">
      <c r="A1321" s="139"/>
      <c r="C1321" s="140"/>
      <c r="F1321" s="141"/>
    </row>
    <row r="1322" spans="1:6" x14ac:dyDescent="0.25">
      <c r="A1322" s="139"/>
      <c r="C1322" s="140"/>
      <c r="F1322" s="141"/>
    </row>
    <row r="1323" spans="1:6" x14ac:dyDescent="0.25">
      <c r="A1323" s="139"/>
      <c r="C1323" s="140"/>
      <c r="F1323" s="141"/>
    </row>
    <row r="1324" spans="1:6" x14ac:dyDescent="0.25">
      <c r="A1324" s="139"/>
      <c r="C1324" s="140"/>
      <c r="F1324" s="141"/>
    </row>
    <row r="1325" spans="1:6" x14ac:dyDescent="0.25">
      <c r="A1325" s="139"/>
      <c r="C1325" s="140"/>
      <c r="F1325" s="141"/>
    </row>
    <row r="1326" spans="1:6" x14ac:dyDescent="0.25">
      <c r="A1326" s="139"/>
      <c r="C1326" s="140"/>
      <c r="F1326" s="141"/>
    </row>
    <row r="1327" spans="1:6" x14ac:dyDescent="0.25">
      <c r="A1327" s="139"/>
      <c r="C1327" s="140"/>
      <c r="F1327" s="141"/>
    </row>
    <row r="1328" spans="1:6" x14ac:dyDescent="0.25">
      <c r="A1328" s="139"/>
      <c r="C1328" s="140"/>
      <c r="F1328" s="141"/>
    </row>
    <row r="1329" spans="1:6" x14ac:dyDescent="0.25">
      <c r="C1329" s="140"/>
      <c r="F1329" s="141"/>
    </row>
    <row r="1330" spans="1:6" x14ac:dyDescent="0.25">
      <c r="A1330" s="139"/>
      <c r="C1330" s="140"/>
      <c r="F1330" s="141"/>
    </row>
    <row r="1331" spans="1:6" x14ac:dyDescent="0.25">
      <c r="A1331" s="139"/>
      <c r="C1331" s="140"/>
      <c r="F1331" s="141"/>
    </row>
    <row r="1332" spans="1:6" x14ac:dyDescent="0.25">
      <c r="A1332" s="139"/>
      <c r="C1332" s="140"/>
      <c r="F1332" s="141"/>
    </row>
    <row r="1333" spans="1:6" x14ac:dyDescent="0.25">
      <c r="A1333" s="139"/>
      <c r="C1333" s="140"/>
      <c r="F1333" s="141"/>
    </row>
    <row r="1334" spans="1:6" x14ac:dyDescent="0.25">
      <c r="A1334" s="139"/>
      <c r="C1334" s="140"/>
      <c r="F1334" s="141"/>
    </row>
    <row r="1335" spans="1:6" x14ac:dyDescent="0.25">
      <c r="A1335" s="139"/>
      <c r="C1335" s="140"/>
      <c r="F1335" s="141"/>
    </row>
    <row r="1336" spans="1:6" x14ac:dyDescent="0.25">
      <c r="A1336" s="139"/>
      <c r="C1336" s="140"/>
      <c r="F1336" s="141"/>
    </row>
    <row r="1337" spans="1:6" x14ac:dyDescent="0.25">
      <c r="A1337" s="139"/>
      <c r="C1337" s="140"/>
      <c r="F1337" s="141"/>
    </row>
    <row r="1338" spans="1:6" x14ac:dyDescent="0.25">
      <c r="A1338" s="139"/>
      <c r="C1338" s="140"/>
      <c r="F1338" s="141"/>
    </row>
    <row r="1339" spans="1:6" x14ac:dyDescent="0.25">
      <c r="A1339" s="139"/>
      <c r="C1339" s="140"/>
      <c r="F1339" s="141"/>
    </row>
    <row r="1340" spans="1:6" x14ac:dyDescent="0.25">
      <c r="A1340" s="139"/>
      <c r="C1340" s="140"/>
      <c r="F1340" s="141"/>
    </row>
    <row r="1341" spans="1:6" x14ac:dyDescent="0.25">
      <c r="A1341" s="139"/>
      <c r="C1341" s="140"/>
      <c r="F1341" s="141"/>
    </row>
    <row r="1342" spans="1:6" x14ac:dyDescent="0.25">
      <c r="A1342" s="139"/>
      <c r="C1342" s="140"/>
      <c r="F1342" s="141"/>
    </row>
    <row r="1343" spans="1:6" x14ac:dyDescent="0.25">
      <c r="A1343" s="139"/>
      <c r="C1343" s="140"/>
      <c r="F1343" s="141"/>
    </row>
    <row r="1344" spans="1:6" x14ac:dyDescent="0.25">
      <c r="A1344" s="139"/>
      <c r="C1344" s="140"/>
      <c r="F1344" s="141"/>
    </row>
    <row r="1345" spans="1:6" x14ac:dyDescent="0.25">
      <c r="A1345" s="139"/>
      <c r="C1345" s="140"/>
      <c r="F1345" s="141"/>
    </row>
    <row r="1346" spans="1:6" x14ac:dyDescent="0.25">
      <c r="A1346" s="139"/>
      <c r="C1346" s="140"/>
      <c r="F1346" s="141"/>
    </row>
    <row r="1347" spans="1:6" x14ac:dyDescent="0.25">
      <c r="C1347" s="140"/>
      <c r="F1347" s="141"/>
    </row>
    <row r="1348" spans="1:6" x14ac:dyDescent="0.25">
      <c r="A1348" s="139"/>
      <c r="C1348" s="140"/>
      <c r="F1348" s="141"/>
    </row>
    <row r="1349" spans="1:6" x14ac:dyDescent="0.25">
      <c r="A1349" s="139"/>
      <c r="C1349" s="140"/>
      <c r="F1349" s="141"/>
    </row>
    <row r="1350" spans="1:6" x14ac:dyDescent="0.25">
      <c r="A1350" s="139"/>
      <c r="C1350" s="140"/>
      <c r="F1350" s="141"/>
    </row>
    <row r="1351" spans="1:6" x14ac:dyDescent="0.25">
      <c r="A1351" s="139"/>
      <c r="C1351" s="140"/>
      <c r="F1351" s="141"/>
    </row>
    <row r="1352" spans="1:6" x14ac:dyDescent="0.25">
      <c r="A1352" s="139"/>
      <c r="C1352" s="140"/>
      <c r="F1352" s="141"/>
    </row>
    <row r="1353" spans="1:6" x14ac:dyDescent="0.25">
      <c r="A1353" s="139"/>
      <c r="C1353" s="140"/>
      <c r="F1353" s="141"/>
    </row>
    <row r="1354" spans="1:6" x14ac:dyDescent="0.25">
      <c r="A1354" s="139"/>
      <c r="C1354" s="140"/>
      <c r="F1354" s="141"/>
    </row>
    <row r="1355" spans="1:6" x14ac:dyDescent="0.25">
      <c r="A1355" s="139"/>
      <c r="C1355" s="140"/>
      <c r="F1355" s="141"/>
    </row>
    <row r="1356" spans="1:6" x14ac:dyDescent="0.25">
      <c r="A1356" s="139"/>
      <c r="C1356" s="140"/>
      <c r="F1356" s="141"/>
    </row>
    <row r="1357" spans="1:6" x14ac:dyDescent="0.25">
      <c r="A1357" s="139"/>
      <c r="C1357" s="140"/>
      <c r="F1357" s="141"/>
    </row>
    <row r="1358" spans="1:6" x14ac:dyDescent="0.25">
      <c r="A1358" s="139"/>
      <c r="C1358" s="140"/>
      <c r="F1358" s="141"/>
    </row>
    <row r="1359" spans="1:6" x14ac:dyDescent="0.25">
      <c r="A1359" s="139"/>
      <c r="C1359" s="140"/>
      <c r="F1359" s="141"/>
    </row>
    <row r="1360" spans="1:6" x14ac:dyDescent="0.25">
      <c r="A1360" s="139"/>
      <c r="C1360" s="140"/>
      <c r="F1360" s="141"/>
    </row>
    <row r="1361" spans="1:6" x14ac:dyDescent="0.25">
      <c r="A1361" s="139"/>
      <c r="C1361" s="140"/>
      <c r="F1361" s="141"/>
    </row>
    <row r="1362" spans="1:6" x14ac:dyDescent="0.25">
      <c r="A1362" s="139"/>
      <c r="C1362" s="140"/>
      <c r="F1362" s="141"/>
    </row>
    <row r="1363" spans="1:6" x14ac:dyDescent="0.25">
      <c r="A1363" s="139"/>
      <c r="C1363" s="140"/>
      <c r="F1363" s="141"/>
    </row>
    <row r="1364" spans="1:6" x14ac:dyDescent="0.25">
      <c r="A1364" s="139"/>
      <c r="C1364" s="140"/>
      <c r="F1364" s="141"/>
    </row>
    <row r="1365" spans="1:6" x14ac:dyDescent="0.25">
      <c r="C1365" s="140"/>
      <c r="D1365" s="142"/>
      <c r="E1365" s="142"/>
      <c r="F1365" s="141"/>
    </row>
    <row r="1366" spans="1:6" x14ac:dyDescent="0.25">
      <c r="B1366" s="139"/>
      <c r="C1366" s="140"/>
      <c r="D1366" s="142"/>
      <c r="E1366" s="142"/>
      <c r="F1366" s="141"/>
    </row>
    <row r="1367" spans="1:6" x14ac:dyDescent="0.25">
      <c r="B1367" s="139"/>
      <c r="C1367" s="140"/>
      <c r="D1367" s="142"/>
      <c r="E1367" s="142"/>
      <c r="F1367" s="141"/>
    </row>
    <row r="1368" spans="1:6" x14ac:dyDescent="0.25">
      <c r="A1368" s="139"/>
      <c r="C1368" s="140"/>
      <c r="F1368" s="141"/>
    </row>
    <row r="1369" spans="1:6" x14ac:dyDescent="0.25">
      <c r="A1369" s="139"/>
      <c r="C1369" s="140"/>
      <c r="F1369" s="141"/>
    </row>
    <row r="1370" spans="1:6" x14ac:dyDescent="0.25">
      <c r="A1370" s="139"/>
      <c r="C1370" s="140"/>
      <c r="F1370" s="141"/>
    </row>
    <row r="1371" spans="1:6" x14ac:dyDescent="0.25">
      <c r="A1371" s="139"/>
      <c r="C1371" s="140"/>
      <c r="F1371" s="141"/>
    </row>
    <row r="1372" spans="1:6" x14ac:dyDescent="0.25">
      <c r="A1372" s="139"/>
      <c r="C1372" s="140"/>
      <c r="F1372" s="141"/>
    </row>
    <row r="1373" spans="1:6" x14ac:dyDescent="0.25">
      <c r="A1373" s="139"/>
      <c r="C1373" s="140"/>
      <c r="F1373" s="141"/>
    </row>
    <row r="1374" spans="1:6" x14ac:dyDescent="0.25">
      <c r="A1374" s="139"/>
      <c r="C1374" s="140"/>
      <c r="F1374" s="141"/>
    </row>
    <row r="1375" spans="1:6" x14ac:dyDescent="0.25">
      <c r="A1375" s="139"/>
      <c r="C1375" s="140"/>
      <c r="F1375" s="141"/>
    </row>
    <row r="1376" spans="1:6" x14ac:dyDescent="0.25">
      <c r="A1376" s="139"/>
      <c r="C1376" s="140"/>
      <c r="F1376" s="141"/>
    </row>
    <row r="1377" spans="1:6" x14ac:dyDescent="0.25">
      <c r="A1377" s="139"/>
      <c r="C1377" s="140"/>
      <c r="F1377" s="141"/>
    </row>
    <row r="1378" spans="1:6" x14ac:dyDescent="0.25">
      <c r="A1378" s="139"/>
      <c r="C1378" s="140"/>
      <c r="F1378" s="141"/>
    </row>
    <row r="1379" spans="1:6" x14ac:dyDescent="0.25">
      <c r="A1379" s="139"/>
      <c r="C1379" s="140"/>
      <c r="F1379" s="141"/>
    </row>
    <row r="1380" spans="1:6" x14ac:dyDescent="0.25">
      <c r="A1380" s="139"/>
      <c r="C1380" s="140"/>
      <c r="F1380" s="141"/>
    </row>
    <row r="1381" spans="1:6" x14ac:dyDescent="0.25">
      <c r="A1381" s="139"/>
      <c r="C1381" s="140"/>
      <c r="F1381" s="141"/>
    </row>
    <row r="1382" spans="1:6" x14ac:dyDescent="0.25">
      <c r="A1382" s="139"/>
      <c r="C1382" s="140"/>
      <c r="F1382" s="141"/>
    </row>
    <row r="1383" spans="1:6" x14ac:dyDescent="0.25">
      <c r="C1383" s="140"/>
      <c r="D1383" s="142"/>
      <c r="E1383" s="142"/>
      <c r="F1383" s="141"/>
    </row>
    <row r="1384" spans="1:6" x14ac:dyDescent="0.25">
      <c r="B1384" s="139"/>
      <c r="C1384" s="140"/>
      <c r="D1384" s="142"/>
      <c r="E1384" s="142"/>
      <c r="F1384" s="141"/>
    </row>
    <row r="1385" spans="1:6" x14ac:dyDescent="0.25">
      <c r="B1385" s="139"/>
      <c r="C1385" s="140"/>
      <c r="D1385" s="142"/>
      <c r="E1385" s="142"/>
      <c r="F1385" s="141"/>
    </row>
    <row r="1386" spans="1:6" x14ac:dyDescent="0.25">
      <c r="A1386" s="139"/>
      <c r="C1386" s="140"/>
      <c r="F1386" s="141"/>
    </row>
    <row r="1387" spans="1:6" x14ac:dyDescent="0.25">
      <c r="A1387" s="139"/>
      <c r="C1387" s="140"/>
      <c r="F1387" s="141"/>
    </row>
    <row r="1388" spans="1:6" x14ac:dyDescent="0.25">
      <c r="A1388" s="139"/>
      <c r="C1388" s="140"/>
      <c r="F1388" s="141"/>
    </row>
    <row r="1389" spans="1:6" x14ac:dyDescent="0.25">
      <c r="A1389" s="139"/>
      <c r="C1389" s="140"/>
      <c r="F1389" s="141"/>
    </row>
    <row r="1390" spans="1:6" x14ac:dyDescent="0.25">
      <c r="A1390" s="139"/>
      <c r="C1390" s="140"/>
      <c r="F1390" s="141"/>
    </row>
    <row r="1391" spans="1:6" x14ac:dyDescent="0.25">
      <c r="A1391" s="139"/>
      <c r="C1391" s="140"/>
      <c r="F1391" s="141"/>
    </row>
    <row r="1392" spans="1:6" x14ac:dyDescent="0.25">
      <c r="A1392" s="139"/>
      <c r="C1392" s="140"/>
      <c r="F1392" s="141"/>
    </row>
    <row r="1393" spans="1:6" x14ac:dyDescent="0.25">
      <c r="A1393" s="139"/>
      <c r="C1393" s="140"/>
      <c r="F1393" s="141"/>
    </row>
    <row r="1394" spans="1:6" x14ac:dyDescent="0.25">
      <c r="A1394" s="139"/>
      <c r="C1394" s="140"/>
      <c r="F1394" s="141"/>
    </row>
    <row r="1395" spans="1:6" x14ac:dyDescent="0.25">
      <c r="A1395" s="139"/>
      <c r="C1395" s="140"/>
      <c r="F1395" s="141"/>
    </row>
    <row r="1396" spans="1:6" x14ac:dyDescent="0.25">
      <c r="A1396" s="139"/>
      <c r="C1396" s="140"/>
      <c r="F1396" s="141"/>
    </row>
    <row r="1397" spans="1:6" x14ac:dyDescent="0.25">
      <c r="A1397" s="139"/>
      <c r="C1397" s="140"/>
      <c r="F1397" s="141"/>
    </row>
    <row r="1398" spans="1:6" x14ac:dyDescent="0.25">
      <c r="A1398" s="139"/>
      <c r="C1398" s="140"/>
      <c r="F1398" s="141"/>
    </row>
    <row r="1399" spans="1:6" x14ac:dyDescent="0.25">
      <c r="A1399" s="139"/>
      <c r="C1399" s="140"/>
      <c r="F1399" s="141"/>
    </row>
    <row r="1400" spans="1:6" x14ac:dyDescent="0.25">
      <c r="A1400" s="139"/>
      <c r="C1400" s="140"/>
      <c r="F1400" s="141"/>
    </row>
    <row r="1401" spans="1:6" x14ac:dyDescent="0.25">
      <c r="A1401" s="139"/>
      <c r="C1401" s="140"/>
      <c r="F1401" s="141"/>
    </row>
    <row r="1402" spans="1:6" x14ac:dyDescent="0.25">
      <c r="A1402" s="139"/>
      <c r="C1402" s="140"/>
      <c r="F1402" s="141"/>
    </row>
    <row r="1403" spans="1:6" x14ac:dyDescent="0.25">
      <c r="A1403" s="139"/>
      <c r="C1403" s="140"/>
      <c r="F1403" s="141"/>
    </row>
    <row r="1404" spans="1:6" x14ac:dyDescent="0.25">
      <c r="A1404" s="139"/>
      <c r="C1404" s="140"/>
      <c r="F1404" s="141"/>
    </row>
    <row r="1405" spans="1:6" x14ac:dyDescent="0.25">
      <c r="A1405" s="139"/>
      <c r="C1405" s="140"/>
      <c r="F1405" s="141"/>
    </row>
    <row r="1406" spans="1:6" x14ac:dyDescent="0.25">
      <c r="A1406" s="139"/>
      <c r="C1406" s="140"/>
      <c r="F1406" s="141"/>
    </row>
    <row r="1407" spans="1:6" x14ac:dyDescent="0.25">
      <c r="A1407" s="139"/>
      <c r="C1407" s="140"/>
      <c r="F1407" s="141"/>
    </row>
    <row r="1408" spans="1:6" x14ac:dyDescent="0.25">
      <c r="A1408" s="139"/>
      <c r="C1408" s="140"/>
      <c r="F1408" s="141"/>
    </row>
    <row r="1409" spans="1:6" x14ac:dyDescent="0.25">
      <c r="A1409" s="139"/>
      <c r="C1409" s="140"/>
      <c r="F1409" s="141"/>
    </row>
    <row r="1410" spans="1:6" x14ac:dyDescent="0.25">
      <c r="A1410" s="139"/>
      <c r="C1410" s="140"/>
      <c r="F1410" s="141"/>
    </row>
    <row r="1411" spans="1:6" x14ac:dyDescent="0.25">
      <c r="A1411" s="139"/>
      <c r="C1411" s="140"/>
      <c r="F1411" s="141"/>
    </row>
    <row r="1412" spans="1:6" x14ac:dyDescent="0.25">
      <c r="A1412" s="139"/>
      <c r="C1412" s="140"/>
      <c r="F1412" s="141"/>
    </row>
    <row r="1413" spans="1:6" x14ac:dyDescent="0.25">
      <c r="A1413" s="139"/>
      <c r="C1413" s="140"/>
      <c r="F1413" s="141"/>
    </row>
    <row r="1414" spans="1:6" x14ac:dyDescent="0.25">
      <c r="A1414" s="139"/>
      <c r="C1414" s="140"/>
      <c r="F1414" s="141"/>
    </row>
    <row r="1415" spans="1:6" x14ac:dyDescent="0.25">
      <c r="A1415" s="139"/>
      <c r="C1415" s="140"/>
      <c r="F1415" s="141"/>
    </row>
    <row r="1416" spans="1:6" x14ac:dyDescent="0.25">
      <c r="A1416" s="139"/>
      <c r="C1416" s="140"/>
      <c r="F1416" s="141"/>
    </row>
    <row r="1417" spans="1:6" x14ac:dyDescent="0.25">
      <c r="A1417" s="139"/>
      <c r="C1417" s="140"/>
      <c r="F1417" s="141"/>
    </row>
    <row r="1418" spans="1:6" x14ac:dyDescent="0.25">
      <c r="A1418" s="139"/>
      <c r="C1418" s="140"/>
      <c r="F1418" s="141"/>
    </row>
    <row r="1419" spans="1:6" x14ac:dyDescent="0.25">
      <c r="A1419" s="139"/>
      <c r="C1419" s="140"/>
      <c r="F1419" s="141"/>
    </row>
    <row r="1420" spans="1:6" x14ac:dyDescent="0.25">
      <c r="A1420" s="139"/>
      <c r="C1420" s="140"/>
      <c r="F1420" s="141"/>
    </row>
    <row r="1421" spans="1:6" x14ac:dyDescent="0.25">
      <c r="A1421" s="139"/>
      <c r="C1421" s="140"/>
      <c r="F1421" s="141"/>
    </row>
    <row r="1422" spans="1:6" x14ac:dyDescent="0.25">
      <c r="A1422" s="139"/>
      <c r="C1422" s="140"/>
      <c r="F1422" s="141"/>
    </row>
    <row r="1423" spans="1:6" x14ac:dyDescent="0.25">
      <c r="A1423" s="139"/>
      <c r="C1423" s="140"/>
      <c r="F1423" s="1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719B-2955-D64A-BDB2-76D0F36F6CE8}">
  <dimension ref="A1:S4232"/>
  <sheetViews>
    <sheetView tabSelected="1" topLeftCell="A3865" zoomScale="91" zoomScaleNormal="93" workbookViewId="0">
      <selection activeCell="J3914" sqref="J3914"/>
    </sheetView>
  </sheetViews>
  <sheetFormatPr baseColWidth="10" defaultRowHeight="19" x14ac:dyDescent="0.25"/>
  <cols>
    <col min="1" max="1" width="107.5" style="3" customWidth="1"/>
    <col min="2" max="2" width="10.5" style="3" bestFit="1" customWidth="1"/>
    <col min="3" max="3" width="7.83203125" style="3" bestFit="1" customWidth="1"/>
    <col min="4" max="4" width="16.83203125" style="189" customWidth="1"/>
    <col min="5" max="5" width="6" style="3" bestFit="1" customWidth="1"/>
    <col min="6" max="6" width="18.1640625" style="189" customWidth="1"/>
    <col min="7" max="7" width="6.33203125" style="3" bestFit="1" customWidth="1"/>
    <col min="8" max="8" width="10.1640625" style="3" customWidth="1"/>
    <col min="9" max="9" width="7.6640625" style="3" customWidth="1"/>
    <col min="10" max="10" width="21" style="3" customWidth="1"/>
    <col min="11" max="11" width="18.33203125" style="118" customWidth="1"/>
    <col min="12" max="12" width="19.1640625" style="118" customWidth="1"/>
    <col min="13" max="13" width="8.83203125" style="16" customWidth="1"/>
    <col min="14" max="14" width="20" style="24" customWidth="1"/>
    <col min="15" max="15" width="7.83203125" style="16" customWidth="1"/>
    <col min="16" max="16" width="17.5" style="24" customWidth="1"/>
    <col min="17" max="17" width="10.83203125" style="16"/>
    <col min="18" max="18" width="13.1640625" style="16" customWidth="1"/>
    <col min="19" max="19" width="15" style="16" customWidth="1"/>
    <col min="20" max="16384" width="10.83203125" style="3"/>
  </cols>
  <sheetData>
    <row r="1" spans="1:15" x14ac:dyDescent="0.25">
      <c r="A1" s="2" t="s">
        <v>0</v>
      </c>
      <c r="B1" s="3" t="s">
        <v>1</v>
      </c>
    </row>
    <row r="2" spans="1:15" ht="20" thickBot="1" x14ac:dyDescent="0.3">
      <c r="A2" s="2" t="s">
        <v>2</v>
      </c>
      <c r="B2" s="3" t="s">
        <v>3</v>
      </c>
      <c r="C2" s="3" t="s">
        <v>4</v>
      </c>
      <c r="D2" s="189" t="s">
        <v>5</v>
      </c>
      <c r="E2" s="3" t="s">
        <v>6</v>
      </c>
      <c r="F2" s="189" t="s">
        <v>7</v>
      </c>
    </row>
    <row r="3" spans="1:15" x14ac:dyDescent="0.25">
      <c r="A3" s="2" t="s">
        <v>8</v>
      </c>
      <c r="B3" s="3" t="s">
        <v>9</v>
      </c>
      <c r="C3" s="3">
        <v>10</v>
      </c>
      <c r="D3" s="189">
        <v>259.66000000000003</v>
      </c>
      <c r="E3" s="3" t="s">
        <v>10</v>
      </c>
      <c r="F3" s="189">
        <v>6.5570000000000004</v>
      </c>
      <c r="G3" s="3" t="s">
        <v>11</v>
      </c>
      <c r="J3" s="5" t="s">
        <v>161</v>
      </c>
      <c r="K3" s="72" t="s">
        <v>340</v>
      </c>
      <c r="L3" s="72" t="s">
        <v>341</v>
      </c>
      <c r="M3" s="17" t="s">
        <v>162</v>
      </c>
      <c r="N3" s="72" t="s">
        <v>342</v>
      </c>
      <c r="O3" s="21" t="s">
        <v>162</v>
      </c>
    </row>
    <row r="4" spans="1:15" x14ac:dyDescent="0.25">
      <c r="A4" s="2" t="s">
        <v>12</v>
      </c>
      <c r="B4" s="3" t="s">
        <v>9</v>
      </c>
      <c r="C4" s="3">
        <v>10</v>
      </c>
      <c r="D4" s="189">
        <v>130.40600000000001</v>
      </c>
      <c r="E4" s="3" t="s">
        <v>10</v>
      </c>
      <c r="F4" s="189">
        <v>7.3239999999999998</v>
      </c>
      <c r="G4" s="3" t="s">
        <v>11</v>
      </c>
      <c r="J4" s="6">
        <v>100000</v>
      </c>
      <c r="K4" s="119">
        <f>D3</f>
        <v>259.66000000000003</v>
      </c>
      <c r="L4" s="119">
        <f>D4</f>
        <v>130.40600000000001</v>
      </c>
      <c r="M4" s="18">
        <f>(D4/D3-1)</f>
        <v>-0.49778171454979592</v>
      </c>
      <c r="N4" s="73">
        <f>D5</f>
        <v>186.547</v>
      </c>
      <c r="O4" s="22">
        <f>(D5/D3-1)</f>
        <v>-0.28157205576523159</v>
      </c>
    </row>
    <row r="5" spans="1:15" x14ac:dyDescent="0.25">
      <c r="A5" s="2" t="s">
        <v>13</v>
      </c>
      <c r="B5" s="3" t="s">
        <v>9</v>
      </c>
      <c r="C5" s="3">
        <v>10</v>
      </c>
      <c r="D5" s="189">
        <v>186.547</v>
      </c>
      <c r="E5" s="3" t="s">
        <v>10</v>
      </c>
      <c r="F5" s="189">
        <v>28.311</v>
      </c>
      <c r="G5" s="3" t="s">
        <v>11</v>
      </c>
      <c r="J5" s="6">
        <v>50000</v>
      </c>
      <c r="K5" s="119">
        <f>D6</f>
        <v>527.67200000000003</v>
      </c>
      <c r="L5" s="119">
        <f>D7</f>
        <v>271.12599999999998</v>
      </c>
      <c r="M5" s="18">
        <f>(D7/D6-1)</f>
        <v>-0.48618459952394677</v>
      </c>
      <c r="N5" s="73">
        <f>D8</f>
        <v>390.92399999999998</v>
      </c>
      <c r="O5" s="22">
        <f>(D8/D6-1)</f>
        <v>-0.25915341348413412</v>
      </c>
    </row>
    <row r="6" spans="1:15" x14ac:dyDescent="0.25">
      <c r="A6" s="2" t="s">
        <v>14</v>
      </c>
      <c r="B6" s="3" t="s">
        <v>9</v>
      </c>
      <c r="C6" s="3">
        <v>10</v>
      </c>
      <c r="D6" s="189">
        <v>527.67200000000003</v>
      </c>
      <c r="E6" s="3" t="s">
        <v>10</v>
      </c>
      <c r="F6" s="189">
        <v>17.353000000000002</v>
      </c>
      <c r="G6" s="3" t="s">
        <v>11</v>
      </c>
      <c r="J6" s="6">
        <v>10000</v>
      </c>
      <c r="K6" s="119">
        <f>D9</f>
        <v>2595.3339999999998</v>
      </c>
      <c r="L6" s="119">
        <f>D10</f>
        <v>1378.0540000000001</v>
      </c>
      <c r="M6" s="18">
        <f>(D10/D9-1)</f>
        <v>-0.46902633726526133</v>
      </c>
      <c r="N6" s="73">
        <f>D11</f>
        <v>1958.8689999999999</v>
      </c>
      <c r="O6" s="22">
        <f>(D11/D9-1)</f>
        <v>-0.24523433207440737</v>
      </c>
    </row>
    <row r="7" spans="1:15" x14ac:dyDescent="0.25">
      <c r="A7" s="2" t="s">
        <v>15</v>
      </c>
      <c r="B7" s="3" t="s">
        <v>9</v>
      </c>
      <c r="C7" s="3">
        <v>10</v>
      </c>
      <c r="D7" s="189">
        <v>271.12599999999998</v>
      </c>
      <c r="E7" s="3" t="s">
        <v>10</v>
      </c>
      <c r="F7" s="189">
        <v>12.071999999999999</v>
      </c>
      <c r="G7" s="3" t="s">
        <v>11</v>
      </c>
      <c r="J7" s="6">
        <v>1000</v>
      </c>
      <c r="K7" s="119">
        <f>D12</f>
        <v>18722.84</v>
      </c>
      <c r="L7" s="119">
        <f>D13</f>
        <v>11553.567999999999</v>
      </c>
      <c r="M7" s="18">
        <f>(D13/D12-1)</f>
        <v>-0.38291583969098708</v>
      </c>
      <c r="N7" s="73">
        <f>D14</f>
        <v>18412.454000000002</v>
      </c>
      <c r="O7" s="22">
        <f>(D14/D12-1)</f>
        <v>-1.6577933689547075E-2</v>
      </c>
    </row>
    <row r="8" spans="1:15" ht="20" thickBot="1" x14ac:dyDescent="0.3">
      <c r="A8" s="2" t="s">
        <v>16</v>
      </c>
      <c r="B8" s="3" t="s">
        <v>9</v>
      </c>
      <c r="C8" s="3">
        <v>10</v>
      </c>
      <c r="D8" s="189">
        <v>390.92399999999998</v>
      </c>
      <c r="E8" s="3" t="s">
        <v>10</v>
      </c>
      <c r="F8" s="189">
        <v>54.429000000000002</v>
      </c>
      <c r="G8" s="3" t="s">
        <v>11</v>
      </c>
      <c r="J8" s="7">
        <v>100</v>
      </c>
      <c r="K8" s="120">
        <f>D15</f>
        <v>266391.51</v>
      </c>
      <c r="L8" s="120">
        <f>D16</f>
        <v>170700.348</v>
      </c>
      <c r="M8" s="19">
        <f>(D16/D15-1)</f>
        <v>-0.35921250643460823</v>
      </c>
      <c r="N8" s="74">
        <f>D17</f>
        <v>180463.01199999999</v>
      </c>
      <c r="O8" s="23">
        <f>(D17/D15-1)</f>
        <v>-0.32256470185555097</v>
      </c>
    </row>
    <row r="9" spans="1:15" x14ac:dyDescent="0.25">
      <c r="A9" s="2" t="s">
        <v>17</v>
      </c>
      <c r="B9" s="3" t="s">
        <v>9</v>
      </c>
      <c r="C9" s="3">
        <v>10</v>
      </c>
      <c r="D9" s="189">
        <v>2595.3339999999998</v>
      </c>
      <c r="E9" s="3" t="s">
        <v>10</v>
      </c>
      <c r="F9" s="189">
        <v>56.01</v>
      </c>
      <c r="G9" s="3" t="s">
        <v>11</v>
      </c>
    </row>
    <row r="10" spans="1:15" x14ac:dyDescent="0.25">
      <c r="A10" s="2" t="s">
        <v>18</v>
      </c>
      <c r="B10" s="3" t="s">
        <v>9</v>
      </c>
      <c r="C10" s="3">
        <v>10</v>
      </c>
      <c r="D10" s="189">
        <v>1378.0540000000001</v>
      </c>
      <c r="E10" s="3" t="s">
        <v>10</v>
      </c>
      <c r="F10" s="189">
        <v>48.012</v>
      </c>
      <c r="G10" s="3" t="s">
        <v>11</v>
      </c>
    </row>
    <row r="11" spans="1:15" x14ac:dyDescent="0.25">
      <c r="A11" s="2" t="s">
        <v>19</v>
      </c>
      <c r="B11" s="3" t="s">
        <v>9</v>
      </c>
      <c r="C11" s="3">
        <v>10</v>
      </c>
      <c r="D11" s="189">
        <v>1958.8689999999999</v>
      </c>
      <c r="E11" s="3" t="s">
        <v>10</v>
      </c>
      <c r="F11" s="189">
        <v>286.92700000000002</v>
      </c>
      <c r="G11" s="3" t="s">
        <v>11</v>
      </c>
      <c r="J11" s="24"/>
    </row>
    <row r="12" spans="1:15" x14ac:dyDescent="0.25">
      <c r="A12" s="2" t="s">
        <v>20</v>
      </c>
      <c r="B12" s="3" t="s">
        <v>9</v>
      </c>
      <c r="C12" s="3">
        <v>10</v>
      </c>
      <c r="D12" s="189">
        <v>18722.84</v>
      </c>
      <c r="E12" s="3" t="s">
        <v>10</v>
      </c>
      <c r="F12" s="189">
        <v>352.44900000000001</v>
      </c>
      <c r="G12" s="3" t="s">
        <v>11</v>
      </c>
      <c r="J12" s="24"/>
    </row>
    <row r="13" spans="1:15" x14ac:dyDescent="0.25">
      <c r="A13" s="2" t="s">
        <v>21</v>
      </c>
      <c r="B13" s="3" t="s">
        <v>9</v>
      </c>
      <c r="C13" s="3">
        <v>10</v>
      </c>
      <c r="D13" s="189">
        <v>11553.567999999999</v>
      </c>
      <c r="E13" s="3" t="s">
        <v>10</v>
      </c>
      <c r="F13" s="189">
        <v>113.337</v>
      </c>
      <c r="G13" s="3" t="s">
        <v>11</v>
      </c>
      <c r="J13" s="24"/>
    </row>
    <row r="14" spans="1:15" x14ac:dyDescent="0.25">
      <c r="A14" s="2" t="s">
        <v>22</v>
      </c>
      <c r="B14" s="3" t="s">
        <v>9</v>
      </c>
      <c r="C14" s="3">
        <v>10</v>
      </c>
      <c r="D14" s="189">
        <v>18412.454000000002</v>
      </c>
      <c r="E14" s="3" t="s">
        <v>10</v>
      </c>
      <c r="F14" s="189">
        <v>2074.0990000000002</v>
      </c>
      <c r="G14" s="3" t="s">
        <v>11</v>
      </c>
      <c r="J14" s="24"/>
    </row>
    <row r="15" spans="1:15" x14ac:dyDescent="0.25">
      <c r="A15" s="2" t="s">
        <v>23</v>
      </c>
      <c r="B15" s="3" t="s">
        <v>9</v>
      </c>
      <c r="C15" s="3">
        <v>10</v>
      </c>
      <c r="D15" s="189">
        <v>266391.51</v>
      </c>
      <c r="E15" s="3" t="s">
        <v>10</v>
      </c>
      <c r="F15" s="189">
        <v>3781.212</v>
      </c>
      <c r="G15" s="3" t="s">
        <v>11</v>
      </c>
      <c r="J15" s="24"/>
    </row>
    <row r="16" spans="1:15" x14ac:dyDescent="0.25">
      <c r="A16" s="2" t="s">
        <v>24</v>
      </c>
      <c r="B16" s="3" t="s">
        <v>9</v>
      </c>
      <c r="C16" s="3">
        <v>10</v>
      </c>
      <c r="D16" s="189">
        <v>170700.348</v>
      </c>
      <c r="E16" s="3" t="s">
        <v>10</v>
      </c>
      <c r="F16" s="189">
        <v>1133.383</v>
      </c>
      <c r="G16" s="3" t="s">
        <v>11</v>
      </c>
    </row>
    <row r="17" spans="1:15" x14ac:dyDescent="0.25">
      <c r="A17" s="2" t="s">
        <v>25</v>
      </c>
      <c r="B17" s="3" t="s">
        <v>9</v>
      </c>
      <c r="C17" s="3">
        <v>10</v>
      </c>
      <c r="D17" s="189">
        <v>180463.01199999999</v>
      </c>
      <c r="E17" s="3" t="s">
        <v>10</v>
      </c>
      <c r="F17" s="189">
        <v>16257.06</v>
      </c>
      <c r="G17" s="3" t="s">
        <v>11</v>
      </c>
    </row>
    <row r="19" spans="1:15" x14ac:dyDescent="0.25">
      <c r="A19" s="2" t="s">
        <v>0</v>
      </c>
      <c r="B19" s="3" t="s">
        <v>1</v>
      </c>
    </row>
    <row r="20" spans="1:15" ht="20" thickBot="1" x14ac:dyDescent="0.3">
      <c r="A20" s="2" t="s">
        <v>2</v>
      </c>
      <c r="B20" s="3" t="s">
        <v>3</v>
      </c>
      <c r="C20" s="3" t="s">
        <v>4</v>
      </c>
      <c r="D20" s="189" t="s">
        <v>5</v>
      </c>
      <c r="E20" s="3" t="s">
        <v>6</v>
      </c>
      <c r="F20" s="189" t="s">
        <v>7</v>
      </c>
    </row>
    <row r="21" spans="1:15" x14ac:dyDescent="0.25">
      <c r="A21" s="2" t="s">
        <v>26</v>
      </c>
      <c r="B21" s="3" t="s">
        <v>9</v>
      </c>
      <c r="C21" s="3">
        <v>10</v>
      </c>
      <c r="D21" s="189">
        <v>489.37400000000002</v>
      </c>
      <c r="E21" s="3" t="s">
        <v>10</v>
      </c>
      <c r="F21" s="189">
        <v>16.385999999999999</v>
      </c>
      <c r="G21" s="3" t="s">
        <v>11</v>
      </c>
      <c r="J21" s="5" t="s">
        <v>163</v>
      </c>
      <c r="K21" s="72" t="s">
        <v>340</v>
      </c>
      <c r="L21" s="72" t="s">
        <v>341</v>
      </c>
      <c r="M21" s="17" t="s">
        <v>162</v>
      </c>
      <c r="N21" s="72" t="s">
        <v>342</v>
      </c>
      <c r="O21" s="21" t="s">
        <v>162</v>
      </c>
    </row>
    <row r="22" spans="1:15" x14ac:dyDescent="0.25">
      <c r="A22" s="2" t="s">
        <v>27</v>
      </c>
      <c r="B22" s="3" t="s">
        <v>9</v>
      </c>
      <c r="C22" s="3">
        <v>10</v>
      </c>
      <c r="D22" s="189">
        <v>380.84199999999998</v>
      </c>
      <c r="E22" s="3" t="s">
        <v>10</v>
      </c>
      <c r="F22" s="189">
        <v>10.294</v>
      </c>
      <c r="G22" s="3" t="s">
        <v>11</v>
      </c>
      <c r="J22" s="6">
        <v>100000</v>
      </c>
      <c r="K22" s="119">
        <f>D21</f>
        <v>489.37400000000002</v>
      </c>
      <c r="L22" s="119">
        <f>D22</f>
        <v>380.84199999999998</v>
      </c>
      <c r="M22" s="18">
        <f>(D22/D21-1)</f>
        <v>-0.22177720925100242</v>
      </c>
      <c r="N22" s="73">
        <f>D23</f>
        <v>371.38499999999999</v>
      </c>
      <c r="O22" s="22">
        <f>(D23/D21-1)</f>
        <v>-0.24110189752622746</v>
      </c>
    </row>
    <row r="23" spans="1:15" x14ac:dyDescent="0.25">
      <c r="A23" s="2" t="s">
        <v>28</v>
      </c>
      <c r="B23" s="3" t="s">
        <v>9</v>
      </c>
      <c r="C23" s="3">
        <v>10</v>
      </c>
      <c r="D23" s="189">
        <v>371.38499999999999</v>
      </c>
      <c r="E23" s="3" t="s">
        <v>10</v>
      </c>
      <c r="F23" s="189">
        <v>51.862000000000002</v>
      </c>
      <c r="G23" s="3" t="s">
        <v>11</v>
      </c>
      <c r="J23" s="6">
        <v>50000</v>
      </c>
      <c r="K23" s="119">
        <f>D24</f>
        <v>1022.201</v>
      </c>
      <c r="L23" s="119">
        <f>D25</f>
        <v>776.33100000000002</v>
      </c>
      <c r="M23" s="18">
        <f>(D25/D24-1)</f>
        <v>-0.24052999361182392</v>
      </c>
      <c r="N23" s="73">
        <f>D26</f>
        <v>801.20899999999995</v>
      </c>
      <c r="O23" s="22">
        <f>(D26/D24-1)</f>
        <v>-0.21619231442739739</v>
      </c>
    </row>
    <row r="24" spans="1:15" x14ac:dyDescent="0.25">
      <c r="A24" s="2" t="s">
        <v>29</v>
      </c>
      <c r="B24" s="3" t="s">
        <v>9</v>
      </c>
      <c r="C24" s="3">
        <v>10</v>
      </c>
      <c r="D24" s="189">
        <v>1022.201</v>
      </c>
      <c r="E24" s="3" t="s">
        <v>10</v>
      </c>
      <c r="F24" s="189">
        <v>7.649</v>
      </c>
      <c r="G24" s="3" t="s">
        <v>11</v>
      </c>
      <c r="J24" s="6">
        <v>10000</v>
      </c>
      <c r="K24" s="119">
        <f>D27</f>
        <v>4916.0079999999998</v>
      </c>
      <c r="L24" s="119">
        <f>D28</f>
        <v>3899.19</v>
      </c>
      <c r="M24" s="18">
        <f>(D28/D27-1)</f>
        <v>-0.20683814997860051</v>
      </c>
      <c r="N24" s="73">
        <f>D29</f>
        <v>3848.2269999999999</v>
      </c>
      <c r="O24" s="22">
        <f>(D29/D27-1)</f>
        <v>-0.21720489470318194</v>
      </c>
    </row>
    <row r="25" spans="1:15" x14ac:dyDescent="0.25">
      <c r="A25" s="2" t="s">
        <v>30</v>
      </c>
      <c r="B25" s="3" t="s">
        <v>9</v>
      </c>
      <c r="C25" s="3">
        <v>10</v>
      </c>
      <c r="D25" s="189">
        <v>776.33100000000002</v>
      </c>
      <c r="E25" s="3" t="s">
        <v>10</v>
      </c>
      <c r="F25" s="189">
        <v>7.2350000000000003</v>
      </c>
      <c r="G25" s="3" t="s">
        <v>11</v>
      </c>
      <c r="J25" s="6">
        <v>1000</v>
      </c>
      <c r="K25" s="119">
        <f>D30</f>
        <v>37320.116999999998</v>
      </c>
      <c r="L25" s="119">
        <f>D31</f>
        <v>36036.402000000002</v>
      </c>
      <c r="M25" s="18">
        <f>(D31/D30-1)</f>
        <v>-3.43974002010764E-2</v>
      </c>
      <c r="N25" s="73">
        <f>D32</f>
        <v>40092.004999999997</v>
      </c>
      <c r="O25" s="22">
        <f>(D32/D30-1)</f>
        <v>7.4273293409021113E-2</v>
      </c>
    </row>
    <row r="26" spans="1:15" ht="20" thickBot="1" x14ac:dyDescent="0.3">
      <c r="A26" s="2" t="s">
        <v>31</v>
      </c>
      <c r="B26" s="3" t="s">
        <v>9</v>
      </c>
      <c r="C26" s="3">
        <v>10</v>
      </c>
      <c r="D26" s="189">
        <v>801.20899999999995</v>
      </c>
      <c r="E26" s="3" t="s">
        <v>10</v>
      </c>
      <c r="F26" s="189">
        <v>106.249</v>
      </c>
      <c r="G26" s="3" t="s">
        <v>11</v>
      </c>
      <c r="J26" s="7">
        <v>100</v>
      </c>
      <c r="K26" s="120">
        <f>D33</f>
        <v>499918.734</v>
      </c>
      <c r="L26" s="120">
        <f>D34</f>
        <v>412806.82</v>
      </c>
      <c r="M26" s="19">
        <f>(D34/D33-1)</f>
        <v>-0.17425214955037072</v>
      </c>
      <c r="N26" s="74">
        <f>D35</f>
        <v>386454.30599999998</v>
      </c>
      <c r="O26" s="23">
        <f>(D35/D33-1)</f>
        <v>-0.22696574519649826</v>
      </c>
    </row>
    <row r="27" spans="1:15" x14ac:dyDescent="0.25">
      <c r="A27" s="2" t="s">
        <v>32</v>
      </c>
      <c r="B27" s="3" t="s">
        <v>9</v>
      </c>
      <c r="C27" s="3">
        <v>10</v>
      </c>
      <c r="D27" s="189">
        <v>4916.0079999999998</v>
      </c>
      <c r="E27" s="3" t="s">
        <v>10</v>
      </c>
      <c r="F27" s="189">
        <v>55.546999999999997</v>
      </c>
      <c r="G27" s="3" t="s">
        <v>11</v>
      </c>
    </row>
    <row r="28" spans="1:15" x14ac:dyDescent="0.25">
      <c r="A28" s="2" t="s">
        <v>33</v>
      </c>
      <c r="B28" s="3" t="s">
        <v>9</v>
      </c>
      <c r="C28" s="3">
        <v>10</v>
      </c>
      <c r="D28" s="189">
        <v>3899.19</v>
      </c>
      <c r="E28" s="3" t="s">
        <v>10</v>
      </c>
      <c r="F28" s="189">
        <v>68.116</v>
      </c>
      <c r="G28" s="3" t="s">
        <v>11</v>
      </c>
    </row>
    <row r="29" spans="1:15" x14ac:dyDescent="0.25">
      <c r="A29" s="2" t="s">
        <v>34</v>
      </c>
      <c r="B29" s="3" t="s">
        <v>9</v>
      </c>
      <c r="C29" s="3">
        <v>10</v>
      </c>
      <c r="D29" s="189">
        <v>3848.2269999999999</v>
      </c>
      <c r="E29" s="3" t="s">
        <v>10</v>
      </c>
      <c r="F29" s="189">
        <v>640.60299999999995</v>
      </c>
      <c r="G29" s="3" t="s">
        <v>11</v>
      </c>
    </row>
    <row r="30" spans="1:15" x14ac:dyDescent="0.25">
      <c r="A30" s="2" t="s">
        <v>35</v>
      </c>
      <c r="B30" s="3" t="s">
        <v>9</v>
      </c>
      <c r="C30" s="3">
        <v>10</v>
      </c>
      <c r="D30" s="189">
        <v>37320.116999999998</v>
      </c>
      <c r="E30" s="3" t="s">
        <v>10</v>
      </c>
      <c r="F30" s="189">
        <v>203.46</v>
      </c>
      <c r="G30" s="3" t="s">
        <v>11</v>
      </c>
    </row>
    <row r="31" spans="1:15" x14ac:dyDescent="0.25">
      <c r="A31" s="2" t="s">
        <v>36</v>
      </c>
      <c r="B31" s="3" t="s">
        <v>9</v>
      </c>
      <c r="C31" s="3">
        <v>10</v>
      </c>
      <c r="D31" s="189">
        <v>36036.402000000002</v>
      </c>
      <c r="E31" s="3" t="s">
        <v>10</v>
      </c>
      <c r="F31" s="189">
        <v>129.25299999999999</v>
      </c>
      <c r="G31" s="3" t="s">
        <v>11</v>
      </c>
    </row>
    <row r="32" spans="1:15" x14ac:dyDescent="0.25">
      <c r="A32" s="2" t="s">
        <v>37</v>
      </c>
      <c r="B32" s="3" t="s">
        <v>9</v>
      </c>
      <c r="C32" s="3">
        <v>10</v>
      </c>
      <c r="D32" s="189">
        <v>40092.004999999997</v>
      </c>
      <c r="E32" s="3" t="s">
        <v>10</v>
      </c>
      <c r="F32" s="189">
        <v>2325.3519999999999</v>
      </c>
      <c r="G32" s="3" t="s">
        <v>11</v>
      </c>
    </row>
    <row r="33" spans="1:15" x14ac:dyDescent="0.25">
      <c r="A33" s="2" t="s">
        <v>38</v>
      </c>
      <c r="B33" s="3" t="s">
        <v>9</v>
      </c>
      <c r="C33" s="3">
        <v>10</v>
      </c>
      <c r="D33" s="189">
        <v>499918.734</v>
      </c>
      <c r="E33" s="3" t="s">
        <v>10</v>
      </c>
      <c r="F33" s="189">
        <v>4108.0910000000003</v>
      </c>
      <c r="G33" s="3" t="s">
        <v>11</v>
      </c>
    </row>
    <row r="34" spans="1:15" x14ac:dyDescent="0.25">
      <c r="A34" s="2" t="s">
        <v>39</v>
      </c>
      <c r="B34" s="3" t="s">
        <v>9</v>
      </c>
      <c r="C34" s="3">
        <v>10</v>
      </c>
      <c r="D34" s="189">
        <v>412806.82</v>
      </c>
      <c r="E34" s="3" t="s">
        <v>10</v>
      </c>
      <c r="F34" s="189">
        <v>1964.1310000000001</v>
      </c>
      <c r="G34" s="3" t="s">
        <v>11</v>
      </c>
    </row>
    <row r="35" spans="1:15" x14ac:dyDescent="0.25">
      <c r="A35" s="2" t="s">
        <v>40</v>
      </c>
      <c r="B35" s="3" t="s">
        <v>9</v>
      </c>
      <c r="C35" s="3">
        <v>10</v>
      </c>
      <c r="D35" s="189">
        <v>386454.30599999998</v>
      </c>
      <c r="E35" s="3" t="s">
        <v>10</v>
      </c>
      <c r="F35" s="189">
        <v>81277.274999999994</v>
      </c>
      <c r="G35" s="3" t="s">
        <v>11</v>
      </c>
    </row>
    <row r="37" spans="1:15" x14ac:dyDescent="0.25">
      <c r="A37" s="2" t="s">
        <v>0</v>
      </c>
      <c r="B37" s="3" t="s">
        <v>1</v>
      </c>
    </row>
    <row r="38" spans="1:15" ht="20" thickBot="1" x14ac:dyDescent="0.3">
      <c r="A38" s="2" t="s">
        <v>2</v>
      </c>
      <c r="B38" s="3" t="s">
        <v>3</v>
      </c>
      <c r="C38" s="3" t="s">
        <v>4</v>
      </c>
      <c r="D38" s="189" t="s">
        <v>5</v>
      </c>
      <c r="E38" s="3" t="s">
        <v>6</v>
      </c>
      <c r="F38" s="189" t="s">
        <v>7</v>
      </c>
    </row>
    <row r="39" spans="1:15" x14ac:dyDescent="0.25">
      <c r="A39" s="2" t="s">
        <v>41</v>
      </c>
      <c r="B39" s="3" t="s">
        <v>9</v>
      </c>
      <c r="C39" s="3">
        <v>10</v>
      </c>
      <c r="D39" s="189">
        <v>756.69600000000003</v>
      </c>
      <c r="E39" s="3" t="s">
        <v>10</v>
      </c>
      <c r="F39" s="189">
        <v>21.707999999999998</v>
      </c>
      <c r="G39" s="3" t="s">
        <v>11</v>
      </c>
      <c r="J39" s="5" t="s">
        <v>164</v>
      </c>
      <c r="K39" s="72" t="s">
        <v>340</v>
      </c>
      <c r="L39" s="72" t="s">
        <v>341</v>
      </c>
      <c r="M39" s="17" t="s">
        <v>162</v>
      </c>
      <c r="N39" s="72" t="s">
        <v>342</v>
      </c>
      <c r="O39" s="21" t="s">
        <v>162</v>
      </c>
    </row>
    <row r="40" spans="1:15" x14ac:dyDescent="0.25">
      <c r="A40" s="2" t="s">
        <v>42</v>
      </c>
      <c r="B40" s="3" t="s">
        <v>9</v>
      </c>
      <c r="C40" s="3">
        <v>10</v>
      </c>
      <c r="D40" s="189">
        <v>771.70600000000002</v>
      </c>
      <c r="E40" s="3" t="s">
        <v>10</v>
      </c>
      <c r="F40" s="189">
        <v>10.513999999999999</v>
      </c>
      <c r="G40" s="3" t="s">
        <v>11</v>
      </c>
      <c r="J40" s="6">
        <v>100000</v>
      </c>
      <c r="K40" s="119">
        <f>D39</f>
        <v>756.69600000000003</v>
      </c>
      <c r="L40" s="119">
        <f>D40</f>
        <v>771.70600000000002</v>
      </c>
      <c r="M40" s="18">
        <f>(D40/D39-1)</f>
        <v>1.9836235423472459E-2</v>
      </c>
      <c r="N40" s="73">
        <f>D41</f>
        <v>775.16399999999999</v>
      </c>
      <c r="O40" s="22">
        <f>(D41/D39-1)</f>
        <v>2.4406102318500267E-2</v>
      </c>
    </row>
    <row r="41" spans="1:15" x14ac:dyDescent="0.25">
      <c r="A41" s="2" t="s">
        <v>43</v>
      </c>
      <c r="B41" s="3" t="s">
        <v>9</v>
      </c>
      <c r="C41" s="3">
        <v>10</v>
      </c>
      <c r="D41" s="189">
        <v>775.16399999999999</v>
      </c>
      <c r="E41" s="3" t="s">
        <v>10</v>
      </c>
      <c r="F41" s="189">
        <v>174.74</v>
      </c>
      <c r="G41" s="3" t="s">
        <v>11</v>
      </c>
      <c r="J41" s="6">
        <v>50000</v>
      </c>
      <c r="K41" s="119">
        <f>D42</f>
        <v>1550.547</v>
      </c>
      <c r="L41" s="119">
        <f>D43</f>
        <v>1546.2329999999999</v>
      </c>
      <c r="M41" s="18">
        <f>(D43/D42-1)</f>
        <v>-2.7822439435889468E-3</v>
      </c>
      <c r="N41" s="73">
        <f>D44</f>
        <v>1205.1420000000001</v>
      </c>
      <c r="O41" s="22">
        <f>(D44/D42-1)</f>
        <v>-0.22276332158909085</v>
      </c>
    </row>
    <row r="42" spans="1:15" x14ac:dyDescent="0.25">
      <c r="A42" s="2" t="s">
        <v>44</v>
      </c>
      <c r="B42" s="3" t="s">
        <v>9</v>
      </c>
      <c r="C42" s="3">
        <v>10</v>
      </c>
      <c r="D42" s="189">
        <v>1550.547</v>
      </c>
      <c r="E42" s="3" t="s">
        <v>10</v>
      </c>
      <c r="F42" s="189">
        <v>45.616</v>
      </c>
      <c r="G42" s="3" t="s">
        <v>11</v>
      </c>
      <c r="J42" s="6">
        <v>10000</v>
      </c>
      <c r="K42" s="119">
        <f>D45</f>
        <v>7621.35</v>
      </c>
      <c r="L42" s="119">
        <f>D46</f>
        <v>7890.9309999999996</v>
      </c>
      <c r="M42" s="18">
        <f>(D46/D45-1)</f>
        <v>3.5371817328950783E-2</v>
      </c>
      <c r="N42" s="73">
        <f>D47</f>
        <v>7933.9030000000002</v>
      </c>
      <c r="O42" s="22">
        <f>(D47/D45-1)</f>
        <v>4.1010188483667553E-2</v>
      </c>
    </row>
    <row r="43" spans="1:15" x14ac:dyDescent="0.25">
      <c r="A43" s="2" t="s">
        <v>45</v>
      </c>
      <c r="B43" s="3" t="s">
        <v>9</v>
      </c>
      <c r="C43" s="3">
        <v>10</v>
      </c>
      <c r="D43" s="189">
        <v>1546.2329999999999</v>
      </c>
      <c r="E43" s="3" t="s">
        <v>10</v>
      </c>
      <c r="F43" s="189">
        <v>85.013000000000005</v>
      </c>
      <c r="G43" s="3" t="s">
        <v>11</v>
      </c>
      <c r="J43" s="6">
        <v>1000</v>
      </c>
      <c r="K43" s="119">
        <f>D48</f>
        <v>58102.245000000003</v>
      </c>
      <c r="L43" s="119">
        <f>D49</f>
        <v>70994.625</v>
      </c>
      <c r="M43" s="18">
        <f>(D49/D48-1)</f>
        <v>0.22189125394380205</v>
      </c>
      <c r="N43" s="73">
        <f>D50</f>
        <v>57872.144999999997</v>
      </c>
      <c r="O43" s="22">
        <f>(D50/D48-1)</f>
        <v>-3.9602600553559908E-3</v>
      </c>
    </row>
    <row r="44" spans="1:15" ht="20" thickBot="1" x14ac:dyDescent="0.3">
      <c r="A44" s="2" t="s">
        <v>46</v>
      </c>
      <c r="B44" s="3" t="s">
        <v>9</v>
      </c>
      <c r="C44" s="3">
        <v>10</v>
      </c>
      <c r="D44" s="189">
        <v>1205.1420000000001</v>
      </c>
      <c r="E44" s="3" t="s">
        <v>10</v>
      </c>
      <c r="F44" s="189">
        <v>239.90299999999999</v>
      </c>
      <c r="G44" s="3" t="s">
        <v>11</v>
      </c>
      <c r="J44" s="7">
        <v>100</v>
      </c>
      <c r="K44" s="120">
        <f>D51</f>
        <v>771416.95200000005</v>
      </c>
      <c r="L44" s="120">
        <f>D52</f>
        <v>838848.71100000001</v>
      </c>
      <c r="M44" s="19">
        <f>(D52/D51-1)</f>
        <v>8.7412856076307666E-2</v>
      </c>
      <c r="N44" s="74">
        <f>D53</f>
        <v>845790.98</v>
      </c>
      <c r="O44" s="23">
        <f>(D53/D51-1)</f>
        <v>9.6412229219458467E-2</v>
      </c>
    </row>
    <row r="45" spans="1:15" x14ac:dyDescent="0.25">
      <c r="A45" s="2" t="s">
        <v>47</v>
      </c>
      <c r="B45" s="3" t="s">
        <v>9</v>
      </c>
      <c r="C45" s="3">
        <v>10</v>
      </c>
      <c r="D45" s="189">
        <v>7621.35</v>
      </c>
      <c r="E45" s="3" t="s">
        <v>10</v>
      </c>
      <c r="F45" s="189">
        <v>54.956000000000003</v>
      </c>
      <c r="G45" s="3" t="s">
        <v>11</v>
      </c>
    </row>
    <row r="46" spans="1:15" x14ac:dyDescent="0.25">
      <c r="A46" s="2" t="s">
        <v>48</v>
      </c>
      <c r="B46" s="3" t="s">
        <v>9</v>
      </c>
      <c r="C46" s="3">
        <v>10</v>
      </c>
      <c r="D46" s="189">
        <v>7890.9309999999996</v>
      </c>
      <c r="E46" s="3" t="s">
        <v>10</v>
      </c>
      <c r="F46" s="189">
        <v>204.40199999999999</v>
      </c>
      <c r="G46" s="3" t="s">
        <v>11</v>
      </c>
    </row>
    <row r="47" spans="1:15" x14ac:dyDescent="0.25">
      <c r="A47" s="2" t="s">
        <v>49</v>
      </c>
      <c r="B47" s="3" t="s">
        <v>9</v>
      </c>
      <c r="C47" s="3">
        <v>10</v>
      </c>
      <c r="D47" s="189">
        <v>7933.9030000000002</v>
      </c>
      <c r="E47" s="3" t="s">
        <v>10</v>
      </c>
      <c r="F47" s="189">
        <v>320.72699999999998</v>
      </c>
      <c r="G47" s="3" t="s">
        <v>11</v>
      </c>
    </row>
    <row r="48" spans="1:15" x14ac:dyDescent="0.25">
      <c r="A48" s="2" t="s">
        <v>50</v>
      </c>
      <c r="B48" s="3" t="s">
        <v>9</v>
      </c>
      <c r="C48" s="3">
        <v>10</v>
      </c>
      <c r="D48" s="189">
        <v>58102.245000000003</v>
      </c>
      <c r="E48" s="3" t="s">
        <v>10</v>
      </c>
      <c r="F48" s="189">
        <v>896.12400000000002</v>
      </c>
      <c r="G48" s="3" t="s">
        <v>11</v>
      </c>
    </row>
    <row r="49" spans="1:15" x14ac:dyDescent="0.25">
      <c r="A49" s="2" t="s">
        <v>51</v>
      </c>
      <c r="B49" s="3" t="s">
        <v>9</v>
      </c>
      <c r="C49" s="3">
        <v>10</v>
      </c>
      <c r="D49" s="189">
        <v>70994.625</v>
      </c>
      <c r="E49" s="3" t="s">
        <v>10</v>
      </c>
      <c r="F49" s="189">
        <v>607.75900000000001</v>
      </c>
      <c r="G49" s="3" t="s">
        <v>11</v>
      </c>
    </row>
    <row r="50" spans="1:15" x14ac:dyDescent="0.25">
      <c r="A50" s="2" t="s">
        <v>52</v>
      </c>
      <c r="B50" s="3" t="s">
        <v>9</v>
      </c>
      <c r="C50" s="3">
        <v>10</v>
      </c>
      <c r="D50" s="189">
        <v>57872.144999999997</v>
      </c>
      <c r="E50" s="3" t="s">
        <v>10</v>
      </c>
      <c r="F50" s="189">
        <v>6485.2619999999997</v>
      </c>
      <c r="G50" s="3" t="s">
        <v>11</v>
      </c>
    </row>
    <row r="51" spans="1:15" x14ac:dyDescent="0.25">
      <c r="A51" s="2" t="s">
        <v>53</v>
      </c>
      <c r="B51" s="3" t="s">
        <v>9</v>
      </c>
      <c r="C51" s="3">
        <v>10</v>
      </c>
      <c r="D51" s="189">
        <v>771416.95200000005</v>
      </c>
      <c r="E51" s="3" t="s">
        <v>10</v>
      </c>
      <c r="F51" s="189">
        <v>5058.835</v>
      </c>
      <c r="G51" s="3" t="s">
        <v>11</v>
      </c>
    </row>
    <row r="52" spans="1:15" x14ac:dyDescent="0.25">
      <c r="A52" s="2" t="s">
        <v>54</v>
      </c>
      <c r="B52" s="3" t="s">
        <v>9</v>
      </c>
      <c r="C52" s="3">
        <v>10</v>
      </c>
      <c r="D52" s="189">
        <v>838848.71100000001</v>
      </c>
      <c r="E52" s="3" t="s">
        <v>10</v>
      </c>
      <c r="F52" s="189">
        <v>15282.174000000001</v>
      </c>
      <c r="G52" s="3" t="s">
        <v>11</v>
      </c>
    </row>
    <row r="53" spans="1:15" x14ac:dyDescent="0.25">
      <c r="A53" s="2" t="s">
        <v>55</v>
      </c>
      <c r="B53" s="3" t="s">
        <v>9</v>
      </c>
      <c r="C53" s="3">
        <v>10</v>
      </c>
      <c r="D53" s="189">
        <v>845790.98</v>
      </c>
      <c r="E53" s="3" t="s">
        <v>10</v>
      </c>
      <c r="F53" s="189">
        <v>32656.288</v>
      </c>
      <c r="G53" s="3" t="s">
        <v>11</v>
      </c>
    </row>
    <row r="55" spans="1:15" x14ac:dyDescent="0.25">
      <c r="A55" s="2" t="s">
        <v>0</v>
      </c>
      <c r="B55" s="3" t="s">
        <v>1</v>
      </c>
    </row>
    <row r="56" spans="1:15" ht="20" thickBot="1" x14ac:dyDescent="0.3">
      <c r="A56" s="2" t="s">
        <v>2</v>
      </c>
      <c r="B56" s="3" t="s">
        <v>3</v>
      </c>
      <c r="C56" s="3" t="s">
        <v>4</v>
      </c>
      <c r="D56" s="189" t="s">
        <v>5</v>
      </c>
      <c r="E56" s="3" t="s">
        <v>6</v>
      </c>
      <c r="F56" s="189" t="s">
        <v>7</v>
      </c>
    </row>
    <row r="57" spans="1:15" x14ac:dyDescent="0.25">
      <c r="A57" s="2" t="s">
        <v>56</v>
      </c>
      <c r="B57" s="3" t="s">
        <v>9</v>
      </c>
      <c r="C57" s="3">
        <v>10</v>
      </c>
      <c r="D57" s="189">
        <v>1040.1510000000001</v>
      </c>
      <c r="E57" s="3" t="s">
        <v>10</v>
      </c>
      <c r="F57" s="189">
        <v>18.056999999999999</v>
      </c>
      <c r="G57" s="3" t="s">
        <v>11</v>
      </c>
      <c r="J57" s="5" t="s">
        <v>165</v>
      </c>
      <c r="K57" s="72" t="s">
        <v>340</v>
      </c>
      <c r="L57" s="72" t="s">
        <v>341</v>
      </c>
      <c r="M57" s="17" t="s">
        <v>162</v>
      </c>
      <c r="N57" s="72" t="s">
        <v>342</v>
      </c>
      <c r="O57" s="21" t="s">
        <v>162</v>
      </c>
    </row>
    <row r="58" spans="1:15" x14ac:dyDescent="0.25">
      <c r="A58" s="2" t="s">
        <v>57</v>
      </c>
      <c r="B58" s="3" t="s">
        <v>9</v>
      </c>
      <c r="C58" s="3">
        <v>10</v>
      </c>
      <c r="D58" s="189">
        <v>1859.7449999999999</v>
      </c>
      <c r="E58" s="3" t="s">
        <v>10</v>
      </c>
      <c r="F58" s="189">
        <v>137.16300000000001</v>
      </c>
      <c r="G58" s="3" t="s">
        <v>11</v>
      </c>
      <c r="J58" s="6">
        <v>100000</v>
      </c>
      <c r="K58" s="119">
        <f>D57</f>
        <v>1040.1510000000001</v>
      </c>
      <c r="L58" s="119">
        <f>D58</f>
        <v>1859.7449999999999</v>
      </c>
      <c r="M58" s="18">
        <f>(D58/D57-1)</f>
        <v>0.78795674858746456</v>
      </c>
      <c r="N58" s="73">
        <f>D59</f>
        <v>1217.3119999999999</v>
      </c>
      <c r="O58" s="22">
        <f>(D59/D57-1)</f>
        <v>0.170322385884357</v>
      </c>
    </row>
    <row r="59" spans="1:15" x14ac:dyDescent="0.25">
      <c r="A59" s="2" t="s">
        <v>58</v>
      </c>
      <c r="B59" s="3" t="s">
        <v>9</v>
      </c>
      <c r="C59" s="3">
        <v>10</v>
      </c>
      <c r="D59" s="189">
        <v>1217.3119999999999</v>
      </c>
      <c r="E59" s="3" t="s">
        <v>10</v>
      </c>
      <c r="F59" s="189">
        <v>15.545</v>
      </c>
      <c r="G59" s="3" t="s">
        <v>11</v>
      </c>
      <c r="J59" s="6">
        <v>50000</v>
      </c>
      <c r="K59" s="119">
        <f>D60</f>
        <v>2175.105</v>
      </c>
      <c r="L59" s="119">
        <f>D61</f>
        <v>3754.7139999999999</v>
      </c>
      <c r="M59" s="18">
        <f>(D61/D60-1)</f>
        <v>0.72622195250344235</v>
      </c>
      <c r="N59" s="73">
        <f>D62</f>
        <v>2466.8980000000001</v>
      </c>
      <c r="O59" s="22">
        <f>(D62/D60-1)</f>
        <v>0.13415122488339648</v>
      </c>
    </row>
    <row r="60" spans="1:15" x14ac:dyDescent="0.25">
      <c r="A60" s="2" t="s">
        <v>59</v>
      </c>
      <c r="B60" s="3" t="s">
        <v>9</v>
      </c>
      <c r="C60" s="3">
        <v>10</v>
      </c>
      <c r="D60" s="189">
        <v>2175.105</v>
      </c>
      <c r="E60" s="3" t="s">
        <v>10</v>
      </c>
      <c r="F60" s="189">
        <v>30.701000000000001</v>
      </c>
      <c r="G60" s="3" t="s">
        <v>11</v>
      </c>
      <c r="J60" s="6">
        <v>10000</v>
      </c>
      <c r="K60" s="119">
        <f>D63</f>
        <v>10291.950999999999</v>
      </c>
      <c r="L60" s="119">
        <f>D64</f>
        <v>18065.719000000001</v>
      </c>
      <c r="M60" s="18">
        <f>(D64/D63-1)</f>
        <v>0.7553250107778402</v>
      </c>
      <c r="N60" s="73">
        <f>D65</f>
        <v>12105.853999999999</v>
      </c>
      <c r="O60" s="22">
        <f>(D65/D63-1)</f>
        <v>0.17624481500154832</v>
      </c>
    </row>
    <row r="61" spans="1:15" x14ac:dyDescent="0.25">
      <c r="A61" s="2" t="s">
        <v>60</v>
      </c>
      <c r="B61" s="3" t="s">
        <v>9</v>
      </c>
      <c r="C61" s="3">
        <v>10</v>
      </c>
      <c r="D61" s="189">
        <v>3754.7139999999999</v>
      </c>
      <c r="E61" s="3" t="s">
        <v>10</v>
      </c>
      <c r="F61" s="189">
        <v>160.93199999999999</v>
      </c>
      <c r="G61" s="3" t="s">
        <v>11</v>
      </c>
      <c r="J61" s="6">
        <v>1000</v>
      </c>
      <c r="K61" s="119">
        <f>D66</f>
        <v>82489.600999999995</v>
      </c>
      <c r="L61" s="119">
        <f>D67</f>
        <v>97886.218999999997</v>
      </c>
      <c r="M61" s="18">
        <f>(D67/D66-1)</f>
        <v>0.18664919957607751</v>
      </c>
      <c r="N61" s="73">
        <f>D68</f>
        <v>112120.546</v>
      </c>
      <c r="O61" s="22">
        <f>(D68/D66-1)</f>
        <v>0.35920824735229373</v>
      </c>
    </row>
    <row r="62" spans="1:15" ht="20" thickBot="1" x14ac:dyDescent="0.3">
      <c r="A62" s="2" t="s">
        <v>61</v>
      </c>
      <c r="B62" s="3" t="s">
        <v>9</v>
      </c>
      <c r="C62" s="3">
        <v>10</v>
      </c>
      <c r="D62" s="189">
        <v>2466.8980000000001</v>
      </c>
      <c r="E62" s="3" t="s">
        <v>10</v>
      </c>
      <c r="F62" s="189">
        <v>33.996000000000002</v>
      </c>
      <c r="G62" s="3" t="s">
        <v>11</v>
      </c>
      <c r="J62" s="7">
        <v>100</v>
      </c>
      <c r="K62" s="120">
        <f>D69</f>
        <v>1059714.899</v>
      </c>
      <c r="L62" s="120">
        <f>D70</f>
        <v>1916079.1159999999</v>
      </c>
      <c r="M62" s="19">
        <f>(D70/D69-1)</f>
        <v>0.80810812210728389</v>
      </c>
      <c r="N62" s="74">
        <f>D71</f>
        <v>1167162.936</v>
      </c>
      <c r="O62" s="23">
        <f>(D71/D69-1)</f>
        <v>0.10139334372046038</v>
      </c>
    </row>
    <row r="63" spans="1:15" x14ac:dyDescent="0.25">
      <c r="A63" s="2" t="s">
        <v>62</v>
      </c>
      <c r="B63" s="3" t="s">
        <v>9</v>
      </c>
      <c r="C63" s="3">
        <v>10</v>
      </c>
      <c r="D63" s="189">
        <v>10291.950999999999</v>
      </c>
      <c r="E63" s="3" t="s">
        <v>10</v>
      </c>
      <c r="F63" s="189">
        <v>252.536</v>
      </c>
      <c r="G63" s="3" t="s">
        <v>11</v>
      </c>
    </row>
    <row r="64" spans="1:15" x14ac:dyDescent="0.25">
      <c r="A64" s="2" t="s">
        <v>63</v>
      </c>
      <c r="B64" s="3" t="s">
        <v>9</v>
      </c>
      <c r="C64" s="3">
        <v>10</v>
      </c>
      <c r="D64" s="189">
        <v>18065.719000000001</v>
      </c>
      <c r="E64" s="3" t="s">
        <v>10</v>
      </c>
      <c r="F64" s="189">
        <v>621.971</v>
      </c>
      <c r="G64" s="3" t="s">
        <v>11</v>
      </c>
    </row>
    <row r="65" spans="1:15" x14ac:dyDescent="0.25">
      <c r="A65" s="2" t="s">
        <v>64</v>
      </c>
      <c r="B65" s="3" t="s">
        <v>9</v>
      </c>
      <c r="C65" s="3">
        <v>10</v>
      </c>
      <c r="D65" s="189">
        <v>12105.853999999999</v>
      </c>
      <c r="E65" s="3" t="s">
        <v>10</v>
      </c>
      <c r="F65" s="189">
        <v>121.751</v>
      </c>
      <c r="G65" s="3" t="s">
        <v>11</v>
      </c>
    </row>
    <row r="66" spans="1:15" x14ac:dyDescent="0.25">
      <c r="A66" s="2" t="s">
        <v>65</v>
      </c>
      <c r="B66" s="3" t="s">
        <v>9</v>
      </c>
      <c r="C66" s="3">
        <v>10</v>
      </c>
      <c r="D66" s="189">
        <v>82489.600999999995</v>
      </c>
      <c r="E66" s="3" t="s">
        <v>10</v>
      </c>
      <c r="F66" s="189">
        <v>1943.7460000000001</v>
      </c>
      <c r="G66" s="3" t="s">
        <v>11</v>
      </c>
    </row>
    <row r="67" spans="1:15" x14ac:dyDescent="0.25">
      <c r="A67" s="2" t="s">
        <v>66</v>
      </c>
      <c r="B67" s="3" t="s">
        <v>9</v>
      </c>
      <c r="C67" s="3">
        <v>10</v>
      </c>
      <c r="D67" s="189">
        <v>97886.218999999997</v>
      </c>
      <c r="E67" s="3" t="s">
        <v>10</v>
      </c>
      <c r="F67" s="189">
        <v>1057.038</v>
      </c>
      <c r="G67" s="3" t="s">
        <v>11</v>
      </c>
    </row>
    <row r="68" spans="1:15" x14ac:dyDescent="0.25">
      <c r="A68" s="2" t="s">
        <v>67</v>
      </c>
      <c r="B68" s="3" t="s">
        <v>9</v>
      </c>
      <c r="C68" s="3">
        <v>10</v>
      </c>
      <c r="D68" s="189">
        <v>112120.546</v>
      </c>
      <c r="E68" s="3" t="s">
        <v>10</v>
      </c>
      <c r="F68" s="189">
        <v>770.88199999999995</v>
      </c>
      <c r="G68" s="3" t="s">
        <v>11</v>
      </c>
    </row>
    <row r="69" spans="1:15" x14ac:dyDescent="0.25">
      <c r="A69" s="2" t="s">
        <v>68</v>
      </c>
      <c r="B69" s="3" t="s">
        <v>9</v>
      </c>
      <c r="C69" s="3">
        <v>10</v>
      </c>
      <c r="D69" s="189">
        <v>1059714.899</v>
      </c>
      <c r="E69" s="3" t="s">
        <v>10</v>
      </c>
      <c r="F69" s="189">
        <v>12264.779</v>
      </c>
      <c r="G69" s="3" t="s">
        <v>11</v>
      </c>
    </row>
    <row r="70" spans="1:15" x14ac:dyDescent="0.25">
      <c r="A70" s="2" t="s">
        <v>69</v>
      </c>
      <c r="B70" s="3" t="s">
        <v>9</v>
      </c>
      <c r="C70" s="3">
        <v>10</v>
      </c>
      <c r="D70" s="189">
        <v>1916079.1159999999</v>
      </c>
      <c r="E70" s="3" t="s">
        <v>10</v>
      </c>
      <c r="F70" s="189">
        <v>8160.3590000000004</v>
      </c>
      <c r="G70" s="3" t="s">
        <v>11</v>
      </c>
    </row>
    <row r="71" spans="1:15" x14ac:dyDescent="0.25">
      <c r="A71" s="2" t="s">
        <v>70</v>
      </c>
      <c r="B71" s="3" t="s">
        <v>9</v>
      </c>
      <c r="C71" s="3">
        <v>10</v>
      </c>
      <c r="D71" s="189">
        <v>1167162.936</v>
      </c>
      <c r="E71" s="3" t="s">
        <v>10</v>
      </c>
      <c r="F71" s="189">
        <v>109901.16099999999</v>
      </c>
      <c r="G71" s="3" t="s">
        <v>11</v>
      </c>
    </row>
    <row r="73" spans="1:15" x14ac:dyDescent="0.25">
      <c r="A73" s="2" t="s">
        <v>0</v>
      </c>
      <c r="B73" s="3" t="s">
        <v>1</v>
      </c>
    </row>
    <row r="74" spans="1:15" ht="20" thickBot="1" x14ac:dyDescent="0.3">
      <c r="A74" s="2" t="s">
        <v>2</v>
      </c>
      <c r="B74" s="3" t="s">
        <v>3</v>
      </c>
      <c r="C74" s="3" t="s">
        <v>4</v>
      </c>
      <c r="D74" s="189" t="s">
        <v>5</v>
      </c>
      <c r="E74" s="3" t="s">
        <v>6</v>
      </c>
      <c r="F74" s="189" t="s">
        <v>7</v>
      </c>
    </row>
    <row r="75" spans="1:15" x14ac:dyDescent="0.25">
      <c r="A75" s="2" t="s">
        <v>71</v>
      </c>
      <c r="B75" s="3" t="s">
        <v>9</v>
      </c>
      <c r="C75" s="3">
        <v>10</v>
      </c>
      <c r="D75" s="189">
        <v>1851.84</v>
      </c>
      <c r="E75" s="3" t="s">
        <v>10</v>
      </c>
      <c r="F75" s="189">
        <v>38.758000000000003</v>
      </c>
      <c r="G75" s="3" t="s">
        <v>11</v>
      </c>
      <c r="J75" s="5" t="s">
        <v>166</v>
      </c>
      <c r="K75" s="72" t="s">
        <v>340</v>
      </c>
      <c r="L75" s="72" t="s">
        <v>341</v>
      </c>
      <c r="M75" s="17" t="s">
        <v>162</v>
      </c>
      <c r="N75" s="72" t="s">
        <v>342</v>
      </c>
      <c r="O75" s="21" t="s">
        <v>162</v>
      </c>
    </row>
    <row r="76" spans="1:15" x14ac:dyDescent="0.25">
      <c r="A76" s="2" t="s">
        <v>72</v>
      </c>
      <c r="B76" s="3" t="s">
        <v>9</v>
      </c>
      <c r="C76" s="3">
        <v>10</v>
      </c>
      <c r="D76" s="189">
        <v>1819.405</v>
      </c>
      <c r="E76" s="3" t="s">
        <v>10</v>
      </c>
      <c r="F76" s="189">
        <v>27.204999999999998</v>
      </c>
      <c r="G76" s="3" t="s">
        <v>11</v>
      </c>
      <c r="J76" s="6">
        <v>100000</v>
      </c>
      <c r="K76" s="119">
        <f>D75</f>
        <v>1851.84</v>
      </c>
      <c r="L76" s="119">
        <f>D76</f>
        <v>1819.405</v>
      </c>
      <c r="M76" s="18">
        <f>(D76/D75-1)</f>
        <v>-1.751501209607742E-2</v>
      </c>
      <c r="N76" s="73">
        <f>D77</f>
        <v>2675.011</v>
      </c>
      <c r="O76" s="22">
        <f>(D77/D75-1)</f>
        <v>0.44451518489718334</v>
      </c>
    </row>
    <row r="77" spans="1:15" x14ac:dyDescent="0.25">
      <c r="A77" s="2" t="s">
        <v>73</v>
      </c>
      <c r="B77" s="3" t="s">
        <v>9</v>
      </c>
      <c r="C77" s="3">
        <v>10</v>
      </c>
      <c r="D77" s="189">
        <v>2675.011</v>
      </c>
      <c r="E77" s="3" t="s">
        <v>10</v>
      </c>
      <c r="F77" s="189">
        <v>21.067</v>
      </c>
      <c r="G77" s="3" t="s">
        <v>11</v>
      </c>
      <c r="J77" s="6">
        <v>50000</v>
      </c>
      <c r="K77" s="119">
        <f>D78</f>
        <v>3718.19</v>
      </c>
      <c r="L77" s="119">
        <f>D79</f>
        <v>3629.165</v>
      </c>
      <c r="M77" s="18">
        <f>(D79/D78-1)</f>
        <v>-2.3943101347698725E-2</v>
      </c>
      <c r="N77" s="73">
        <f>D80</f>
        <v>5436.0259999999998</v>
      </c>
      <c r="O77" s="22">
        <f>(D80/D78-1)</f>
        <v>0.46200866550660402</v>
      </c>
    </row>
    <row r="78" spans="1:15" x14ac:dyDescent="0.25">
      <c r="A78" s="2" t="s">
        <v>74</v>
      </c>
      <c r="B78" s="3" t="s">
        <v>9</v>
      </c>
      <c r="C78" s="3">
        <v>10</v>
      </c>
      <c r="D78" s="189">
        <v>3718.19</v>
      </c>
      <c r="E78" s="3" t="s">
        <v>10</v>
      </c>
      <c r="F78" s="189">
        <v>42.360999999999997</v>
      </c>
      <c r="G78" s="3" t="s">
        <v>11</v>
      </c>
      <c r="J78" s="6">
        <v>10000</v>
      </c>
      <c r="K78" s="119">
        <f>D81</f>
        <v>20961.225999999999</v>
      </c>
      <c r="L78" s="119">
        <f>D82</f>
        <v>21054.699000000001</v>
      </c>
      <c r="M78" s="18">
        <f>(D82/D81-1)</f>
        <v>4.4593288579590773E-3</v>
      </c>
      <c r="N78" s="73">
        <f>D83</f>
        <v>36601.370000000003</v>
      </c>
      <c r="O78" s="22">
        <f>(D83/D81-1)</f>
        <v>0.74614643246535306</v>
      </c>
    </row>
    <row r="79" spans="1:15" x14ac:dyDescent="0.25">
      <c r="A79" s="2" t="s">
        <v>75</v>
      </c>
      <c r="B79" s="3" t="s">
        <v>9</v>
      </c>
      <c r="C79" s="3">
        <v>10</v>
      </c>
      <c r="D79" s="189">
        <v>3629.165</v>
      </c>
      <c r="E79" s="3" t="s">
        <v>10</v>
      </c>
      <c r="F79" s="189">
        <v>64.918000000000006</v>
      </c>
      <c r="G79" s="3" t="s">
        <v>11</v>
      </c>
      <c r="J79" s="6">
        <v>1000</v>
      </c>
      <c r="K79" s="119">
        <f>D84</f>
        <v>164950.959</v>
      </c>
      <c r="L79" s="119">
        <f>D85</f>
        <v>171617.641</v>
      </c>
      <c r="M79" s="18">
        <f>(D85/D84-1)</f>
        <v>4.0416145746688281E-2</v>
      </c>
      <c r="N79" s="73">
        <f>D86</f>
        <v>368704.84499999997</v>
      </c>
      <c r="O79" s="22">
        <f>(D86/D84-1)</f>
        <v>1.23523917190442</v>
      </c>
    </row>
    <row r="80" spans="1:15" ht="20" thickBot="1" x14ac:dyDescent="0.3">
      <c r="A80" s="2" t="s">
        <v>76</v>
      </c>
      <c r="B80" s="3" t="s">
        <v>9</v>
      </c>
      <c r="C80" s="3">
        <v>10</v>
      </c>
      <c r="D80" s="189">
        <v>5436.0259999999998</v>
      </c>
      <c r="E80" s="3" t="s">
        <v>10</v>
      </c>
      <c r="F80" s="189">
        <v>104.04</v>
      </c>
      <c r="G80" s="3" t="s">
        <v>11</v>
      </c>
      <c r="J80" s="7">
        <v>100</v>
      </c>
      <c r="K80" s="120">
        <f>D87</f>
        <v>2032243.773</v>
      </c>
      <c r="L80" s="120">
        <f>D88</f>
        <v>2409381.0419999999</v>
      </c>
      <c r="M80" s="19">
        <f>(D88/D87-1)</f>
        <v>0.18557678660925081</v>
      </c>
      <c r="N80" s="74">
        <f>D89</f>
        <v>3597179.0449999999</v>
      </c>
      <c r="O80" s="23">
        <f>(D89/D87-1)</f>
        <v>0.77005293006253916</v>
      </c>
    </row>
    <row r="81" spans="1:15" x14ac:dyDescent="0.25">
      <c r="A81" s="2" t="s">
        <v>77</v>
      </c>
      <c r="B81" s="3" t="s">
        <v>9</v>
      </c>
      <c r="C81" s="3">
        <v>10</v>
      </c>
      <c r="D81" s="189">
        <v>20961.225999999999</v>
      </c>
      <c r="E81" s="3" t="s">
        <v>10</v>
      </c>
      <c r="F81" s="189">
        <v>230.714</v>
      </c>
      <c r="G81" s="3" t="s">
        <v>11</v>
      </c>
    </row>
    <row r="82" spans="1:15" x14ac:dyDescent="0.25">
      <c r="A82" s="2" t="s">
        <v>78</v>
      </c>
      <c r="B82" s="3" t="s">
        <v>9</v>
      </c>
      <c r="C82" s="3">
        <v>10</v>
      </c>
      <c r="D82" s="189">
        <v>21054.699000000001</v>
      </c>
      <c r="E82" s="3" t="s">
        <v>10</v>
      </c>
      <c r="F82" s="189">
        <v>153.73099999999999</v>
      </c>
      <c r="G82" s="3" t="s">
        <v>11</v>
      </c>
    </row>
    <row r="83" spans="1:15" x14ac:dyDescent="0.25">
      <c r="A83" s="2" t="s">
        <v>79</v>
      </c>
      <c r="B83" s="3" t="s">
        <v>9</v>
      </c>
      <c r="C83" s="3">
        <v>10</v>
      </c>
      <c r="D83" s="189">
        <v>36601.370000000003</v>
      </c>
      <c r="E83" s="3" t="s">
        <v>10</v>
      </c>
      <c r="F83" s="189">
        <v>2249.8620000000001</v>
      </c>
      <c r="G83" s="3" t="s">
        <v>11</v>
      </c>
    </row>
    <row r="84" spans="1:15" x14ac:dyDescent="0.25">
      <c r="A84" s="2" t="s">
        <v>80</v>
      </c>
      <c r="B84" s="3" t="s">
        <v>9</v>
      </c>
      <c r="C84" s="3">
        <v>10</v>
      </c>
      <c r="D84" s="189">
        <v>164950.959</v>
      </c>
      <c r="E84" s="3" t="s">
        <v>10</v>
      </c>
      <c r="F84" s="189">
        <v>4251.2870000000003</v>
      </c>
      <c r="G84" s="3" t="s">
        <v>11</v>
      </c>
    </row>
    <row r="85" spans="1:15" x14ac:dyDescent="0.25">
      <c r="A85" s="2" t="s">
        <v>81</v>
      </c>
      <c r="B85" s="3" t="s">
        <v>9</v>
      </c>
      <c r="C85" s="3">
        <v>10</v>
      </c>
      <c r="D85" s="189">
        <v>171617.641</v>
      </c>
      <c r="E85" s="3" t="s">
        <v>10</v>
      </c>
      <c r="F85" s="189">
        <v>507.37</v>
      </c>
      <c r="G85" s="3" t="s">
        <v>11</v>
      </c>
    </row>
    <row r="86" spans="1:15" x14ac:dyDescent="0.25">
      <c r="A86" s="2" t="s">
        <v>82</v>
      </c>
      <c r="B86" s="3" t="s">
        <v>9</v>
      </c>
      <c r="C86" s="3">
        <v>10</v>
      </c>
      <c r="D86" s="189">
        <v>368704.84499999997</v>
      </c>
      <c r="E86" s="3" t="s">
        <v>10</v>
      </c>
      <c r="F86" s="189">
        <v>16084.241</v>
      </c>
      <c r="G86" s="3" t="s">
        <v>11</v>
      </c>
    </row>
    <row r="87" spans="1:15" x14ac:dyDescent="0.25">
      <c r="A87" s="2" t="s">
        <v>83</v>
      </c>
      <c r="B87" s="3" t="s">
        <v>9</v>
      </c>
      <c r="C87" s="3">
        <v>10</v>
      </c>
      <c r="D87" s="189">
        <v>2032243.773</v>
      </c>
      <c r="E87" s="3" t="s">
        <v>10</v>
      </c>
      <c r="F87" s="189">
        <v>6491.5020000000004</v>
      </c>
      <c r="G87" s="3" t="s">
        <v>11</v>
      </c>
    </row>
    <row r="88" spans="1:15" x14ac:dyDescent="0.25">
      <c r="A88" s="2" t="s">
        <v>84</v>
      </c>
      <c r="B88" s="3" t="s">
        <v>9</v>
      </c>
      <c r="C88" s="3">
        <v>10</v>
      </c>
      <c r="D88" s="189">
        <v>2409381.0419999999</v>
      </c>
      <c r="E88" s="3" t="s">
        <v>10</v>
      </c>
      <c r="F88" s="189">
        <v>9005.4050000000007</v>
      </c>
      <c r="G88" s="3" t="s">
        <v>11</v>
      </c>
    </row>
    <row r="89" spans="1:15" x14ac:dyDescent="0.25">
      <c r="A89" s="2" t="s">
        <v>85</v>
      </c>
      <c r="B89" s="3" t="s">
        <v>9</v>
      </c>
      <c r="C89" s="3">
        <v>10</v>
      </c>
      <c r="D89" s="189">
        <v>3597179.0449999999</v>
      </c>
      <c r="E89" s="3" t="s">
        <v>10</v>
      </c>
      <c r="F89" s="189">
        <v>12813.572</v>
      </c>
      <c r="G89" s="3" t="s">
        <v>11</v>
      </c>
    </row>
    <row r="90" spans="1:15" x14ac:dyDescent="0.25">
      <c r="E90" s="4"/>
    </row>
    <row r="91" spans="1:15" x14ac:dyDescent="0.25">
      <c r="A91" s="3" t="s">
        <v>0</v>
      </c>
      <c r="B91" s="2" t="s">
        <v>1</v>
      </c>
      <c r="E91" s="4"/>
    </row>
    <row r="92" spans="1:15" ht="20" thickBot="1" x14ac:dyDescent="0.3">
      <c r="A92" s="3" t="s">
        <v>2</v>
      </c>
      <c r="B92" s="2" t="s">
        <v>3</v>
      </c>
      <c r="C92" s="3" t="s">
        <v>4</v>
      </c>
      <c r="D92" s="189" t="s">
        <v>5</v>
      </c>
      <c r="E92" s="4" t="s">
        <v>6</v>
      </c>
      <c r="F92" s="189" t="s">
        <v>7</v>
      </c>
    </row>
    <row r="93" spans="1:15" x14ac:dyDescent="0.25">
      <c r="A93" s="2" t="s">
        <v>86</v>
      </c>
      <c r="B93" s="3" t="s">
        <v>9</v>
      </c>
      <c r="C93" s="3">
        <v>10</v>
      </c>
      <c r="D93" s="189">
        <v>977.78300000000002</v>
      </c>
      <c r="E93" s="3" t="s">
        <v>10</v>
      </c>
      <c r="F93" s="189">
        <v>6.5750000000000002</v>
      </c>
      <c r="G93" s="3" t="s">
        <v>11</v>
      </c>
      <c r="J93" s="5" t="s">
        <v>167</v>
      </c>
      <c r="K93" s="72" t="s">
        <v>340</v>
      </c>
      <c r="L93" s="72" t="s">
        <v>341</v>
      </c>
      <c r="M93" s="17" t="s">
        <v>162</v>
      </c>
      <c r="N93" s="72" t="s">
        <v>342</v>
      </c>
      <c r="O93" s="21" t="s">
        <v>162</v>
      </c>
    </row>
    <row r="94" spans="1:15" x14ac:dyDescent="0.25">
      <c r="A94" s="2" t="s">
        <v>87</v>
      </c>
      <c r="B94" s="3" t="s">
        <v>9</v>
      </c>
      <c r="C94" s="3">
        <v>10</v>
      </c>
      <c r="D94" s="189">
        <v>1219.424</v>
      </c>
      <c r="E94" s="3" t="s">
        <v>10</v>
      </c>
      <c r="F94" s="189">
        <v>20.573</v>
      </c>
      <c r="G94" s="3" t="s">
        <v>11</v>
      </c>
      <c r="J94" s="6">
        <v>100000</v>
      </c>
      <c r="K94" s="119">
        <f>D93</f>
        <v>977.78300000000002</v>
      </c>
      <c r="L94" s="119">
        <f>D94</f>
        <v>1219.424</v>
      </c>
      <c r="M94" s="18">
        <f>(D94/D93-1)</f>
        <v>0.24713152100210367</v>
      </c>
      <c r="N94" s="73">
        <f>D95</f>
        <v>1636.8910000000001</v>
      </c>
      <c r="O94" s="22">
        <f>(D95/D93-1)</f>
        <v>0.67408412705068521</v>
      </c>
    </row>
    <row r="95" spans="1:15" x14ac:dyDescent="0.25">
      <c r="A95" s="2" t="s">
        <v>88</v>
      </c>
      <c r="B95" s="3" t="s">
        <v>9</v>
      </c>
      <c r="C95" s="3">
        <v>10</v>
      </c>
      <c r="D95" s="189">
        <v>1636.8910000000001</v>
      </c>
      <c r="E95" s="3" t="s">
        <v>10</v>
      </c>
      <c r="F95" s="189">
        <v>25.015000000000001</v>
      </c>
      <c r="G95" s="3" t="s">
        <v>11</v>
      </c>
      <c r="J95" s="6">
        <v>50000</v>
      </c>
      <c r="K95" s="119">
        <f>D96</f>
        <v>2029.4280000000001</v>
      </c>
      <c r="L95" s="119">
        <f>D97</f>
        <v>2516.7730000000001</v>
      </c>
      <c r="M95" s="18">
        <f>(D97/D96-1)</f>
        <v>0.2401390933800065</v>
      </c>
      <c r="N95" s="73">
        <f>D98</f>
        <v>3408.453</v>
      </c>
      <c r="O95" s="22">
        <f>(D98/D96-1)</f>
        <v>0.67951412910435827</v>
      </c>
    </row>
    <row r="96" spans="1:15" x14ac:dyDescent="0.25">
      <c r="A96" s="2" t="s">
        <v>89</v>
      </c>
      <c r="B96" s="3" t="s">
        <v>9</v>
      </c>
      <c r="C96" s="3">
        <v>10</v>
      </c>
      <c r="D96" s="189">
        <v>2029.4280000000001</v>
      </c>
      <c r="E96" s="3" t="s">
        <v>10</v>
      </c>
      <c r="F96" s="189">
        <v>16.169</v>
      </c>
      <c r="G96" s="3" t="s">
        <v>11</v>
      </c>
      <c r="J96" s="6">
        <v>10000</v>
      </c>
      <c r="K96" s="119">
        <f>D99</f>
        <v>11153.938</v>
      </c>
      <c r="L96" s="119">
        <f>D100</f>
        <v>13009.549000000001</v>
      </c>
      <c r="M96" s="18">
        <f>(D100/D99-1)</f>
        <v>0.16636375421846528</v>
      </c>
      <c r="N96" s="73">
        <f>D101</f>
        <v>18399.719000000001</v>
      </c>
      <c r="O96" s="22">
        <f>(D101/D99-1)</f>
        <v>0.64961639557257711</v>
      </c>
    </row>
    <row r="97" spans="1:17" x14ac:dyDescent="0.25">
      <c r="A97" s="2" t="s">
        <v>90</v>
      </c>
      <c r="B97" s="3" t="s">
        <v>9</v>
      </c>
      <c r="C97" s="3">
        <v>10</v>
      </c>
      <c r="D97" s="189">
        <v>2516.7730000000001</v>
      </c>
      <c r="E97" s="3" t="s">
        <v>10</v>
      </c>
      <c r="F97" s="189">
        <v>21.375</v>
      </c>
      <c r="G97" s="3" t="s">
        <v>11</v>
      </c>
      <c r="J97" s="6">
        <v>1000</v>
      </c>
      <c r="K97" s="119">
        <f>D102</f>
        <v>109240.212</v>
      </c>
      <c r="L97" s="119">
        <f>D103</f>
        <v>164957.49900000001</v>
      </c>
      <c r="M97" s="18">
        <f>(D103/D102-1)</f>
        <v>0.51004374652806428</v>
      </c>
      <c r="N97" s="73">
        <f>D104</f>
        <v>199195.37100000001</v>
      </c>
      <c r="O97" s="22">
        <f>(D104/D102-1)</f>
        <v>0.82346195922798104</v>
      </c>
    </row>
    <row r="98" spans="1:17" ht="20" thickBot="1" x14ac:dyDescent="0.3">
      <c r="A98" s="2" t="s">
        <v>91</v>
      </c>
      <c r="B98" s="3" t="s">
        <v>9</v>
      </c>
      <c r="C98" s="3">
        <v>10</v>
      </c>
      <c r="D98" s="189">
        <v>3408.453</v>
      </c>
      <c r="E98" s="3" t="s">
        <v>10</v>
      </c>
      <c r="F98" s="189">
        <v>5.0940000000000003</v>
      </c>
      <c r="G98" s="3" t="s">
        <v>11</v>
      </c>
      <c r="J98" s="7">
        <v>100</v>
      </c>
      <c r="K98" s="120">
        <f>D105</f>
        <v>1046809.245</v>
      </c>
      <c r="L98" s="120">
        <f>D106</f>
        <v>1819610.281</v>
      </c>
      <c r="M98" s="19">
        <f>(D106/D105-1)</f>
        <v>0.73824437421738653</v>
      </c>
      <c r="N98" s="74">
        <f>D107</f>
        <v>1977711.872</v>
      </c>
      <c r="O98" s="23">
        <f>(D107/D105-1)</f>
        <v>0.88927627592742553</v>
      </c>
    </row>
    <row r="99" spans="1:17" x14ac:dyDescent="0.25">
      <c r="A99" s="2" t="s">
        <v>92</v>
      </c>
      <c r="B99" s="3" t="s">
        <v>9</v>
      </c>
      <c r="C99" s="3">
        <v>10</v>
      </c>
      <c r="D99" s="189">
        <v>11153.938</v>
      </c>
      <c r="E99" s="3" t="s">
        <v>10</v>
      </c>
      <c r="F99" s="189">
        <v>88.59</v>
      </c>
      <c r="G99" s="3" t="s">
        <v>11</v>
      </c>
    </row>
    <row r="100" spans="1:17" x14ac:dyDescent="0.25">
      <c r="A100" s="2" t="s">
        <v>93</v>
      </c>
      <c r="B100" s="3" t="s">
        <v>9</v>
      </c>
      <c r="C100" s="3">
        <v>10</v>
      </c>
      <c r="D100" s="189">
        <v>13009.549000000001</v>
      </c>
      <c r="E100" s="3" t="s">
        <v>10</v>
      </c>
      <c r="F100" s="189">
        <v>84.6</v>
      </c>
      <c r="G100" s="3" t="s">
        <v>11</v>
      </c>
    </row>
    <row r="101" spans="1:17" x14ac:dyDescent="0.25">
      <c r="A101" s="2" t="s">
        <v>94</v>
      </c>
      <c r="B101" s="3" t="s">
        <v>9</v>
      </c>
      <c r="C101" s="3">
        <v>10</v>
      </c>
      <c r="D101" s="189">
        <v>18399.719000000001</v>
      </c>
      <c r="E101" s="3" t="s">
        <v>10</v>
      </c>
      <c r="F101" s="189">
        <v>517.04399999999998</v>
      </c>
      <c r="G101" s="3" t="s">
        <v>11</v>
      </c>
    </row>
    <row r="102" spans="1:17" x14ac:dyDescent="0.25">
      <c r="A102" s="2" t="s">
        <v>95</v>
      </c>
      <c r="B102" s="3" t="s">
        <v>9</v>
      </c>
      <c r="C102" s="3">
        <v>10</v>
      </c>
      <c r="D102" s="189">
        <v>109240.212</v>
      </c>
      <c r="E102" s="3" t="s">
        <v>10</v>
      </c>
      <c r="F102" s="189">
        <v>1055.2460000000001</v>
      </c>
      <c r="G102" s="3" t="s">
        <v>11</v>
      </c>
    </row>
    <row r="103" spans="1:17" x14ac:dyDescent="0.25">
      <c r="A103" s="2" t="s">
        <v>96</v>
      </c>
      <c r="B103" s="3" t="s">
        <v>9</v>
      </c>
      <c r="C103" s="3">
        <v>10</v>
      </c>
      <c r="D103" s="189">
        <v>164957.49900000001</v>
      </c>
      <c r="E103" s="3" t="s">
        <v>10</v>
      </c>
      <c r="F103" s="189">
        <v>974.80100000000004</v>
      </c>
      <c r="G103" s="3" t="s">
        <v>11</v>
      </c>
    </row>
    <row r="104" spans="1:17" x14ac:dyDescent="0.25">
      <c r="A104" s="2" t="s">
        <v>97</v>
      </c>
      <c r="B104" s="3" t="s">
        <v>9</v>
      </c>
      <c r="C104" s="3">
        <v>10</v>
      </c>
      <c r="D104" s="189">
        <v>199195.37100000001</v>
      </c>
      <c r="E104" s="3" t="s">
        <v>10</v>
      </c>
      <c r="F104" s="189">
        <v>3147.4810000000002</v>
      </c>
      <c r="G104" s="3" t="s">
        <v>11</v>
      </c>
    </row>
    <row r="105" spans="1:17" x14ac:dyDescent="0.25">
      <c r="A105" s="2" t="s">
        <v>98</v>
      </c>
      <c r="B105" s="3" t="s">
        <v>9</v>
      </c>
      <c r="C105" s="3">
        <v>10</v>
      </c>
      <c r="D105" s="189">
        <v>1046809.245</v>
      </c>
      <c r="E105" s="3" t="s">
        <v>10</v>
      </c>
      <c r="F105" s="189">
        <v>8313.134</v>
      </c>
      <c r="G105" s="3" t="s">
        <v>11</v>
      </c>
    </row>
    <row r="106" spans="1:17" x14ac:dyDescent="0.25">
      <c r="A106" s="2" t="s">
        <v>99</v>
      </c>
      <c r="B106" s="3" t="s">
        <v>9</v>
      </c>
      <c r="C106" s="3">
        <v>10</v>
      </c>
      <c r="D106" s="189">
        <v>1819610.281</v>
      </c>
      <c r="E106" s="3" t="s">
        <v>10</v>
      </c>
      <c r="F106" s="189">
        <v>7645.4570000000003</v>
      </c>
      <c r="G106" s="3" t="s">
        <v>11</v>
      </c>
    </row>
    <row r="107" spans="1:17" x14ac:dyDescent="0.25">
      <c r="A107" s="2" t="s">
        <v>100</v>
      </c>
      <c r="B107" s="3" t="s">
        <v>9</v>
      </c>
      <c r="C107" s="3">
        <v>10</v>
      </c>
      <c r="D107" s="189">
        <v>1977711.872</v>
      </c>
      <c r="E107" s="3" t="s">
        <v>10</v>
      </c>
      <c r="F107" s="189">
        <v>35539.828999999998</v>
      </c>
      <c r="G107" s="3" t="s">
        <v>11</v>
      </c>
    </row>
    <row r="108" spans="1:17" x14ac:dyDescent="0.25">
      <c r="E108" s="4"/>
    </row>
    <row r="109" spans="1:17" x14ac:dyDescent="0.25">
      <c r="A109" s="3" t="s">
        <v>0</v>
      </c>
      <c r="B109" s="2" t="s">
        <v>1</v>
      </c>
      <c r="E109" s="4"/>
    </row>
    <row r="110" spans="1:17" ht="20" thickBot="1" x14ac:dyDescent="0.3">
      <c r="A110" s="3" t="s">
        <v>2</v>
      </c>
      <c r="B110" s="2" t="s">
        <v>3</v>
      </c>
      <c r="C110" s="3" t="s">
        <v>4</v>
      </c>
      <c r="D110" s="189" t="s">
        <v>5</v>
      </c>
      <c r="E110" s="4" t="s">
        <v>6</v>
      </c>
      <c r="F110" s="189" t="s">
        <v>7</v>
      </c>
    </row>
    <row r="111" spans="1:17" x14ac:dyDescent="0.25">
      <c r="A111" s="2" t="s">
        <v>141</v>
      </c>
      <c r="B111" s="3" t="s">
        <v>9</v>
      </c>
      <c r="C111" s="3">
        <v>10</v>
      </c>
      <c r="D111" s="189">
        <v>137.38900000000001</v>
      </c>
      <c r="E111" s="3" t="s">
        <v>10</v>
      </c>
      <c r="F111" s="189">
        <v>3.73</v>
      </c>
      <c r="G111" s="3" t="s">
        <v>11</v>
      </c>
      <c r="J111" s="5" t="s">
        <v>168</v>
      </c>
      <c r="K111" s="72" t="s">
        <v>340</v>
      </c>
      <c r="L111" s="72" t="s">
        <v>341</v>
      </c>
      <c r="M111" s="17" t="s">
        <v>162</v>
      </c>
      <c r="N111" s="72" t="s">
        <v>343</v>
      </c>
      <c r="O111" s="21" t="s">
        <v>162</v>
      </c>
      <c r="P111" s="72" t="s">
        <v>342</v>
      </c>
      <c r="Q111" s="21" t="s">
        <v>162</v>
      </c>
    </row>
    <row r="112" spans="1:17" x14ac:dyDescent="0.25">
      <c r="A112" s="2" t="s">
        <v>142</v>
      </c>
      <c r="B112" s="3" t="s">
        <v>9</v>
      </c>
      <c r="C112" s="3">
        <v>10</v>
      </c>
      <c r="D112" s="189">
        <v>204.554</v>
      </c>
      <c r="E112" s="3" t="s">
        <v>10</v>
      </c>
      <c r="F112" s="189">
        <v>4.2969999999999997</v>
      </c>
      <c r="G112" s="3" t="s">
        <v>11</v>
      </c>
      <c r="J112" s="6">
        <v>100000</v>
      </c>
      <c r="K112" s="119">
        <f>D111</f>
        <v>137.38900000000001</v>
      </c>
      <c r="L112" s="119">
        <f>D112</f>
        <v>204.554</v>
      </c>
      <c r="M112" s="18">
        <f>(D112/D111-1)</f>
        <v>0.48886737657308799</v>
      </c>
      <c r="N112" s="73">
        <f>D113</f>
        <v>226.77799999999999</v>
      </c>
      <c r="O112" s="22">
        <f>(D113/D111-1)</f>
        <v>0.65062705165624601</v>
      </c>
      <c r="P112" s="73">
        <f>D114</f>
        <v>70.953999999999994</v>
      </c>
      <c r="Q112" s="22">
        <f>(D114/D111-1)</f>
        <v>-0.48355399631702689</v>
      </c>
    </row>
    <row r="113" spans="1:17" x14ac:dyDescent="0.25">
      <c r="A113" s="2" t="s">
        <v>143</v>
      </c>
      <c r="B113" s="3" t="s">
        <v>9</v>
      </c>
      <c r="C113" s="3">
        <v>10</v>
      </c>
      <c r="D113" s="189">
        <v>226.77799999999999</v>
      </c>
      <c r="E113" s="3" t="s">
        <v>10</v>
      </c>
      <c r="F113" s="189">
        <v>6.6109999999999998</v>
      </c>
      <c r="G113" s="3" t="s">
        <v>11</v>
      </c>
      <c r="J113" s="6">
        <v>50000</v>
      </c>
      <c r="K113" s="119">
        <f>D115</f>
        <v>274.65300000000002</v>
      </c>
      <c r="L113" s="119">
        <f>D116</f>
        <v>432.31099999999998</v>
      </c>
      <c r="M113" s="18">
        <f>(D116/D115-1)</f>
        <v>0.57402613479554176</v>
      </c>
      <c r="N113" s="73">
        <f>D117</f>
        <v>489.017</v>
      </c>
      <c r="O113" s="22">
        <f>(D117/D115-1)</f>
        <v>0.78049029138585757</v>
      </c>
      <c r="P113" s="73">
        <f>D118</f>
        <v>184.76</v>
      </c>
      <c r="Q113" s="22">
        <f>(D118/D115-1)</f>
        <v>-0.32729662519615665</v>
      </c>
    </row>
    <row r="114" spans="1:17" x14ac:dyDescent="0.25">
      <c r="A114" s="2" t="s">
        <v>144</v>
      </c>
      <c r="B114" s="3" t="s">
        <v>9</v>
      </c>
      <c r="C114" s="3">
        <v>10</v>
      </c>
      <c r="D114" s="189">
        <v>70.953999999999994</v>
      </c>
      <c r="E114" s="3" t="s">
        <v>10</v>
      </c>
      <c r="F114" s="189">
        <v>1.3260000000000001</v>
      </c>
      <c r="G114" s="3" t="s">
        <v>11</v>
      </c>
      <c r="J114" s="6">
        <v>10000</v>
      </c>
      <c r="K114" s="119">
        <f>D119</f>
        <v>2139.7080000000001</v>
      </c>
      <c r="L114" s="119">
        <f>D120</f>
        <v>2250.4940000000001</v>
      </c>
      <c r="M114" s="18">
        <f>(D120/D119-1)</f>
        <v>5.1776223671641253E-2</v>
      </c>
      <c r="N114" s="73">
        <f>D121</f>
        <v>2537.4720000000002</v>
      </c>
      <c r="O114" s="22">
        <f>(D121/D119-1)</f>
        <v>0.18589639333965202</v>
      </c>
      <c r="P114" s="73">
        <f>D122</f>
        <v>798.25699999999995</v>
      </c>
      <c r="Q114" s="22">
        <f>(D122/D119-1)</f>
        <v>-0.62693180564824735</v>
      </c>
    </row>
    <row r="115" spans="1:17" x14ac:dyDescent="0.25">
      <c r="A115" s="2" t="s">
        <v>157</v>
      </c>
      <c r="B115" s="3" t="s">
        <v>9</v>
      </c>
      <c r="C115" s="3">
        <v>10</v>
      </c>
      <c r="D115" s="189">
        <v>274.65300000000002</v>
      </c>
      <c r="E115" s="3" t="s">
        <v>10</v>
      </c>
      <c r="F115" s="189">
        <v>4.5149999999999997</v>
      </c>
      <c r="G115" s="3" t="s">
        <v>11</v>
      </c>
      <c r="J115" s="6">
        <v>1000</v>
      </c>
      <c r="K115" s="119">
        <f>D123</f>
        <v>18973.642</v>
      </c>
      <c r="L115" s="119">
        <f>D124</f>
        <v>22276.348000000002</v>
      </c>
      <c r="M115" s="18">
        <f>(D124/D123-1)</f>
        <v>0.17406810985471322</v>
      </c>
      <c r="N115" s="73">
        <f>D125</f>
        <v>24648.400000000001</v>
      </c>
      <c r="O115" s="22">
        <f>(D125/D123-1)</f>
        <v>0.2990863852074368</v>
      </c>
      <c r="P115" s="73">
        <f>D126</f>
        <v>8329.6820000000007</v>
      </c>
      <c r="Q115" s="22">
        <f>(D126/D123-1)</f>
        <v>-0.56098665717419982</v>
      </c>
    </row>
    <row r="116" spans="1:17" ht="20" thickBot="1" x14ac:dyDescent="0.3">
      <c r="A116" s="2" t="s">
        <v>158</v>
      </c>
      <c r="B116" s="3" t="s">
        <v>9</v>
      </c>
      <c r="C116" s="3">
        <v>10</v>
      </c>
      <c r="D116" s="189">
        <v>432.31099999999998</v>
      </c>
      <c r="E116" s="3" t="s">
        <v>10</v>
      </c>
      <c r="F116" s="189">
        <v>4.1890000000000001</v>
      </c>
      <c r="G116" s="3" t="s">
        <v>11</v>
      </c>
      <c r="J116" s="7">
        <v>100</v>
      </c>
      <c r="K116" s="120">
        <f>D127</f>
        <v>212806.18100000001</v>
      </c>
      <c r="L116" s="120">
        <f>D128</f>
        <v>226395.769</v>
      </c>
      <c r="M116" s="19">
        <f>(D128/D127-1)</f>
        <v>6.3858991013047595E-2</v>
      </c>
      <c r="N116" s="74">
        <f>D129</f>
        <v>252606.481</v>
      </c>
      <c r="O116" s="23">
        <f>(D129/D127-1)</f>
        <v>0.18702605259383875</v>
      </c>
      <c r="P116" s="74">
        <f>D130</f>
        <v>83954.047000000006</v>
      </c>
      <c r="Q116" s="23">
        <f>(D130/D127-1)</f>
        <v>-0.60549056138552659</v>
      </c>
    </row>
    <row r="117" spans="1:17" x14ac:dyDescent="0.25">
      <c r="A117" s="2" t="s">
        <v>159</v>
      </c>
      <c r="B117" s="3" t="s">
        <v>9</v>
      </c>
      <c r="C117" s="3">
        <v>10</v>
      </c>
      <c r="D117" s="189">
        <v>489.017</v>
      </c>
      <c r="E117" s="3" t="s">
        <v>10</v>
      </c>
      <c r="F117" s="189">
        <v>13.702</v>
      </c>
      <c r="G117" s="3" t="s">
        <v>11</v>
      </c>
    </row>
    <row r="118" spans="1:17" x14ac:dyDescent="0.25">
      <c r="A118" s="2" t="s">
        <v>160</v>
      </c>
      <c r="B118" s="3" t="s">
        <v>9</v>
      </c>
      <c r="C118" s="3">
        <v>10</v>
      </c>
      <c r="D118" s="189">
        <v>184.76</v>
      </c>
      <c r="E118" s="3" t="s">
        <v>10</v>
      </c>
      <c r="F118" s="189">
        <v>29.166</v>
      </c>
      <c r="G118" s="3" t="s">
        <v>11</v>
      </c>
    </row>
    <row r="119" spans="1:17" x14ac:dyDescent="0.25">
      <c r="A119" s="2" t="s">
        <v>145</v>
      </c>
      <c r="B119" s="3" t="s">
        <v>9</v>
      </c>
      <c r="C119" s="3">
        <v>10</v>
      </c>
      <c r="D119" s="189">
        <v>2139.7080000000001</v>
      </c>
      <c r="E119" s="3" t="s">
        <v>10</v>
      </c>
      <c r="F119" s="189">
        <v>35.347000000000001</v>
      </c>
      <c r="G119" s="3" t="s">
        <v>11</v>
      </c>
    </row>
    <row r="120" spans="1:17" x14ac:dyDescent="0.25">
      <c r="A120" s="2" t="s">
        <v>146</v>
      </c>
      <c r="B120" s="3" t="s">
        <v>9</v>
      </c>
      <c r="C120" s="3">
        <v>10</v>
      </c>
      <c r="D120" s="189">
        <v>2250.4940000000001</v>
      </c>
      <c r="E120" s="3" t="s">
        <v>10</v>
      </c>
      <c r="F120" s="189">
        <v>7.415</v>
      </c>
      <c r="G120" s="3" t="s">
        <v>11</v>
      </c>
    </row>
    <row r="121" spans="1:17" x14ac:dyDescent="0.25">
      <c r="A121" s="2" t="s">
        <v>147</v>
      </c>
      <c r="B121" s="3" t="s">
        <v>9</v>
      </c>
      <c r="C121" s="3">
        <v>10</v>
      </c>
      <c r="D121" s="189">
        <v>2537.4720000000002</v>
      </c>
      <c r="E121" s="3" t="s">
        <v>10</v>
      </c>
      <c r="F121" s="189">
        <v>132.553</v>
      </c>
      <c r="G121" s="3" t="s">
        <v>11</v>
      </c>
    </row>
    <row r="122" spans="1:17" x14ac:dyDescent="0.25">
      <c r="A122" s="2" t="s">
        <v>148</v>
      </c>
      <c r="B122" s="3" t="s">
        <v>9</v>
      </c>
      <c r="C122" s="3">
        <v>10</v>
      </c>
      <c r="D122" s="189">
        <v>798.25699999999995</v>
      </c>
      <c r="E122" s="3" t="s">
        <v>10</v>
      </c>
      <c r="F122" s="189">
        <v>6.4790000000000001</v>
      </c>
      <c r="G122" s="3" t="s">
        <v>11</v>
      </c>
    </row>
    <row r="123" spans="1:17" x14ac:dyDescent="0.25">
      <c r="A123" s="2" t="s">
        <v>149</v>
      </c>
      <c r="B123" s="3" t="s">
        <v>9</v>
      </c>
      <c r="C123" s="3">
        <v>10</v>
      </c>
      <c r="D123" s="189">
        <v>18973.642</v>
      </c>
      <c r="E123" s="3" t="s">
        <v>10</v>
      </c>
      <c r="F123" s="189">
        <v>2332.442</v>
      </c>
      <c r="G123" s="3" t="s">
        <v>11</v>
      </c>
    </row>
    <row r="124" spans="1:17" x14ac:dyDescent="0.25">
      <c r="A124" s="2" t="s">
        <v>150</v>
      </c>
      <c r="B124" s="3" t="s">
        <v>9</v>
      </c>
      <c r="C124" s="3">
        <v>10</v>
      </c>
      <c r="D124" s="189">
        <v>22276.348000000002</v>
      </c>
      <c r="E124" s="3" t="s">
        <v>10</v>
      </c>
      <c r="F124" s="189">
        <v>93.984999999999999</v>
      </c>
      <c r="G124" s="3" t="s">
        <v>11</v>
      </c>
    </row>
    <row r="125" spans="1:17" x14ac:dyDescent="0.25">
      <c r="A125" s="2" t="s">
        <v>151</v>
      </c>
      <c r="B125" s="3" t="s">
        <v>9</v>
      </c>
      <c r="C125" s="3">
        <v>10</v>
      </c>
      <c r="D125" s="189">
        <v>24648.400000000001</v>
      </c>
      <c r="E125" s="3" t="s">
        <v>10</v>
      </c>
      <c r="F125" s="189">
        <v>491.44499999999999</v>
      </c>
      <c r="G125" s="3" t="s">
        <v>11</v>
      </c>
    </row>
    <row r="126" spans="1:17" x14ac:dyDescent="0.25">
      <c r="A126" s="2" t="s">
        <v>152</v>
      </c>
      <c r="B126" s="3" t="s">
        <v>9</v>
      </c>
      <c r="C126" s="3">
        <v>10</v>
      </c>
      <c r="D126" s="189">
        <v>8329.6820000000007</v>
      </c>
      <c r="E126" s="3" t="s">
        <v>10</v>
      </c>
      <c r="F126" s="189">
        <v>14.513</v>
      </c>
      <c r="G126" s="3" t="s">
        <v>11</v>
      </c>
    </row>
    <row r="127" spans="1:17" x14ac:dyDescent="0.25">
      <c r="A127" s="2" t="s">
        <v>153</v>
      </c>
      <c r="B127" s="3" t="s">
        <v>9</v>
      </c>
      <c r="C127" s="3">
        <v>10</v>
      </c>
      <c r="D127" s="189">
        <v>212806.18100000001</v>
      </c>
      <c r="E127" s="3" t="s">
        <v>10</v>
      </c>
      <c r="F127" s="189">
        <v>2254.7550000000001</v>
      </c>
      <c r="G127" s="3" t="s">
        <v>11</v>
      </c>
    </row>
    <row r="128" spans="1:17" x14ac:dyDescent="0.25">
      <c r="A128" s="2" t="s">
        <v>154</v>
      </c>
      <c r="B128" s="3" t="s">
        <v>9</v>
      </c>
      <c r="C128" s="3">
        <v>10</v>
      </c>
      <c r="D128" s="189">
        <v>226395.769</v>
      </c>
      <c r="E128" s="3" t="s">
        <v>10</v>
      </c>
      <c r="F128" s="189">
        <v>837.67100000000005</v>
      </c>
      <c r="G128" s="3" t="s">
        <v>11</v>
      </c>
    </row>
    <row r="129" spans="1:17" x14ac:dyDescent="0.25">
      <c r="A129" s="2" t="s">
        <v>155</v>
      </c>
      <c r="B129" s="3" t="s">
        <v>9</v>
      </c>
      <c r="C129" s="3">
        <v>10</v>
      </c>
      <c r="D129" s="189">
        <v>252606.481</v>
      </c>
      <c r="E129" s="3" t="s">
        <v>10</v>
      </c>
      <c r="F129" s="189">
        <v>5045.9520000000002</v>
      </c>
      <c r="G129" s="3" t="s">
        <v>11</v>
      </c>
    </row>
    <row r="130" spans="1:17" x14ac:dyDescent="0.25">
      <c r="A130" s="2" t="s">
        <v>156</v>
      </c>
      <c r="B130" s="3" t="s">
        <v>9</v>
      </c>
      <c r="C130" s="3">
        <v>10</v>
      </c>
      <c r="D130" s="189">
        <v>83954.047000000006</v>
      </c>
      <c r="E130" s="3" t="s">
        <v>10</v>
      </c>
      <c r="F130" s="189">
        <v>1079.414</v>
      </c>
      <c r="G130" s="3" t="s">
        <v>11</v>
      </c>
    </row>
    <row r="131" spans="1:17" x14ac:dyDescent="0.25">
      <c r="A131" s="2"/>
    </row>
    <row r="132" spans="1:17" x14ac:dyDescent="0.25">
      <c r="A132" s="2" t="s">
        <v>0</v>
      </c>
      <c r="B132" s="3" t="s">
        <v>1</v>
      </c>
    </row>
    <row r="133" spans="1:17" ht="20" thickBot="1" x14ac:dyDescent="0.3">
      <c r="A133" s="2" t="s">
        <v>2</v>
      </c>
      <c r="B133" s="3" t="s">
        <v>3</v>
      </c>
      <c r="C133" s="3" t="s">
        <v>4</v>
      </c>
      <c r="D133" s="189" t="s">
        <v>5</v>
      </c>
      <c r="E133" s="3" t="s">
        <v>6</v>
      </c>
      <c r="F133" s="189" t="s">
        <v>7</v>
      </c>
    </row>
    <row r="134" spans="1:17" x14ac:dyDescent="0.25">
      <c r="A134" s="2" t="s">
        <v>101</v>
      </c>
      <c r="B134" s="3" t="s">
        <v>9</v>
      </c>
      <c r="C134" s="3">
        <v>10</v>
      </c>
      <c r="D134" s="189">
        <v>777.78499999999997</v>
      </c>
      <c r="E134" s="3" t="s">
        <v>10</v>
      </c>
      <c r="F134" s="189">
        <v>8.7560000000000002</v>
      </c>
      <c r="G134" s="3" t="s">
        <v>11</v>
      </c>
      <c r="J134" s="5" t="s">
        <v>169</v>
      </c>
      <c r="K134" s="72" t="s">
        <v>344</v>
      </c>
      <c r="L134" s="72" t="s">
        <v>341</v>
      </c>
      <c r="M134" s="17" t="s">
        <v>162</v>
      </c>
      <c r="N134" s="72" t="s">
        <v>343</v>
      </c>
      <c r="O134" s="21" t="s">
        <v>162</v>
      </c>
      <c r="P134" s="72" t="s">
        <v>342</v>
      </c>
      <c r="Q134" s="21" t="s">
        <v>162</v>
      </c>
    </row>
    <row r="135" spans="1:17" x14ac:dyDescent="0.25">
      <c r="A135" s="2" t="s">
        <v>102</v>
      </c>
      <c r="B135" s="3" t="s">
        <v>9</v>
      </c>
      <c r="C135" s="3">
        <v>10</v>
      </c>
      <c r="D135" s="189">
        <v>343.60599999999999</v>
      </c>
      <c r="E135" s="3" t="s">
        <v>10</v>
      </c>
      <c r="F135" s="189">
        <v>2.319</v>
      </c>
      <c r="G135" s="3" t="s">
        <v>11</v>
      </c>
      <c r="J135" s="6">
        <v>100000</v>
      </c>
      <c r="K135" s="119">
        <f>D134</f>
        <v>777.78499999999997</v>
      </c>
      <c r="L135" s="119">
        <f>D135</f>
        <v>343.60599999999999</v>
      </c>
      <c r="M135" s="18">
        <f>(D135/D134-1)</f>
        <v>-0.55822495933966332</v>
      </c>
      <c r="N135" s="73">
        <f>D136</f>
        <v>401.04</v>
      </c>
      <c r="O135" s="22">
        <f>(D136/D134-1)</f>
        <v>-0.48438193073921454</v>
      </c>
      <c r="P135" s="73">
        <f>D137</f>
        <v>587.59900000000005</v>
      </c>
      <c r="Q135" s="22">
        <f>(D137/D134-1)</f>
        <v>-0.24452258657598169</v>
      </c>
    </row>
    <row r="136" spans="1:17" x14ac:dyDescent="0.25">
      <c r="A136" s="2" t="s">
        <v>103</v>
      </c>
      <c r="B136" s="3" t="s">
        <v>9</v>
      </c>
      <c r="C136" s="3">
        <v>10</v>
      </c>
      <c r="D136" s="189">
        <v>401.04</v>
      </c>
      <c r="E136" s="3" t="s">
        <v>10</v>
      </c>
      <c r="F136" s="189">
        <v>2.6539999999999999</v>
      </c>
      <c r="G136" s="3" t="s">
        <v>11</v>
      </c>
      <c r="J136" s="6">
        <v>50000</v>
      </c>
      <c r="K136" s="119">
        <f>D138</f>
        <v>1446.4290000000001</v>
      </c>
      <c r="L136" s="119">
        <f>D139</f>
        <v>940.16</v>
      </c>
      <c r="M136" s="20">
        <f>(D139/D138-1)</f>
        <v>-0.35001303209490409</v>
      </c>
      <c r="N136" s="73">
        <f>D140</f>
        <v>676.43</v>
      </c>
      <c r="O136" s="22">
        <f>(D140/D138-1)</f>
        <v>-0.53234482992251952</v>
      </c>
      <c r="P136" s="73">
        <f>D141</f>
        <v>1242.1479999999999</v>
      </c>
      <c r="Q136" s="22">
        <f>(D141/D138-1)</f>
        <v>-0.1412312667956741</v>
      </c>
    </row>
    <row r="137" spans="1:17" x14ac:dyDescent="0.25">
      <c r="A137" s="2" t="s">
        <v>104</v>
      </c>
      <c r="B137" s="3" t="s">
        <v>9</v>
      </c>
      <c r="C137" s="3">
        <v>10</v>
      </c>
      <c r="D137" s="189">
        <v>587.59900000000005</v>
      </c>
      <c r="E137" s="3" t="s">
        <v>10</v>
      </c>
      <c r="F137" s="189">
        <v>3.681</v>
      </c>
      <c r="G137" s="3" t="s">
        <v>11</v>
      </c>
      <c r="J137" s="6">
        <v>10000</v>
      </c>
      <c r="K137" s="119">
        <f>D142</f>
        <v>9705.652</v>
      </c>
      <c r="L137" s="119">
        <f>D143</f>
        <v>3804.5030000000002</v>
      </c>
      <c r="M137" s="18">
        <f>(D143/D142-1)</f>
        <v>-0.60801159983893927</v>
      </c>
      <c r="N137" s="73">
        <f>D144</f>
        <v>3886.3530000000001</v>
      </c>
      <c r="O137" s="22">
        <f>(D144/D142-1)</f>
        <v>-0.59957836938723952</v>
      </c>
      <c r="P137" s="73">
        <f>D145</f>
        <v>6781.21</v>
      </c>
      <c r="Q137" s="22">
        <f>(D145/D142-1)</f>
        <v>-0.30131329662345196</v>
      </c>
    </row>
    <row r="138" spans="1:17" x14ac:dyDescent="0.25">
      <c r="A138" s="2" t="s">
        <v>117</v>
      </c>
      <c r="B138" s="3" t="s">
        <v>9</v>
      </c>
      <c r="C138" s="3">
        <v>10</v>
      </c>
      <c r="D138" s="189">
        <v>1446.4290000000001</v>
      </c>
      <c r="E138" s="3" t="s">
        <v>10</v>
      </c>
      <c r="F138" s="189">
        <v>7.8890000000000002</v>
      </c>
      <c r="G138" s="3" t="s">
        <v>11</v>
      </c>
      <c r="J138" s="6">
        <v>1000</v>
      </c>
      <c r="K138" s="119">
        <f>D146</f>
        <v>102254.621</v>
      </c>
      <c r="L138" s="119">
        <f>D147</f>
        <v>106118.61500000001</v>
      </c>
      <c r="M138" s="20">
        <f>(D147/D146-1)</f>
        <v>3.7787964614332648E-2</v>
      </c>
      <c r="N138" s="73">
        <f>D148</f>
        <v>82828.578999999998</v>
      </c>
      <c r="O138" s="22">
        <f>(D148/D146-1)</f>
        <v>-0.18997715516445957</v>
      </c>
      <c r="P138" s="73">
        <f>D149</f>
        <v>93177.346000000005</v>
      </c>
      <c r="Q138" s="22">
        <f>(D149/D146-1)</f>
        <v>-8.8771293768718729E-2</v>
      </c>
    </row>
    <row r="139" spans="1:17" ht="20" thickBot="1" x14ac:dyDescent="0.3">
      <c r="A139" s="2" t="s">
        <v>118</v>
      </c>
      <c r="B139" s="3" t="s">
        <v>9</v>
      </c>
      <c r="C139" s="3">
        <v>10</v>
      </c>
      <c r="D139" s="189">
        <v>940.16</v>
      </c>
      <c r="E139" s="3" t="s">
        <v>10</v>
      </c>
      <c r="F139" s="189">
        <v>19.363</v>
      </c>
      <c r="G139" s="3" t="s">
        <v>11</v>
      </c>
      <c r="J139" s="7">
        <v>100</v>
      </c>
      <c r="K139" s="120">
        <f>D150</f>
        <v>991950.70600000001</v>
      </c>
      <c r="L139" s="120">
        <f>D151</f>
        <v>476997.23599999998</v>
      </c>
      <c r="M139" s="19">
        <f>(D151/D150-1)</f>
        <v>-0.51913211703485596</v>
      </c>
      <c r="N139" s="74">
        <f>D152</f>
        <v>716782.402</v>
      </c>
      <c r="O139" s="23">
        <f>(D152/D150-1)</f>
        <v>-0.2774011877158743</v>
      </c>
      <c r="P139" s="74">
        <f>D153</f>
        <v>895374.98</v>
      </c>
      <c r="Q139" s="23">
        <f>(D153/D150-1)</f>
        <v>-9.7359400437787458E-2</v>
      </c>
    </row>
    <row r="140" spans="1:17" x14ac:dyDescent="0.25">
      <c r="A140" s="2" t="s">
        <v>119</v>
      </c>
      <c r="B140" s="3" t="s">
        <v>9</v>
      </c>
      <c r="C140" s="3">
        <v>10</v>
      </c>
      <c r="D140" s="189">
        <v>676.43</v>
      </c>
      <c r="E140" s="3" t="s">
        <v>10</v>
      </c>
      <c r="F140" s="189">
        <v>6.7229999999999999</v>
      </c>
      <c r="G140" s="3" t="s">
        <v>11</v>
      </c>
    </row>
    <row r="141" spans="1:17" x14ac:dyDescent="0.25">
      <c r="A141" s="2" t="s">
        <v>120</v>
      </c>
      <c r="B141" s="3" t="s">
        <v>9</v>
      </c>
      <c r="C141" s="3">
        <v>10</v>
      </c>
      <c r="D141" s="189">
        <v>1242.1479999999999</v>
      </c>
      <c r="E141" s="3" t="s">
        <v>10</v>
      </c>
      <c r="F141" s="189">
        <v>22.204999999999998</v>
      </c>
      <c r="G141" s="3" t="s">
        <v>11</v>
      </c>
    </row>
    <row r="142" spans="1:17" x14ac:dyDescent="0.25">
      <c r="A142" s="2" t="s">
        <v>105</v>
      </c>
      <c r="B142" s="3" t="s">
        <v>9</v>
      </c>
      <c r="C142" s="3">
        <v>10</v>
      </c>
      <c r="D142" s="189">
        <v>9705.652</v>
      </c>
      <c r="E142" s="3" t="s">
        <v>10</v>
      </c>
      <c r="F142" s="189">
        <v>66.807000000000002</v>
      </c>
      <c r="G142" s="3" t="s">
        <v>11</v>
      </c>
    </row>
    <row r="143" spans="1:17" x14ac:dyDescent="0.25">
      <c r="A143" s="2" t="s">
        <v>106</v>
      </c>
      <c r="B143" s="3" t="s">
        <v>9</v>
      </c>
      <c r="C143" s="3">
        <v>10</v>
      </c>
      <c r="D143" s="189">
        <v>3804.5030000000002</v>
      </c>
      <c r="E143" s="3" t="s">
        <v>10</v>
      </c>
      <c r="F143" s="189">
        <v>27.102</v>
      </c>
      <c r="G143" s="3" t="s">
        <v>11</v>
      </c>
    </row>
    <row r="144" spans="1:17" x14ac:dyDescent="0.25">
      <c r="A144" s="2" t="s">
        <v>107</v>
      </c>
      <c r="B144" s="3" t="s">
        <v>9</v>
      </c>
      <c r="C144" s="3">
        <v>10</v>
      </c>
      <c r="D144" s="189">
        <v>3886.3530000000001</v>
      </c>
      <c r="E144" s="3" t="s">
        <v>10</v>
      </c>
      <c r="F144" s="189">
        <v>381.59100000000001</v>
      </c>
      <c r="G144" s="3" t="s">
        <v>11</v>
      </c>
    </row>
    <row r="145" spans="1:17" x14ac:dyDescent="0.25">
      <c r="A145" s="2" t="s">
        <v>108</v>
      </c>
      <c r="B145" s="3" t="s">
        <v>9</v>
      </c>
      <c r="C145" s="3">
        <v>10</v>
      </c>
      <c r="D145" s="189">
        <v>6781.21</v>
      </c>
      <c r="E145" s="3" t="s">
        <v>10</v>
      </c>
      <c r="F145" s="189">
        <v>76.575999999999993</v>
      </c>
      <c r="G145" s="3" t="s">
        <v>11</v>
      </c>
    </row>
    <row r="146" spans="1:17" x14ac:dyDescent="0.25">
      <c r="A146" s="2" t="s">
        <v>109</v>
      </c>
      <c r="B146" s="3" t="s">
        <v>9</v>
      </c>
      <c r="C146" s="3">
        <v>10</v>
      </c>
      <c r="D146" s="189">
        <v>102254.621</v>
      </c>
      <c r="E146" s="3" t="s">
        <v>10</v>
      </c>
      <c r="F146" s="189">
        <v>584.02700000000004</v>
      </c>
      <c r="G146" s="3" t="s">
        <v>11</v>
      </c>
    </row>
    <row r="147" spans="1:17" x14ac:dyDescent="0.25">
      <c r="A147" s="2" t="s">
        <v>110</v>
      </c>
      <c r="B147" s="3" t="s">
        <v>9</v>
      </c>
      <c r="C147" s="3">
        <v>10</v>
      </c>
      <c r="D147" s="189">
        <v>106118.61500000001</v>
      </c>
      <c r="E147" s="3" t="s">
        <v>10</v>
      </c>
      <c r="F147" s="189">
        <v>973.64700000000005</v>
      </c>
      <c r="G147" s="3" t="s">
        <v>11</v>
      </c>
    </row>
    <row r="148" spans="1:17" x14ac:dyDescent="0.25">
      <c r="A148" s="2" t="s">
        <v>111</v>
      </c>
      <c r="B148" s="3" t="s">
        <v>9</v>
      </c>
      <c r="C148" s="3">
        <v>10</v>
      </c>
      <c r="D148" s="189">
        <v>82828.578999999998</v>
      </c>
      <c r="E148" s="3" t="s">
        <v>10</v>
      </c>
      <c r="F148" s="189">
        <v>555.29300000000001</v>
      </c>
      <c r="G148" s="3" t="s">
        <v>11</v>
      </c>
    </row>
    <row r="149" spans="1:17" x14ac:dyDescent="0.25">
      <c r="A149" s="2" t="s">
        <v>112</v>
      </c>
      <c r="B149" s="3" t="s">
        <v>9</v>
      </c>
      <c r="C149" s="3">
        <v>10</v>
      </c>
      <c r="D149" s="189">
        <v>93177.346000000005</v>
      </c>
      <c r="E149" s="3" t="s">
        <v>10</v>
      </c>
      <c r="F149" s="189">
        <v>545.26400000000001</v>
      </c>
      <c r="G149" s="3" t="s">
        <v>11</v>
      </c>
    </row>
    <row r="150" spans="1:17" x14ac:dyDescent="0.25">
      <c r="A150" s="2" t="s">
        <v>113</v>
      </c>
      <c r="B150" s="3" t="s">
        <v>9</v>
      </c>
      <c r="C150" s="3">
        <v>10</v>
      </c>
      <c r="D150" s="189">
        <v>991950.70600000001</v>
      </c>
      <c r="E150" s="3" t="s">
        <v>10</v>
      </c>
      <c r="F150" s="189">
        <v>3539.8180000000002</v>
      </c>
      <c r="G150" s="3" t="s">
        <v>11</v>
      </c>
    </row>
    <row r="151" spans="1:17" x14ac:dyDescent="0.25">
      <c r="A151" s="3" t="s">
        <v>114</v>
      </c>
      <c r="B151" s="3" t="s">
        <v>9</v>
      </c>
      <c r="C151" s="3">
        <v>10</v>
      </c>
      <c r="D151" s="189">
        <v>476997.23599999998</v>
      </c>
      <c r="E151" s="3" t="s">
        <v>10</v>
      </c>
      <c r="F151" s="189">
        <v>2694.4110000000001</v>
      </c>
      <c r="G151" s="3" t="s">
        <v>11</v>
      </c>
    </row>
    <row r="152" spans="1:17" x14ac:dyDescent="0.25">
      <c r="A152" s="2" t="s">
        <v>115</v>
      </c>
      <c r="B152" s="3" t="s">
        <v>9</v>
      </c>
      <c r="C152" s="3">
        <v>10</v>
      </c>
      <c r="D152" s="189">
        <v>716782.402</v>
      </c>
      <c r="E152" s="3" t="s">
        <v>10</v>
      </c>
      <c r="F152" s="189">
        <v>9788.43</v>
      </c>
      <c r="G152" s="3" t="s">
        <v>11</v>
      </c>
    </row>
    <row r="153" spans="1:17" x14ac:dyDescent="0.25">
      <c r="A153" s="2" t="s">
        <v>116</v>
      </c>
      <c r="B153" s="3" t="s">
        <v>9</v>
      </c>
      <c r="C153" s="3">
        <v>10</v>
      </c>
      <c r="D153" s="189">
        <v>895374.98</v>
      </c>
      <c r="E153" s="3" t="s">
        <v>10</v>
      </c>
      <c r="F153" s="189">
        <v>1952.2</v>
      </c>
      <c r="G153" s="3" t="s">
        <v>11</v>
      </c>
    </row>
    <row r="154" spans="1:17" x14ac:dyDescent="0.25">
      <c r="A154" s="2"/>
    </row>
    <row r="155" spans="1:17" x14ac:dyDescent="0.25">
      <c r="A155" s="2" t="s">
        <v>0</v>
      </c>
      <c r="B155" s="3" t="s">
        <v>1</v>
      </c>
    </row>
    <row r="156" spans="1:17" ht="20" thickBot="1" x14ac:dyDescent="0.3">
      <c r="A156" s="2" t="s">
        <v>2</v>
      </c>
      <c r="B156" s="3" t="s">
        <v>3</v>
      </c>
      <c r="C156" s="3" t="s">
        <v>4</v>
      </c>
      <c r="D156" s="189" t="s">
        <v>5</v>
      </c>
      <c r="E156" s="3" t="s">
        <v>6</v>
      </c>
      <c r="F156" s="189" t="s">
        <v>7</v>
      </c>
    </row>
    <row r="157" spans="1:17" x14ac:dyDescent="0.25">
      <c r="A157" s="2" t="s">
        <v>121</v>
      </c>
      <c r="B157" s="3" t="s">
        <v>9</v>
      </c>
      <c r="C157" s="3">
        <v>10</v>
      </c>
      <c r="D157" s="189">
        <v>318.75700000000001</v>
      </c>
      <c r="E157" s="3" t="s">
        <v>10</v>
      </c>
      <c r="F157" s="189">
        <v>6.1289999999999996</v>
      </c>
      <c r="G157" s="3" t="s">
        <v>11</v>
      </c>
      <c r="J157" s="5" t="s">
        <v>170</v>
      </c>
      <c r="K157" s="72" t="s">
        <v>340</v>
      </c>
      <c r="L157" s="72" t="s">
        <v>341</v>
      </c>
      <c r="M157" s="17" t="s">
        <v>162</v>
      </c>
      <c r="N157" s="72" t="s">
        <v>343</v>
      </c>
      <c r="O157" s="21" t="s">
        <v>162</v>
      </c>
      <c r="P157" s="72" t="s">
        <v>342</v>
      </c>
      <c r="Q157" s="21" t="s">
        <v>162</v>
      </c>
    </row>
    <row r="158" spans="1:17" x14ac:dyDescent="0.25">
      <c r="A158" s="2" t="s">
        <v>122</v>
      </c>
      <c r="B158" s="3" t="s">
        <v>9</v>
      </c>
      <c r="C158" s="3">
        <v>10</v>
      </c>
      <c r="D158" s="189">
        <v>267.14800000000002</v>
      </c>
      <c r="E158" s="3" t="s">
        <v>10</v>
      </c>
      <c r="F158" s="189">
        <v>5.3049999999999997</v>
      </c>
      <c r="G158" s="3" t="s">
        <v>11</v>
      </c>
      <c r="J158" s="6">
        <v>100000</v>
      </c>
      <c r="K158" s="119">
        <f>D157</f>
        <v>318.75700000000001</v>
      </c>
      <c r="L158" s="119">
        <f>D158</f>
        <v>267.14800000000002</v>
      </c>
      <c r="M158" s="18">
        <f>(D158/D157-1)</f>
        <v>-0.16190703262987161</v>
      </c>
      <c r="N158" s="73">
        <f>D159</f>
        <v>276.22500000000002</v>
      </c>
      <c r="O158" s="22">
        <f>(D159/D157-1)</f>
        <v>-0.13343079524528079</v>
      </c>
      <c r="P158" s="73">
        <f>F160</f>
        <v>3.9119999999999999</v>
      </c>
      <c r="Q158" s="22">
        <f>(D160/D157-1)</f>
        <v>-1.4082827984954194E-2</v>
      </c>
    </row>
    <row r="159" spans="1:17" x14ac:dyDescent="0.25">
      <c r="A159" s="2" t="s">
        <v>123</v>
      </c>
      <c r="B159" s="3" t="s">
        <v>9</v>
      </c>
      <c r="C159" s="3">
        <v>10</v>
      </c>
      <c r="D159" s="189">
        <v>276.22500000000002</v>
      </c>
      <c r="E159" s="3" t="s">
        <v>10</v>
      </c>
      <c r="F159" s="189">
        <v>2.5840000000000001</v>
      </c>
      <c r="G159" s="3" t="s">
        <v>11</v>
      </c>
      <c r="J159" s="6">
        <v>50000</v>
      </c>
      <c r="K159" s="119">
        <f>D161</f>
        <v>619.82100000000003</v>
      </c>
      <c r="L159" s="119">
        <f>D162</f>
        <v>571.13599999999997</v>
      </c>
      <c r="M159" s="20">
        <f>(D162/D161-1)</f>
        <v>-7.8546870790115353E-2</v>
      </c>
      <c r="N159" s="73">
        <f>D163</f>
        <v>599.84699999999998</v>
      </c>
      <c r="O159" s="22">
        <f>(D163/D161-1)</f>
        <v>-3.2225432826574196E-2</v>
      </c>
      <c r="P159" s="73">
        <f>F164</f>
        <v>5.2530000000000001</v>
      </c>
      <c r="Q159" s="22">
        <f>(D164/D161-1)</f>
        <v>3.9451712671884298E-2</v>
      </c>
    </row>
    <row r="160" spans="1:17" x14ac:dyDescent="0.25">
      <c r="A160" s="2" t="s">
        <v>124</v>
      </c>
      <c r="B160" s="3" t="s">
        <v>9</v>
      </c>
      <c r="C160" s="3">
        <v>10</v>
      </c>
      <c r="D160" s="189">
        <v>314.26799999999997</v>
      </c>
      <c r="E160" s="3" t="s">
        <v>10</v>
      </c>
      <c r="F160" s="189">
        <v>3.9119999999999999</v>
      </c>
      <c r="G160" s="3" t="s">
        <v>11</v>
      </c>
      <c r="J160" s="6">
        <v>10000</v>
      </c>
      <c r="K160" s="119">
        <f>D165</f>
        <v>4039.348</v>
      </c>
      <c r="L160" s="119">
        <f>D166</f>
        <v>3324.7249999999999</v>
      </c>
      <c r="M160" s="18">
        <f>(D166/D165-1)</f>
        <v>-0.17691543288669365</v>
      </c>
      <c r="N160" s="73">
        <f>D167</f>
        <v>3539.5880000000002</v>
      </c>
      <c r="O160" s="22">
        <f>(D167/D165-1)</f>
        <v>-0.12372293746416496</v>
      </c>
      <c r="P160" s="73">
        <f>F168</f>
        <v>39.661000000000001</v>
      </c>
      <c r="Q160" s="22">
        <f>(D168/D165-1)</f>
        <v>2.1400235879651897E-2</v>
      </c>
    </row>
    <row r="161" spans="1:17" x14ac:dyDescent="0.25">
      <c r="A161" s="2" t="s">
        <v>137</v>
      </c>
      <c r="B161" s="3" t="s">
        <v>9</v>
      </c>
      <c r="C161" s="3">
        <v>10</v>
      </c>
      <c r="D161" s="189">
        <v>619.82100000000003</v>
      </c>
      <c r="E161" s="3" t="s">
        <v>10</v>
      </c>
      <c r="F161" s="189">
        <v>3.2069999999999999</v>
      </c>
      <c r="G161" s="3" t="s">
        <v>11</v>
      </c>
      <c r="J161" s="6">
        <v>1000</v>
      </c>
      <c r="K161" s="119">
        <f>D169</f>
        <v>43886.98</v>
      </c>
      <c r="L161" s="119">
        <f>D170</f>
        <v>43247.415999999997</v>
      </c>
      <c r="M161" s="20">
        <f>(D170/D169-1)</f>
        <v>-1.4572978136112469E-2</v>
      </c>
      <c r="N161" s="73">
        <f>D171</f>
        <v>52052.989000000001</v>
      </c>
      <c r="O161" s="22">
        <f>(D171/D169-1)</f>
        <v>0.18606905738330592</v>
      </c>
      <c r="P161" s="73">
        <f>F172</f>
        <v>362.82</v>
      </c>
      <c r="Q161" s="22">
        <f>(D172/D169-1)</f>
        <v>0.33812048584796672</v>
      </c>
    </row>
    <row r="162" spans="1:17" ht="20" thickBot="1" x14ac:dyDescent="0.3">
      <c r="A162" s="2" t="s">
        <v>138</v>
      </c>
      <c r="B162" s="3" t="s">
        <v>9</v>
      </c>
      <c r="C162" s="3">
        <v>10</v>
      </c>
      <c r="D162" s="189">
        <v>571.13599999999997</v>
      </c>
      <c r="E162" s="3" t="s">
        <v>10</v>
      </c>
      <c r="F162" s="189">
        <v>2.7690000000000001</v>
      </c>
      <c r="G162" s="3" t="s">
        <v>11</v>
      </c>
      <c r="J162" s="7">
        <v>100</v>
      </c>
      <c r="K162" s="120">
        <f>D173</f>
        <v>538865.01899999997</v>
      </c>
      <c r="L162" s="120">
        <f>D174</f>
        <v>503644.28200000001</v>
      </c>
      <c r="M162" s="19">
        <f>(D174/D173-1)</f>
        <v>-6.5360963800101479E-2</v>
      </c>
      <c r="N162" s="74">
        <f>D175</f>
        <v>588030.86800000002</v>
      </c>
      <c r="O162" s="23">
        <f>(D175/D173-1)</f>
        <v>9.1239637509296312E-2</v>
      </c>
      <c r="P162" s="74">
        <f>F176</f>
        <v>1939.7139999999999</v>
      </c>
      <c r="Q162" s="23">
        <f>(D176/D173-1)</f>
        <v>0.11446662304127031</v>
      </c>
    </row>
    <row r="163" spans="1:17" x14ac:dyDescent="0.25">
      <c r="A163" s="2" t="s">
        <v>139</v>
      </c>
      <c r="B163" s="3" t="s">
        <v>9</v>
      </c>
      <c r="C163" s="3">
        <v>10</v>
      </c>
      <c r="D163" s="189">
        <v>599.84699999999998</v>
      </c>
      <c r="E163" s="3" t="s">
        <v>10</v>
      </c>
      <c r="F163" s="189">
        <v>13.077</v>
      </c>
      <c r="G163" s="3" t="s">
        <v>11</v>
      </c>
    </row>
    <row r="164" spans="1:17" x14ac:dyDescent="0.25">
      <c r="A164" s="2" t="s">
        <v>140</v>
      </c>
      <c r="B164" s="3" t="s">
        <v>9</v>
      </c>
      <c r="C164" s="3">
        <v>10</v>
      </c>
      <c r="D164" s="189">
        <v>644.274</v>
      </c>
      <c r="E164" s="3" t="s">
        <v>10</v>
      </c>
      <c r="F164" s="189">
        <v>5.2530000000000001</v>
      </c>
      <c r="G164" s="3" t="s">
        <v>11</v>
      </c>
    </row>
    <row r="165" spans="1:17" x14ac:dyDescent="0.25">
      <c r="A165" s="2" t="s">
        <v>125</v>
      </c>
      <c r="B165" s="3" t="s">
        <v>9</v>
      </c>
      <c r="C165" s="3">
        <v>10</v>
      </c>
      <c r="D165" s="189">
        <v>4039.348</v>
      </c>
      <c r="E165" s="3" t="s">
        <v>10</v>
      </c>
      <c r="F165" s="189">
        <v>60.963999999999999</v>
      </c>
      <c r="G165" s="3" t="s">
        <v>11</v>
      </c>
    </row>
    <row r="166" spans="1:17" x14ac:dyDescent="0.25">
      <c r="A166" s="2" t="s">
        <v>126</v>
      </c>
      <c r="B166" s="3" t="s">
        <v>9</v>
      </c>
      <c r="C166" s="3">
        <v>10</v>
      </c>
      <c r="D166" s="189">
        <v>3324.7249999999999</v>
      </c>
      <c r="E166" s="3" t="s">
        <v>10</v>
      </c>
      <c r="F166" s="189">
        <v>26.824999999999999</v>
      </c>
      <c r="G166" s="3" t="s">
        <v>11</v>
      </c>
    </row>
    <row r="167" spans="1:17" x14ac:dyDescent="0.25">
      <c r="A167" s="2" t="s">
        <v>127</v>
      </c>
      <c r="B167" s="3" t="s">
        <v>9</v>
      </c>
      <c r="C167" s="3">
        <v>10</v>
      </c>
      <c r="D167" s="189">
        <v>3539.5880000000002</v>
      </c>
      <c r="E167" s="3" t="s">
        <v>10</v>
      </c>
      <c r="F167" s="189">
        <v>47.417999999999999</v>
      </c>
      <c r="G167" s="3" t="s">
        <v>11</v>
      </c>
    </row>
    <row r="168" spans="1:17" x14ac:dyDescent="0.25">
      <c r="A168" s="2" t="s">
        <v>128</v>
      </c>
      <c r="B168" s="3" t="s">
        <v>9</v>
      </c>
      <c r="C168" s="3">
        <v>10</v>
      </c>
      <c r="D168" s="189">
        <v>4125.7910000000002</v>
      </c>
      <c r="E168" s="3" t="s">
        <v>10</v>
      </c>
      <c r="F168" s="189">
        <v>39.661000000000001</v>
      </c>
      <c r="G168" s="3" t="s">
        <v>11</v>
      </c>
    </row>
    <row r="169" spans="1:17" x14ac:dyDescent="0.25">
      <c r="A169" s="2" t="s">
        <v>129</v>
      </c>
      <c r="B169" s="3" t="s">
        <v>9</v>
      </c>
      <c r="C169" s="3">
        <v>10</v>
      </c>
      <c r="D169" s="189">
        <v>43886.98</v>
      </c>
      <c r="E169" s="3" t="s">
        <v>10</v>
      </c>
      <c r="F169" s="189">
        <v>199.233</v>
      </c>
      <c r="G169" s="3" t="s">
        <v>11</v>
      </c>
    </row>
    <row r="170" spans="1:17" x14ac:dyDescent="0.25">
      <c r="A170" s="2" t="s">
        <v>130</v>
      </c>
      <c r="B170" s="3" t="s">
        <v>9</v>
      </c>
      <c r="C170" s="3">
        <v>10</v>
      </c>
      <c r="D170" s="189">
        <v>43247.415999999997</v>
      </c>
      <c r="E170" s="3" t="s">
        <v>10</v>
      </c>
      <c r="F170" s="189">
        <v>473.05599999999998</v>
      </c>
      <c r="G170" s="3" t="s">
        <v>11</v>
      </c>
    </row>
    <row r="171" spans="1:17" x14ac:dyDescent="0.25">
      <c r="A171" s="2" t="s">
        <v>131</v>
      </c>
      <c r="B171" s="3" t="s">
        <v>9</v>
      </c>
      <c r="C171" s="3">
        <v>10</v>
      </c>
      <c r="D171" s="189">
        <v>52052.989000000001</v>
      </c>
      <c r="E171" s="3" t="s">
        <v>10</v>
      </c>
      <c r="F171" s="189">
        <v>269.87900000000002</v>
      </c>
      <c r="G171" s="3" t="s">
        <v>11</v>
      </c>
    </row>
    <row r="172" spans="1:17" x14ac:dyDescent="0.25">
      <c r="A172" s="2" t="s">
        <v>132</v>
      </c>
      <c r="B172" s="3" t="s">
        <v>9</v>
      </c>
      <c r="C172" s="3">
        <v>10</v>
      </c>
      <c r="D172" s="189">
        <v>58726.067000000003</v>
      </c>
      <c r="E172" s="3" t="s">
        <v>10</v>
      </c>
      <c r="F172" s="189">
        <v>362.82</v>
      </c>
      <c r="G172" s="3" t="s">
        <v>11</v>
      </c>
    </row>
    <row r="173" spans="1:17" x14ac:dyDescent="0.25">
      <c r="A173" s="2" t="s">
        <v>133</v>
      </c>
      <c r="B173" s="3" t="s">
        <v>9</v>
      </c>
      <c r="C173" s="3">
        <v>10</v>
      </c>
      <c r="D173" s="189">
        <v>538865.01899999997</v>
      </c>
      <c r="E173" s="3" t="s">
        <v>10</v>
      </c>
      <c r="F173" s="189">
        <v>2063.1170000000002</v>
      </c>
      <c r="G173" s="3" t="s">
        <v>11</v>
      </c>
    </row>
    <row r="174" spans="1:17" x14ac:dyDescent="0.25">
      <c r="A174" s="3" t="s">
        <v>134</v>
      </c>
      <c r="B174" s="3" t="s">
        <v>9</v>
      </c>
      <c r="C174" s="3">
        <v>10</v>
      </c>
      <c r="D174" s="189">
        <v>503644.28200000001</v>
      </c>
      <c r="E174" s="3" t="s">
        <v>10</v>
      </c>
      <c r="F174" s="189">
        <v>2217.681</v>
      </c>
      <c r="G174" s="3" t="s">
        <v>11</v>
      </c>
    </row>
    <row r="175" spans="1:17" x14ac:dyDescent="0.25">
      <c r="A175" s="3" t="s">
        <v>135</v>
      </c>
      <c r="B175" s="3" t="s">
        <v>9</v>
      </c>
      <c r="C175" s="3">
        <v>10</v>
      </c>
      <c r="D175" s="189">
        <v>588030.86800000002</v>
      </c>
      <c r="E175" s="3" t="s">
        <v>10</v>
      </c>
      <c r="F175" s="189">
        <v>2235.5749999999998</v>
      </c>
      <c r="G175" s="3" t="s">
        <v>11</v>
      </c>
    </row>
    <row r="176" spans="1:17" x14ac:dyDescent="0.25">
      <c r="A176" s="3" t="s">
        <v>136</v>
      </c>
      <c r="B176" s="3" t="s">
        <v>9</v>
      </c>
      <c r="C176" s="3">
        <v>10</v>
      </c>
      <c r="D176" s="189">
        <v>600547.07799999998</v>
      </c>
      <c r="E176" s="3" t="s">
        <v>10</v>
      </c>
      <c r="F176" s="189">
        <v>1939.7139999999999</v>
      </c>
      <c r="G176" s="3" t="s">
        <v>11</v>
      </c>
    </row>
    <row r="178" spans="1:15" x14ac:dyDescent="0.25">
      <c r="A178" s="3" t="s">
        <v>0</v>
      </c>
      <c r="B178" s="3" t="s">
        <v>1</v>
      </c>
    </row>
    <row r="179" spans="1:15" ht="20" thickBot="1" x14ac:dyDescent="0.3">
      <c r="A179" s="3" t="s">
        <v>2</v>
      </c>
      <c r="B179" s="3" t="s">
        <v>3</v>
      </c>
      <c r="C179" s="3" t="s">
        <v>4</v>
      </c>
      <c r="D179" s="189" t="s">
        <v>5</v>
      </c>
      <c r="E179" s="3" t="s">
        <v>6</v>
      </c>
      <c r="F179" s="189" t="s">
        <v>7</v>
      </c>
    </row>
    <row r="180" spans="1:15" x14ac:dyDescent="0.25">
      <c r="A180" s="3" t="s">
        <v>171</v>
      </c>
      <c r="B180" s="3" t="s">
        <v>9</v>
      </c>
      <c r="C180" s="3">
        <v>10</v>
      </c>
      <c r="D180" s="189">
        <v>379.577</v>
      </c>
      <c r="E180" s="3" t="s">
        <v>10</v>
      </c>
      <c r="F180" s="189">
        <v>15.964</v>
      </c>
      <c r="G180" s="3" t="s">
        <v>11</v>
      </c>
      <c r="J180" s="5" t="s">
        <v>270</v>
      </c>
      <c r="K180" s="72" t="s">
        <v>340</v>
      </c>
      <c r="L180" s="72" t="s">
        <v>341</v>
      </c>
      <c r="M180" s="17" t="s">
        <v>162</v>
      </c>
      <c r="N180" s="72" t="s">
        <v>342</v>
      </c>
      <c r="O180" s="21" t="s">
        <v>162</v>
      </c>
    </row>
    <row r="181" spans="1:15" x14ac:dyDescent="0.25">
      <c r="A181" s="3" t="s">
        <v>172</v>
      </c>
      <c r="B181" s="3" t="s">
        <v>9</v>
      </c>
      <c r="C181" s="3">
        <v>10</v>
      </c>
      <c r="D181" s="189">
        <v>419.63</v>
      </c>
      <c r="E181" s="3" t="s">
        <v>10</v>
      </c>
      <c r="F181" s="189">
        <v>11.664</v>
      </c>
      <c r="G181" s="3" t="s">
        <v>11</v>
      </c>
      <c r="J181" s="6">
        <v>100000</v>
      </c>
      <c r="K181" s="119">
        <f>D180</f>
        <v>379.577</v>
      </c>
      <c r="L181" s="119">
        <f>D181</f>
        <v>419.63</v>
      </c>
      <c r="M181" s="18">
        <f>(D181/D180-1)</f>
        <v>0.10552009210252455</v>
      </c>
      <c r="N181" s="73">
        <f>D182</f>
        <v>340.56299999999999</v>
      </c>
      <c r="O181" s="22">
        <f>(D182/D180-1)</f>
        <v>-0.10278283457638371</v>
      </c>
    </row>
    <row r="182" spans="1:15" x14ac:dyDescent="0.25">
      <c r="A182" s="3" t="s">
        <v>173</v>
      </c>
      <c r="B182" s="3" t="s">
        <v>9</v>
      </c>
      <c r="C182" s="3">
        <v>10</v>
      </c>
      <c r="D182" s="189">
        <v>340.56299999999999</v>
      </c>
      <c r="E182" s="3" t="s">
        <v>10</v>
      </c>
      <c r="F182" s="189">
        <v>3.8730000000000002</v>
      </c>
      <c r="G182" s="3" t="s">
        <v>11</v>
      </c>
      <c r="J182" s="6">
        <v>50000</v>
      </c>
      <c r="K182" s="119">
        <f>D183</f>
        <v>816.21699999999998</v>
      </c>
      <c r="L182" s="119">
        <f>D184</f>
        <v>870.36300000000006</v>
      </c>
      <c r="M182" s="18">
        <f>(D184/D183-1)</f>
        <v>6.6337750867722756E-2</v>
      </c>
      <c r="N182" s="73">
        <f>D185</f>
        <v>696.32299999999998</v>
      </c>
      <c r="O182" s="22">
        <f>(D185/D183-1)</f>
        <v>-0.14688985894682416</v>
      </c>
    </row>
    <row r="183" spans="1:15" x14ac:dyDescent="0.25">
      <c r="A183" s="3" t="s">
        <v>174</v>
      </c>
      <c r="B183" s="3" t="s">
        <v>9</v>
      </c>
      <c r="C183" s="3">
        <v>10</v>
      </c>
      <c r="D183" s="189">
        <v>816.21699999999998</v>
      </c>
      <c r="E183" s="3" t="s">
        <v>10</v>
      </c>
      <c r="F183" s="189">
        <v>8.6430000000000007</v>
      </c>
      <c r="G183" s="3" t="s">
        <v>11</v>
      </c>
      <c r="J183" s="6">
        <v>10000</v>
      </c>
      <c r="K183" s="119">
        <f>D186</f>
        <v>5095.5410000000002</v>
      </c>
      <c r="L183" s="119">
        <f>D187</f>
        <v>5192.9769999999999</v>
      </c>
      <c r="M183" s="18">
        <f>(D187/D186-1)</f>
        <v>1.9121816505842881E-2</v>
      </c>
      <c r="N183" s="73">
        <f>D188</f>
        <v>3710.3110000000001</v>
      </c>
      <c r="O183" s="22">
        <f>(D188/D186-1)</f>
        <v>-0.2718514089082984</v>
      </c>
    </row>
    <row r="184" spans="1:15" x14ac:dyDescent="0.25">
      <c r="A184" s="3" t="s">
        <v>175</v>
      </c>
      <c r="B184" s="3" t="s">
        <v>9</v>
      </c>
      <c r="C184" s="3">
        <v>10</v>
      </c>
      <c r="D184" s="189">
        <v>870.36300000000006</v>
      </c>
      <c r="E184" s="3" t="s">
        <v>10</v>
      </c>
      <c r="F184" s="189">
        <v>7.1459999999999999</v>
      </c>
      <c r="G184" s="3" t="s">
        <v>11</v>
      </c>
      <c r="J184" s="6">
        <v>1000</v>
      </c>
      <c r="K184" s="119">
        <f>D189</f>
        <v>80585.228000000003</v>
      </c>
      <c r="L184" s="119">
        <f>D190</f>
        <v>86028.453999999998</v>
      </c>
      <c r="M184" s="18">
        <f>(D190/D189-1)</f>
        <v>6.7546200899251563E-2</v>
      </c>
      <c r="N184" s="73">
        <f>D191</f>
        <v>36263.457999999999</v>
      </c>
      <c r="O184" s="22">
        <f>(D191/D189-1)</f>
        <v>-0.54999869206798047</v>
      </c>
    </row>
    <row r="185" spans="1:15" ht="20" thickBot="1" x14ac:dyDescent="0.3">
      <c r="A185" s="3" t="s">
        <v>176</v>
      </c>
      <c r="B185" s="3" t="s">
        <v>9</v>
      </c>
      <c r="C185" s="3">
        <v>10</v>
      </c>
      <c r="D185" s="189">
        <v>696.32299999999998</v>
      </c>
      <c r="E185" s="3" t="s">
        <v>10</v>
      </c>
      <c r="F185" s="189">
        <v>16.106999999999999</v>
      </c>
      <c r="G185" s="3" t="s">
        <v>11</v>
      </c>
      <c r="J185" s="7">
        <v>100</v>
      </c>
      <c r="K185" s="120">
        <f>D192</f>
        <v>902253.84499999997</v>
      </c>
      <c r="L185" s="120">
        <f>D193</f>
        <v>1092275.3189999999</v>
      </c>
      <c r="M185" s="19">
        <f>(D193/D192-1)</f>
        <v>0.21060755246767604</v>
      </c>
      <c r="N185" s="74">
        <f>D194</f>
        <v>460285.57299999997</v>
      </c>
      <c r="O185" s="23">
        <f>(D194/D192-1)</f>
        <v>-0.48984914217794218</v>
      </c>
    </row>
    <row r="186" spans="1:15" x14ac:dyDescent="0.25">
      <c r="A186" s="3" t="s">
        <v>177</v>
      </c>
      <c r="B186" s="3" t="s">
        <v>9</v>
      </c>
      <c r="C186" s="3">
        <v>10</v>
      </c>
      <c r="D186" s="189">
        <v>5095.5410000000002</v>
      </c>
      <c r="E186" s="3" t="s">
        <v>10</v>
      </c>
      <c r="F186" s="189">
        <v>18.946000000000002</v>
      </c>
      <c r="G186" s="3" t="s">
        <v>11</v>
      </c>
    </row>
    <row r="187" spans="1:15" x14ac:dyDescent="0.25">
      <c r="A187" s="3" t="s">
        <v>178</v>
      </c>
      <c r="B187" s="3" t="s">
        <v>9</v>
      </c>
      <c r="C187" s="3">
        <v>10</v>
      </c>
      <c r="D187" s="189">
        <v>5192.9769999999999</v>
      </c>
      <c r="E187" s="3" t="s">
        <v>10</v>
      </c>
      <c r="F187" s="189">
        <v>41.701999999999998</v>
      </c>
      <c r="G187" s="3" t="s">
        <v>11</v>
      </c>
    </row>
    <row r="188" spans="1:15" x14ac:dyDescent="0.25">
      <c r="A188" s="3" t="s">
        <v>179</v>
      </c>
      <c r="B188" s="3" t="s">
        <v>9</v>
      </c>
      <c r="C188" s="3">
        <v>10</v>
      </c>
      <c r="D188" s="189">
        <v>3710.3110000000001</v>
      </c>
      <c r="E188" s="3" t="s">
        <v>10</v>
      </c>
      <c r="F188" s="189">
        <v>19.420000000000002</v>
      </c>
      <c r="G188" s="3" t="s">
        <v>11</v>
      </c>
    </row>
    <row r="189" spans="1:15" x14ac:dyDescent="0.25">
      <c r="A189" s="3" t="s">
        <v>180</v>
      </c>
      <c r="B189" s="3" t="s">
        <v>9</v>
      </c>
      <c r="C189" s="3">
        <v>10</v>
      </c>
      <c r="D189" s="189">
        <v>80585.228000000003</v>
      </c>
      <c r="E189" s="3" t="s">
        <v>10</v>
      </c>
      <c r="F189" s="189">
        <v>415.03100000000001</v>
      </c>
      <c r="G189" s="3" t="s">
        <v>11</v>
      </c>
    </row>
    <row r="190" spans="1:15" x14ac:dyDescent="0.25">
      <c r="A190" s="3" t="s">
        <v>181</v>
      </c>
      <c r="B190" s="3" t="s">
        <v>9</v>
      </c>
      <c r="C190" s="3">
        <v>10</v>
      </c>
      <c r="D190" s="189">
        <v>86028.453999999998</v>
      </c>
      <c r="E190" s="3" t="s">
        <v>10</v>
      </c>
      <c r="F190" s="189">
        <v>632.66300000000001</v>
      </c>
      <c r="G190" s="3" t="s">
        <v>11</v>
      </c>
    </row>
    <row r="191" spans="1:15" x14ac:dyDescent="0.25">
      <c r="A191" s="3" t="s">
        <v>182</v>
      </c>
      <c r="B191" s="3" t="s">
        <v>9</v>
      </c>
      <c r="C191" s="3">
        <v>10</v>
      </c>
      <c r="D191" s="189">
        <v>36263.457999999999</v>
      </c>
      <c r="E191" s="3" t="s">
        <v>10</v>
      </c>
      <c r="F191" s="189">
        <v>310.95100000000002</v>
      </c>
      <c r="G191" s="3" t="s">
        <v>11</v>
      </c>
    </row>
    <row r="192" spans="1:15" x14ac:dyDescent="0.25">
      <c r="A192" s="3" t="s">
        <v>183</v>
      </c>
      <c r="B192" s="3" t="s">
        <v>9</v>
      </c>
      <c r="C192" s="3">
        <v>10</v>
      </c>
      <c r="D192" s="189">
        <v>902253.84499999997</v>
      </c>
      <c r="E192" s="3" t="s">
        <v>10</v>
      </c>
      <c r="F192" s="189">
        <v>6463.2759999999998</v>
      </c>
      <c r="G192" s="3" t="s">
        <v>11</v>
      </c>
    </row>
    <row r="193" spans="1:15" x14ac:dyDescent="0.25">
      <c r="A193" s="3" t="s">
        <v>184</v>
      </c>
      <c r="B193" s="3" t="s">
        <v>9</v>
      </c>
      <c r="C193" s="3">
        <v>10</v>
      </c>
      <c r="D193" s="189">
        <v>1092275.3189999999</v>
      </c>
      <c r="E193" s="3" t="s">
        <v>10</v>
      </c>
      <c r="F193" s="189">
        <v>5297.9920000000002</v>
      </c>
      <c r="G193" s="3" t="s">
        <v>11</v>
      </c>
    </row>
    <row r="194" spans="1:15" x14ac:dyDescent="0.25">
      <c r="A194" s="3" t="s">
        <v>185</v>
      </c>
      <c r="B194" s="3" t="s">
        <v>9</v>
      </c>
      <c r="C194" s="3">
        <v>10</v>
      </c>
      <c r="D194" s="189">
        <v>460285.57299999997</v>
      </c>
      <c r="E194" s="3" t="s">
        <v>10</v>
      </c>
      <c r="F194" s="189">
        <v>5353.6419999999998</v>
      </c>
      <c r="G194" s="3" t="s">
        <v>11</v>
      </c>
    </row>
    <row r="196" spans="1:15" x14ac:dyDescent="0.25">
      <c r="A196" s="3" t="s">
        <v>0</v>
      </c>
      <c r="B196" s="3" t="s">
        <v>1</v>
      </c>
    </row>
    <row r="197" spans="1:15" ht="20" thickBot="1" x14ac:dyDescent="0.3">
      <c r="A197" s="3" t="s">
        <v>2</v>
      </c>
      <c r="B197" s="3" t="s">
        <v>3</v>
      </c>
      <c r="C197" s="3" t="s">
        <v>4</v>
      </c>
      <c r="D197" s="189" t="s">
        <v>5</v>
      </c>
      <c r="E197" s="3" t="s">
        <v>6</v>
      </c>
      <c r="F197" s="189" t="s">
        <v>7</v>
      </c>
    </row>
    <row r="198" spans="1:15" x14ac:dyDescent="0.25">
      <c r="A198" s="3" t="s">
        <v>186</v>
      </c>
      <c r="B198" s="3" t="s">
        <v>9</v>
      </c>
      <c r="C198" s="3">
        <v>10</v>
      </c>
      <c r="D198" s="189">
        <v>215.20599999999999</v>
      </c>
      <c r="E198" s="3" t="s">
        <v>10</v>
      </c>
      <c r="F198" s="189">
        <v>8.7319999999999993</v>
      </c>
      <c r="G198" s="3" t="s">
        <v>11</v>
      </c>
      <c r="J198" s="5" t="s">
        <v>269</v>
      </c>
      <c r="K198" s="72" t="s">
        <v>340</v>
      </c>
      <c r="L198" s="72" t="s">
        <v>341</v>
      </c>
      <c r="M198" s="17" t="s">
        <v>162</v>
      </c>
      <c r="N198" s="72" t="s">
        <v>342</v>
      </c>
      <c r="O198" s="21" t="s">
        <v>162</v>
      </c>
    </row>
    <row r="199" spans="1:15" x14ac:dyDescent="0.25">
      <c r="A199" s="3" t="s">
        <v>187</v>
      </c>
      <c r="B199" s="3" t="s">
        <v>9</v>
      </c>
      <c r="C199" s="3">
        <v>10</v>
      </c>
      <c r="D199" s="189">
        <v>205.011</v>
      </c>
      <c r="E199" s="3" t="s">
        <v>10</v>
      </c>
      <c r="F199" s="189">
        <v>6.0220000000000002</v>
      </c>
      <c r="G199" s="3" t="s">
        <v>11</v>
      </c>
      <c r="J199" s="6">
        <v>100000</v>
      </c>
      <c r="K199" s="119">
        <f>D198</f>
        <v>215.20599999999999</v>
      </c>
      <c r="L199" s="119">
        <f>D199</f>
        <v>205.011</v>
      </c>
      <c r="M199" s="18">
        <f>(D199/D198-1)</f>
        <v>-4.7373214501454375E-2</v>
      </c>
      <c r="N199" s="73">
        <f>D200</f>
        <v>161.42500000000001</v>
      </c>
      <c r="O199" s="22">
        <f>(D200/D198-1)</f>
        <v>-0.24990474243283167</v>
      </c>
    </row>
    <row r="200" spans="1:15" x14ac:dyDescent="0.25">
      <c r="A200" s="3" t="s">
        <v>188</v>
      </c>
      <c r="B200" s="3" t="s">
        <v>9</v>
      </c>
      <c r="C200" s="3">
        <v>10</v>
      </c>
      <c r="D200" s="189">
        <v>161.42500000000001</v>
      </c>
      <c r="E200" s="3" t="s">
        <v>10</v>
      </c>
      <c r="F200" s="189">
        <v>4.8209999999999997</v>
      </c>
      <c r="G200" s="3" t="s">
        <v>11</v>
      </c>
      <c r="J200" s="6">
        <v>50000</v>
      </c>
      <c r="K200" s="119">
        <f>D201</f>
        <v>462.78399999999999</v>
      </c>
      <c r="L200" s="119">
        <f>D202</f>
        <v>495.07299999999998</v>
      </c>
      <c r="M200" s="18">
        <f>(D202/D201-1)</f>
        <v>6.9771210759230984E-2</v>
      </c>
      <c r="N200" s="73">
        <f>D203</f>
        <v>419.404</v>
      </c>
      <c r="O200" s="22">
        <f>(D203/D201-1)</f>
        <v>-9.3737034988245038E-2</v>
      </c>
    </row>
    <row r="201" spans="1:15" x14ac:dyDescent="0.25">
      <c r="A201" s="3" t="s">
        <v>189</v>
      </c>
      <c r="B201" s="3" t="s">
        <v>9</v>
      </c>
      <c r="C201" s="3">
        <v>10</v>
      </c>
      <c r="D201" s="189">
        <v>462.78399999999999</v>
      </c>
      <c r="E201" s="3" t="s">
        <v>10</v>
      </c>
      <c r="F201" s="189">
        <v>3.718</v>
      </c>
      <c r="G201" s="3" t="s">
        <v>11</v>
      </c>
      <c r="J201" s="6">
        <v>10000</v>
      </c>
      <c r="K201" s="119">
        <f>D204</f>
        <v>2664.6480000000001</v>
      </c>
      <c r="L201" s="119">
        <f>D205</f>
        <v>2733.7820000000002</v>
      </c>
      <c r="M201" s="18">
        <f>(D205/D204-1)</f>
        <v>2.5944890281943467E-2</v>
      </c>
      <c r="N201" s="73">
        <f>D206</f>
        <v>2475.0509999999999</v>
      </c>
      <c r="O201" s="22">
        <f>(D206/D204-1)</f>
        <v>-7.1152737622380169E-2</v>
      </c>
    </row>
    <row r="202" spans="1:15" x14ac:dyDescent="0.25">
      <c r="A202" s="3" t="s">
        <v>190</v>
      </c>
      <c r="B202" s="3" t="s">
        <v>9</v>
      </c>
      <c r="C202" s="3">
        <v>10</v>
      </c>
      <c r="D202" s="189">
        <v>495.07299999999998</v>
      </c>
      <c r="E202" s="3" t="s">
        <v>10</v>
      </c>
      <c r="F202" s="189">
        <v>19.175000000000001</v>
      </c>
      <c r="G202" s="3" t="s">
        <v>11</v>
      </c>
      <c r="J202" s="6">
        <v>1000</v>
      </c>
      <c r="K202" s="119">
        <f>D207</f>
        <v>33873.599000000002</v>
      </c>
      <c r="L202" s="119">
        <f>D208</f>
        <v>35025.059000000001</v>
      </c>
      <c r="M202" s="18">
        <f>(D208/D207-1)</f>
        <v>3.3992844988216309E-2</v>
      </c>
      <c r="N202" s="73">
        <f>D209</f>
        <v>32144.441999999999</v>
      </c>
      <c r="O202" s="22">
        <f>(D209/D207-1)</f>
        <v>-5.1047336304595237E-2</v>
      </c>
    </row>
    <row r="203" spans="1:15" ht="20" thickBot="1" x14ac:dyDescent="0.3">
      <c r="A203" s="3" t="s">
        <v>191</v>
      </c>
      <c r="B203" s="3" t="s">
        <v>9</v>
      </c>
      <c r="C203" s="3">
        <v>10</v>
      </c>
      <c r="D203" s="189">
        <v>419.404</v>
      </c>
      <c r="E203" s="3" t="s">
        <v>10</v>
      </c>
      <c r="F203" s="189">
        <v>8.7319999999999993</v>
      </c>
      <c r="G203" s="3" t="s">
        <v>11</v>
      </c>
      <c r="J203" s="7">
        <v>100</v>
      </c>
      <c r="K203" s="120">
        <f>D210</f>
        <v>388729.946</v>
      </c>
      <c r="L203" s="120">
        <f>D211</f>
        <v>418314.86900000001</v>
      </c>
      <c r="M203" s="19">
        <f>(D211/D210-1)</f>
        <v>7.6106621844873379E-2</v>
      </c>
      <c r="N203" s="74">
        <f>D212</f>
        <v>322350.13799999998</v>
      </c>
      <c r="O203" s="23">
        <f>(D212/D210-1)</f>
        <v>-0.17076072652246865</v>
      </c>
    </row>
    <row r="204" spans="1:15" x14ac:dyDescent="0.25">
      <c r="A204" s="3" t="s">
        <v>192</v>
      </c>
      <c r="B204" s="3" t="s">
        <v>9</v>
      </c>
      <c r="C204" s="3">
        <v>10</v>
      </c>
      <c r="D204" s="189">
        <v>2664.6480000000001</v>
      </c>
      <c r="E204" s="3" t="s">
        <v>10</v>
      </c>
      <c r="F204" s="189">
        <v>74.965999999999994</v>
      </c>
      <c r="G204" s="3" t="s">
        <v>11</v>
      </c>
    </row>
    <row r="205" spans="1:15" x14ac:dyDescent="0.25">
      <c r="A205" s="3" t="s">
        <v>193</v>
      </c>
      <c r="B205" s="3" t="s">
        <v>9</v>
      </c>
      <c r="C205" s="3">
        <v>10</v>
      </c>
      <c r="D205" s="189">
        <v>2733.7820000000002</v>
      </c>
      <c r="E205" s="3" t="s">
        <v>10</v>
      </c>
      <c r="F205" s="189">
        <v>15.295</v>
      </c>
      <c r="G205" s="3" t="s">
        <v>11</v>
      </c>
    </row>
    <row r="206" spans="1:15" x14ac:dyDescent="0.25">
      <c r="A206" s="3" t="s">
        <v>194</v>
      </c>
      <c r="B206" s="3" t="s">
        <v>9</v>
      </c>
      <c r="C206" s="3">
        <v>10</v>
      </c>
      <c r="D206" s="189">
        <v>2475.0509999999999</v>
      </c>
      <c r="E206" s="3" t="s">
        <v>10</v>
      </c>
      <c r="F206" s="189">
        <v>25.109000000000002</v>
      </c>
      <c r="G206" s="3" t="s">
        <v>11</v>
      </c>
    </row>
    <row r="207" spans="1:15" x14ac:dyDescent="0.25">
      <c r="A207" s="3" t="s">
        <v>195</v>
      </c>
      <c r="B207" s="3" t="s">
        <v>9</v>
      </c>
      <c r="C207" s="3">
        <v>10</v>
      </c>
      <c r="D207" s="189">
        <v>33873.599000000002</v>
      </c>
      <c r="E207" s="3" t="s">
        <v>10</v>
      </c>
      <c r="F207" s="189">
        <v>375.92</v>
      </c>
      <c r="G207" s="3" t="s">
        <v>11</v>
      </c>
    </row>
    <row r="208" spans="1:15" x14ac:dyDescent="0.25">
      <c r="A208" s="3" t="s">
        <v>196</v>
      </c>
      <c r="B208" s="3" t="s">
        <v>9</v>
      </c>
      <c r="C208" s="3">
        <v>10</v>
      </c>
      <c r="D208" s="189">
        <v>35025.059000000001</v>
      </c>
      <c r="E208" s="3" t="s">
        <v>10</v>
      </c>
      <c r="F208" s="189">
        <v>286.47699999999998</v>
      </c>
      <c r="G208" s="3" t="s">
        <v>11</v>
      </c>
    </row>
    <row r="209" spans="1:15" x14ac:dyDescent="0.25">
      <c r="A209" s="3" t="s">
        <v>197</v>
      </c>
      <c r="B209" s="3" t="s">
        <v>9</v>
      </c>
      <c r="C209" s="3">
        <v>10</v>
      </c>
      <c r="D209" s="189">
        <v>32144.441999999999</v>
      </c>
      <c r="E209" s="3" t="s">
        <v>10</v>
      </c>
      <c r="F209" s="189">
        <v>194.80099999999999</v>
      </c>
      <c r="G209" s="3" t="s">
        <v>11</v>
      </c>
    </row>
    <row r="210" spans="1:15" x14ac:dyDescent="0.25">
      <c r="A210" s="3" t="s">
        <v>198</v>
      </c>
      <c r="B210" s="3" t="s">
        <v>9</v>
      </c>
      <c r="C210" s="3">
        <v>10</v>
      </c>
      <c r="D210" s="189">
        <v>388729.946</v>
      </c>
      <c r="E210" s="3" t="s">
        <v>10</v>
      </c>
      <c r="F210" s="189">
        <v>1952.011</v>
      </c>
      <c r="G210" s="3" t="s">
        <v>11</v>
      </c>
    </row>
    <row r="211" spans="1:15" x14ac:dyDescent="0.25">
      <c r="A211" s="3" t="s">
        <v>199</v>
      </c>
      <c r="B211" s="3" t="s">
        <v>9</v>
      </c>
      <c r="C211" s="3">
        <v>10</v>
      </c>
      <c r="D211" s="189">
        <v>418314.86900000001</v>
      </c>
      <c r="E211" s="3" t="s">
        <v>10</v>
      </c>
      <c r="F211" s="189">
        <v>2559.9279999999999</v>
      </c>
      <c r="G211" s="3" t="s">
        <v>11</v>
      </c>
    </row>
    <row r="212" spans="1:15" x14ac:dyDescent="0.25">
      <c r="A212" s="3" t="s">
        <v>200</v>
      </c>
      <c r="B212" s="3" t="s">
        <v>9</v>
      </c>
      <c r="C212" s="3">
        <v>10</v>
      </c>
      <c r="D212" s="189">
        <v>322350.13799999998</v>
      </c>
      <c r="E212" s="3" t="s">
        <v>10</v>
      </c>
      <c r="F212" s="189">
        <v>2189.2469999999998</v>
      </c>
      <c r="G212" s="3" t="s">
        <v>11</v>
      </c>
    </row>
    <row r="214" spans="1:15" x14ac:dyDescent="0.25">
      <c r="A214" s="3" t="s">
        <v>0</v>
      </c>
      <c r="B214" s="3" t="s">
        <v>1</v>
      </c>
    </row>
    <row r="215" spans="1:15" ht="20" thickBot="1" x14ac:dyDescent="0.3">
      <c r="A215" s="3" t="s">
        <v>2</v>
      </c>
      <c r="B215" s="3" t="s">
        <v>3</v>
      </c>
      <c r="C215" s="3" t="s">
        <v>4</v>
      </c>
      <c r="D215" s="189" t="s">
        <v>5</v>
      </c>
      <c r="E215" s="3" t="s">
        <v>6</v>
      </c>
      <c r="F215" s="189" t="s">
        <v>7</v>
      </c>
    </row>
    <row r="216" spans="1:15" x14ac:dyDescent="0.25">
      <c r="A216" s="3" t="s">
        <v>201</v>
      </c>
      <c r="B216" s="3" t="s">
        <v>9</v>
      </c>
      <c r="C216" s="3">
        <v>10</v>
      </c>
      <c r="D216" s="189">
        <v>51.012999999999998</v>
      </c>
      <c r="E216" s="3" t="s">
        <v>10</v>
      </c>
      <c r="F216" s="189">
        <v>1.649</v>
      </c>
      <c r="G216" s="3" t="s">
        <v>11</v>
      </c>
      <c r="J216" s="5" t="s">
        <v>268</v>
      </c>
      <c r="K216" s="72" t="s">
        <v>340</v>
      </c>
      <c r="L216" s="72" t="s">
        <v>341</v>
      </c>
      <c r="M216" s="17" t="s">
        <v>162</v>
      </c>
      <c r="N216" s="72" t="s">
        <v>342</v>
      </c>
      <c r="O216" s="21" t="s">
        <v>162</v>
      </c>
    </row>
    <row r="217" spans="1:15" x14ac:dyDescent="0.25">
      <c r="A217" s="3" t="s">
        <v>202</v>
      </c>
      <c r="B217" s="3" t="s">
        <v>9</v>
      </c>
      <c r="C217" s="3">
        <v>10</v>
      </c>
      <c r="D217" s="189">
        <v>50.957999999999998</v>
      </c>
      <c r="E217" s="3" t="s">
        <v>10</v>
      </c>
      <c r="F217" s="189">
        <v>0.39900000000000002</v>
      </c>
      <c r="G217" s="3" t="s">
        <v>11</v>
      </c>
      <c r="J217" s="6">
        <v>100000</v>
      </c>
      <c r="K217" s="119">
        <f>D216</f>
        <v>51.012999999999998</v>
      </c>
      <c r="L217" s="119">
        <f>D217</f>
        <v>50.957999999999998</v>
      </c>
      <c r="M217" s="18">
        <f>(D217/D216-1)</f>
        <v>-1.0781565483307665E-3</v>
      </c>
      <c r="N217" s="73">
        <f>D218</f>
        <v>71.698999999999998</v>
      </c>
      <c r="O217" s="22">
        <f>(D218/D216-1)</f>
        <v>0.40550447925038724</v>
      </c>
    </row>
    <row r="218" spans="1:15" x14ac:dyDescent="0.25">
      <c r="A218" s="3" t="s">
        <v>203</v>
      </c>
      <c r="B218" s="3" t="s">
        <v>9</v>
      </c>
      <c r="C218" s="3">
        <v>10</v>
      </c>
      <c r="D218" s="189">
        <v>71.698999999999998</v>
      </c>
      <c r="E218" s="3" t="s">
        <v>10</v>
      </c>
      <c r="F218" s="189">
        <v>0.441</v>
      </c>
      <c r="G218" s="3" t="s">
        <v>11</v>
      </c>
      <c r="J218" s="6">
        <v>50000</v>
      </c>
      <c r="K218" s="119">
        <f>D219</f>
        <v>113.1</v>
      </c>
      <c r="L218" s="119">
        <f>D220</f>
        <v>112.919</v>
      </c>
      <c r="M218" s="18">
        <f>(D220/D219-1)</f>
        <v>-1.60035366931921E-3</v>
      </c>
      <c r="N218" s="73">
        <f>D221</f>
        <v>160.91</v>
      </c>
      <c r="O218" s="22">
        <f>(D221/D219-1)</f>
        <v>0.42272325375773656</v>
      </c>
    </row>
    <row r="219" spans="1:15" x14ac:dyDescent="0.25">
      <c r="A219" s="3" t="s">
        <v>204</v>
      </c>
      <c r="B219" s="3" t="s">
        <v>9</v>
      </c>
      <c r="C219" s="3">
        <v>10</v>
      </c>
      <c r="D219" s="189">
        <v>113.1</v>
      </c>
      <c r="E219" s="3" t="s">
        <v>10</v>
      </c>
      <c r="F219" s="189">
        <v>0.78800000000000003</v>
      </c>
      <c r="G219" s="3" t="s">
        <v>11</v>
      </c>
      <c r="J219" s="6">
        <v>10000</v>
      </c>
      <c r="K219" s="119">
        <f>D222</f>
        <v>705.43200000000002</v>
      </c>
      <c r="L219" s="119">
        <f>D223</f>
        <v>707.60900000000004</v>
      </c>
      <c r="M219" s="18">
        <f>(D223/D222-1)</f>
        <v>3.0860522346589647E-3</v>
      </c>
      <c r="N219" s="73">
        <f>D224</f>
        <v>1066.9870000000001</v>
      </c>
      <c r="O219" s="22">
        <f>(D224/D222-1)</f>
        <v>0.51252991074972498</v>
      </c>
    </row>
    <row r="220" spans="1:15" x14ac:dyDescent="0.25">
      <c r="A220" s="3" t="s">
        <v>205</v>
      </c>
      <c r="B220" s="3" t="s">
        <v>9</v>
      </c>
      <c r="C220" s="3">
        <v>10</v>
      </c>
      <c r="D220" s="189">
        <v>112.919</v>
      </c>
      <c r="E220" s="3" t="s">
        <v>10</v>
      </c>
      <c r="F220" s="189">
        <v>0.71499999999999997</v>
      </c>
      <c r="G220" s="3" t="s">
        <v>11</v>
      </c>
      <c r="J220" s="6">
        <v>1000</v>
      </c>
      <c r="K220" s="119">
        <f>D225</f>
        <v>15098.963</v>
      </c>
      <c r="L220" s="119">
        <f>D226</f>
        <v>14548.441999999999</v>
      </c>
      <c r="M220" s="18">
        <f>(D226/D225-1)</f>
        <v>-3.6460848337730223E-2</v>
      </c>
      <c r="N220" s="73">
        <f>D227</f>
        <v>26099.165000000001</v>
      </c>
      <c r="O220" s="22">
        <f>(D227/D225-1)</f>
        <v>0.72854023153775538</v>
      </c>
    </row>
    <row r="221" spans="1:15" ht="20" thickBot="1" x14ac:dyDescent="0.3">
      <c r="A221" s="3" t="s">
        <v>206</v>
      </c>
      <c r="B221" s="3" t="s">
        <v>9</v>
      </c>
      <c r="C221" s="3">
        <v>10</v>
      </c>
      <c r="D221" s="189">
        <v>160.91</v>
      </c>
      <c r="E221" s="3" t="s">
        <v>10</v>
      </c>
      <c r="F221" s="189">
        <v>0.47499999999999998</v>
      </c>
      <c r="G221" s="3" t="s">
        <v>11</v>
      </c>
      <c r="J221" s="7">
        <v>100</v>
      </c>
      <c r="K221" s="120">
        <f>D228</f>
        <v>315748.74300000002</v>
      </c>
      <c r="L221" s="120">
        <f>D229</f>
        <v>281099.37400000001</v>
      </c>
      <c r="M221" s="19">
        <f>(D229/D228-1)</f>
        <v>-0.1097371557865553</v>
      </c>
      <c r="N221" s="74">
        <f>D230</f>
        <v>409254.98</v>
      </c>
      <c r="O221" s="23">
        <f>(D230/D228-1)</f>
        <v>0.29614128028373488</v>
      </c>
    </row>
    <row r="222" spans="1:15" x14ac:dyDescent="0.25">
      <c r="A222" s="3" t="s">
        <v>207</v>
      </c>
      <c r="B222" s="3" t="s">
        <v>9</v>
      </c>
      <c r="C222" s="3">
        <v>10</v>
      </c>
      <c r="D222" s="189">
        <v>705.43200000000002</v>
      </c>
      <c r="E222" s="3" t="s">
        <v>10</v>
      </c>
      <c r="F222" s="189">
        <v>5.95</v>
      </c>
      <c r="G222" s="3" t="s">
        <v>11</v>
      </c>
    </row>
    <row r="223" spans="1:15" x14ac:dyDescent="0.25">
      <c r="A223" s="3" t="s">
        <v>208</v>
      </c>
      <c r="B223" s="3" t="s">
        <v>9</v>
      </c>
      <c r="C223" s="3">
        <v>10</v>
      </c>
      <c r="D223" s="189">
        <v>707.60900000000004</v>
      </c>
      <c r="E223" s="3" t="s">
        <v>10</v>
      </c>
      <c r="F223" s="189">
        <v>24.347000000000001</v>
      </c>
      <c r="G223" s="3" t="s">
        <v>11</v>
      </c>
    </row>
    <row r="224" spans="1:15" x14ac:dyDescent="0.25">
      <c r="A224" s="3" t="s">
        <v>209</v>
      </c>
      <c r="B224" s="3" t="s">
        <v>9</v>
      </c>
      <c r="C224" s="3">
        <v>10</v>
      </c>
      <c r="D224" s="189">
        <v>1066.9870000000001</v>
      </c>
      <c r="E224" s="3" t="s">
        <v>10</v>
      </c>
      <c r="F224" s="189">
        <v>5.5359999999999996</v>
      </c>
      <c r="G224" s="3" t="s">
        <v>11</v>
      </c>
    </row>
    <row r="225" spans="1:15" x14ac:dyDescent="0.25">
      <c r="A225" s="3" t="s">
        <v>210</v>
      </c>
      <c r="B225" s="3" t="s">
        <v>9</v>
      </c>
      <c r="C225" s="3">
        <v>10</v>
      </c>
      <c r="D225" s="189">
        <v>15098.963</v>
      </c>
      <c r="E225" s="3" t="s">
        <v>10</v>
      </c>
      <c r="F225" s="189">
        <v>168.64</v>
      </c>
      <c r="G225" s="3" t="s">
        <v>11</v>
      </c>
    </row>
    <row r="226" spans="1:15" x14ac:dyDescent="0.25">
      <c r="A226" s="3" t="s">
        <v>211</v>
      </c>
      <c r="B226" s="3" t="s">
        <v>9</v>
      </c>
      <c r="C226" s="3">
        <v>10</v>
      </c>
      <c r="D226" s="189">
        <v>14548.441999999999</v>
      </c>
      <c r="E226" s="3" t="s">
        <v>10</v>
      </c>
      <c r="F226" s="189">
        <v>71.284000000000006</v>
      </c>
      <c r="G226" s="3" t="s">
        <v>11</v>
      </c>
    </row>
    <row r="227" spans="1:15" x14ac:dyDescent="0.25">
      <c r="A227" s="3" t="s">
        <v>212</v>
      </c>
      <c r="B227" s="3" t="s">
        <v>9</v>
      </c>
      <c r="C227" s="3">
        <v>10</v>
      </c>
      <c r="D227" s="189">
        <v>26099.165000000001</v>
      </c>
      <c r="E227" s="3" t="s">
        <v>10</v>
      </c>
      <c r="F227" s="189">
        <v>432.58199999999999</v>
      </c>
      <c r="G227" s="3" t="s">
        <v>11</v>
      </c>
    </row>
    <row r="228" spans="1:15" x14ac:dyDescent="0.25">
      <c r="A228" s="3" t="s">
        <v>213</v>
      </c>
      <c r="B228" s="3" t="s">
        <v>9</v>
      </c>
      <c r="C228" s="3">
        <v>10</v>
      </c>
      <c r="D228" s="189">
        <v>315748.74300000002</v>
      </c>
      <c r="E228" s="3" t="s">
        <v>10</v>
      </c>
      <c r="F228" s="189">
        <v>6033.7030000000004</v>
      </c>
      <c r="G228" s="3" t="s">
        <v>11</v>
      </c>
    </row>
    <row r="229" spans="1:15" x14ac:dyDescent="0.25">
      <c r="A229" s="3" t="s">
        <v>214</v>
      </c>
      <c r="B229" s="3" t="s">
        <v>9</v>
      </c>
      <c r="C229" s="3">
        <v>10</v>
      </c>
      <c r="D229" s="189">
        <v>281099.37400000001</v>
      </c>
      <c r="E229" s="3" t="s">
        <v>10</v>
      </c>
      <c r="F229" s="189">
        <v>14916.522000000001</v>
      </c>
      <c r="G229" s="3" t="s">
        <v>11</v>
      </c>
    </row>
    <row r="230" spans="1:15" x14ac:dyDescent="0.25">
      <c r="A230" s="3" t="s">
        <v>215</v>
      </c>
      <c r="B230" s="3" t="s">
        <v>9</v>
      </c>
      <c r="C230" s="3">
        <v>10</v>
      </c>
      <c r="D230" s="189">
        <v>409254.98</v>
      </c>
      <c r="E230" s="3" t="s">
        <v>10</v>
      </c>
      <c r="F230" s="189">
        <v>2441.8670000000002</v>
      </c>
      <c r="G230" s="3" t="s">
        <v>11</v>
      </c>
    </row>
    <row r="232" spans="1:15" x14ac:dyDescent="0.25">
      <c r="A232" s="3" t="s">
        <v>0</v>
      </c>
      <c r="B232" s="3" t="s">
        <v>1</v>
      </c>
    </row>
    <row r="233" spans="1:15" ht="20" thickBot="1" x14ac:dyDescent="0.3">
      <c r="A233" s="3" t="s">
        <v>2</v>
      </c>
      <c r="B233" s="3" t="s">
        <v>3</v>
      </c>
      <c r="C233" s="3" t="s">
        <v>4</v>
      </c>
      <c r="D233" s="189" t="s">
        <v>5</v>
      </c>
      <c r="E233" s="3" t="s">
        <v>6</v>
      </c>
      <c r="F233" s="189" t="s">
        <v>7</v>
      </c>
    </row>
    <row r="234" spans="1:15" x14ac:dyDescent="0.25">
      <c r="A234" s="3" t="s">
        <v>216</v>
      </c>
      <c r="B234" s="3" t="s">
        <v>9</v>
      </c>
      <c r="C234" s="3">
        <v>10</v>
      </c>
      <c r="D234" s="189">
        <v>505.14100000000002</v>
      </c>
      <c r="E234" s="3" t="s">
        <v>10</v>
      </c>
      <c r="F234" s="189">
        <v>4.0190000000000001</v>
      </c>
      <c r="G234" s="3" t="s">
        <v>11</v>
      </c>
      <c r="J234" s="5" t="s">
        <v>267</v>
      </c>
      <c r="K234" s="72" t="s">
        <v>340</v>
      </c>
      <c r="L234" s="72" t="s">
        <v>341</v>
      </c>
      <c r="M234" s="17" t="s">
        <v>162</v>
      </c>
      <c r="N234" s="72" t="s">
        <v>342</v>
      </c>
      <c r="O234" s="21" t="s">
        <v>162</v>
      </c>
    </row>
    <row r="235" spans="1:15" x14ac:dyDescent="0.25">
      <c r="A235" s="3" t="s">
        <v>217</v>
      </c>
      <c r="B235" s="3" t="s">
        <v>9</v>
      </c>
      <c r="C235" s="3">
        <v>10</v>
      </c>
      <c r="D235" s="189">
        <v>469.589</v>
      </c>
      <c r="E235" s="3" t="s">
        <v>10</v>
      </c>
      <c r="F235" s="189">
        <v>4.7830000000000004</v>
      </c>
      <c r="G235" s="3" t="s">
        <v>11</v>
      </c>
      <c r="J235" s="6">
        <v>100000</v>
      </c>
      <c r="K235" s="119">
        <f>D234</f>
        <v>505.14100000000002</v>
      </c>
      <c r="L235" s="119">
        <f>D235</f>
        <v>469.589</v>
      </c>
      <c r="M235" s="18">
        <f>(D235/D234-1)</f>
        <v>-7.038034924902159E-2</v>
      </c>
      <c r="N235" s="73">
        <f>D236</f>
        <v>552.72199999999998</v>
      </c>
      <c r="O235" s="22">
        <f>(D236/D234-1)</f>
        <v>9.4193502408238317E-2</v>
      </c>
    </row>
    <row r="236" spans="1:15" x14ac:dyDescent="0.25">
      <c r="A236" s="3" t="s">
        <v>218</v>
      </c>
      <c r="B236" s="3" t="s">
        <v>9</v>
      </c>
      <c r="C236" s="3">
        <v>10</v>
      </c>
      <c r="D236" s="189">
        <v>552.72199999999998</v>
      </c>
      <c r="E236" s="3" t="s">
        <v>10</v>
      </c>
      <c r="F236" s="189">
        <v>2.089</v>
      </c>
      <c r="G236" s="3" t="s">
        <v>11</v>
      </c>
      <c r="J236" s="6">
        <v>50000</v>
      </c>
      <c r="K236" s="119">
        <f>D237</f>
        <v>1083.402</v>
      </c>
      <c r="L236" s="119">
        <f>D238</f>
        <v>987.50599999999997</v>
      </c>
      <c r="M236" s="18">
        <f>(D238/D237-1)</f>
        <v>-8.8513774203850537E-2</v>
      </c>
      <c r="N236" s="73">
        <f>D239</f>
        <v>1220.9780000000001</v>
      </c>
      <c r="O236" s="22">
        <f>(D239/D237-1)</f>
        <v>0.12698518186231889</v>
      </c>
    </row>
    <row r="237" spans="1:15" x14ac:dyDescent="0.25">
      <c r="A237" s="3" t="s">
        <v>219</v>
      </c>
      <c r="B237" s="3" t="s">
        <v>9</v>
      </c>
      <c r="C237" s="3">
        <v>10</v>
      </c>
      <c r="D237" s="189">
        <v>1083.402</v>
      </c>
      <c r="E237" s="3" t="s">
        <v>10</v>
      </c>
      <c r="F237" s="189">
        <v>11.503</v>
      </c>
      <c r="G237" s="3" t="s">
        <v>11</v>
      </c>
      <c r="J237" s="6">
        <v>10000</v>
      </c>
      <c r="K237" s="119">
        <f>D240</f>
        <v>5410.7950000000001</v>
      </c>
      <c r="L237" s="119">
        <f>D241</f>
        <v>6451.6059999999998</v>
      </c>
      <c r="M237" s="18">
        <f>(D241/D240-1)</f>
        <v>0.19235823940844177</v>
      </c>
      <c r="N237" s="73">
        <f>D242</f>
        <v>7140.0129999999999</v>
      </c>
      <c r="O237" s="22">
        <f>(D242/D240-1)</f>
        <v>0.31958667811292063</v>
      </c>
    </row>
    <row r="238" spans="1:15" x14ac:dyDescent="0.25">
      <c r="A238" s="3" t="s">
        <v>220</v>
      </c>
      <c r="B238" s="3" t="s">
        <v>9</v>
      </c>
      <c r="C238" s="3">
        <v>10</v>
      </c>
      <c r="D238" s="189">
        <v>987.50599999999997</v>
      </c>
      <c r="E238" s="3" t="s">
        <v>10</v>
      </c>
      <c r="F238" s="189">
        <v>1.714</v>
      </c>
      <c r="G238" s="3" t="s">
        <v>11</v>
      </c>
      <c r="J238" s="6">
        <v>1000</v>
      </c>
      <c r="K238" s="119">
        <f>D243</f>
        <v>91080.282000000007</v>
      </c>
      <c r="L238" s="119">
        <f>D244</f>
        <v>118954.633</v>
      </c>
      <c r="M238" s="18">
        <f>(D244/D243-1)</f>
        <v>0.30604155353844864</v>
      </c>
      <c r="N238" s="73">
        <f>D245</f>
        <v>172871.978</v>
      </c>
      <c r="O238" s="22">
        <f>(D245/D243-1)</f>
        <v>0.89801759726655206</v>
      </c>
    </row>
    <row r="239" spans="1:15" ht="20" thickBot="1" x14ac:dyDescent="0.3">
      <c r="A239" s="3" t="s">
        <v>221</v>
      </c>
      <c r="B239" s="3" t="s">
        <v>9</v>
      </c>
      <c r="C239" s="3">
        <v>10</v>
      </c>
      <c r="D239" s="189">
        <v>1220.9780000000001</v>
      </c>
      <c r="E239" s="3" t="s">
        <v>10</v>
      </c>
      <c r="F239" s="189">
        <v>47.045999999999999</v>
      </c>
      <c r="G239" s="3" t="s">
        <v>11</v>
      </c>
      <c r="J239" s="7">
        <v>100</v>
      </c>
      <c r="K239" s="120">
        <f>D246</f>
        <v>828353.48400000005</v>
      </c>
      <c r="L239" s="120">
        <f>D247</f>
        <v>1355994.054</v>
      </c>
      <c r="M239" s="19">
        <f>(D247/D246-1)</f>
        <v>0.63697513222507296</v>
      </c>
      <c r="N239" s="74">
        <f>D248</f>
        <v>1104817.1969999999</v>
      </c>
      <c r="O239" s="23">
        <f>(D248/D246-1)</f>
        <v>0.33375089057994445</v>
      </c>
    </row>
    <row r="240" spans="1:15" x14ac:dyDescent="0.25">
      <c r="A240" s="3" t="s">
        <v>222</v>
      </c>
      <c r="B240" s="3" t="s">
        <v>9</v>
      </c>
      <c r="C240" s="3">
        <v>10</v>
      </c>
      <c r="D240" s="189">
        <v>5410.7950000000001</v>
      </c>
      <c r="E240" s="3" t="s">
        <v>10</v>
      </c>
      <c r="F240" s="189">
        <v>320.06200000000001</v>
      </c>
      <c r="G240" s="3" t="s">
        <v>11</v>
      </c>
    </row>
    <row r="241" spans="1:15" x14ac:dyDescent="0.25">
      <c r="A241" s="3" t="s">
        <v>223</v>
      </c>
      <c r="B241" s="3" t="s">
        <v>9</v>
      </c>
      <c r="C241" s="3">
        <v>10</v>
      </c>
      <c r="D241" s="189">
        <v>6451.6059999999998</v>
      </c>
      <c r="E241" s="3" t="s">
        <v>10</v>
      </c>
      <c r="F241" s="189">
        <v>32.381</v>
      </c>
      <c r="G241" s="3" t="s">
        <v>11</v>
      </c>
    </row>
    <row r="242" spans="1:15" x14ac:dyDescent="0.25">
      <c r="A242" s="3" t="s">
        <v>224</v>
      </c>
      <c r="B242" s="3" t="s">
        <v>9</v>
      </c>
      <c r="C242" s="3">
        <v>10</v>
      </c>
      <c r="D242" s="189">
        <v>7140.0129999999999</v>
      </c>
      <c r="E242" s="3" t="s">
        <v>10</v>
      </c>
      <c r="F242" s="189">
        <v>412.87400000000002</v>
      </c>
      <c r="G242" s="3" t="s">
        <v>11</v>
      </c>
    </row>
    <row r="243" spans="1:15" x14ac:dyDescent="0.25">
      <c r="A243" s="3" t="s">
        <v>225</v>
      </c>
      <c r="B243" s="3" t="s">
        <v>9</v>
      </c>
      <c r="C243" s="3">
        <v>10</v>
      </c>
      <c r="D243" s="189">
        <v>91080.282000000007</v>
      </c>
      <c r="E243" s="3" t="s">
        <v>10</v>
      </c>
      <c r="F243" s="189">
        <v>1175.3689999999999</v>
      </c>
      <c r="G243" s="3" t="s">
        <v>11</v>
      </c>
    </row>
    <row r="244" spans="1:15" x14ac:dyDescent="0.25">
      <c r="A244" s="3" t="s">
        <v>226</v>
      </c>
      <c r="B244" s="3" t="s">
        <v>9</v>
      </c>
      <c r="C244" s="3">
        <v>10</v>
      </c>
      <c r="D244" s="189">
        <v>118954.633</v>
      </c>
      <c r="E244" s="3" t="s">
        <v>10</v>
      </c>
      <c r="F244" s="189">
        <v>411.02699999999999</v>
      </c>
      <c r="G244" s="3" t="s">
        <v>11</v>
      </c>
    </row>
    <row r="245" spans="1:15" x14ac:dyDescent="0.25">
      <c r="A245" s="3" t="s">
        <v>227</v>
      </c>
      <c r="B245" s="3" t="s">
        <v>9</v>
      </c>
      <c r="C245" s="3">
        <v>10</v>
      </c>
      <c r="D245" s="189">
        <v>172871.978</v>
      </c>
      <c r="E245" s="3" t="s">
        <v>10</v>
      </c>
      <c r="F245" s="189">
        <v>29296.885999999999</v>
      </c>
      <c r="G245" s="3" t="s">
        <v>11</v>
      </c>
    </row>
    <row r="246" spans="1:15" x14ac:dyDescent="0.25">
      <c r="A246" s="3" t="s">
        <v>228</v>
      </c>
      <c r="B246" s="3" t="s">
        <v>9</v>
      </c>
      <c r="C246" s="3">
        <v>10</v>
      </c>
      <c r="D246" s="189">
        <v>828353.48400000005</v>
      </c>
      <c r="E246" s="3" t="s">
        <v>10</v>
      </c>
      <c r="F246" s="189">
        <v>17317.268</v>
      </c>
      <c r="G246" s="3" t="s">
        <v>11</v>
      </c>
    </row>
    <row r="247" spans="1:15" x14ac:dyDescent="0.25">
      <c r="A247" s="3" t="s">
        <v>229</v>
      </c>
      <c r="B247" s="3" t="s">
        <v>9</v>
      </c>
      <c r="C247" s="3">
        <v>10</v>
      </c>
      <c r="D247" s="189">
        <v>1355994.054</v>
      </c>
      <c r="E247" s="3" t="s">
        <v>10</v>
      </c>
      <c r="F247" s="189">
        <v>4847.3019999999997</v>
      </c>
      <c r="G247" s="3" t="s">
        <v>11</v>
      </c>
    </row>
    <row r="248" spans="1:15" x14ac:dyDescent="0.25">
      <c r="A248" s="3" t="s">
        <v>230</v>
      </c>
      <c r="B248" s="3" t="s">
        <v>9</v>
      </c>
      <c r="C248" s="3">
        <v>10</v>
      </c>
      <c r="D248" s="189">
        <v>1104817.1969999999</v>
      </c>
      <c r="E248" s="3" t="s">
        <v>10</v>
      </c>
      <c r="F248" s="189">
        <v>5815.482</v>
      </c>
      <c r="G248" s="3" t="s">
        <v>11</v>
      </c>
    </row>
    <row r="250" spans="1:15" x14ac:dyDescent="0.25">
      <c r="A250" s="3" t="s">
        <v>0</v>
      </c>
      <c r="B250" s="3" t="s">
        <v>1</v>
      </c>
    </row>
    <row r="251" spans="1:15" ht="20" thickBot="1" x14ac:dyDescent="0.3">
      <c r="A251" s="3" t="s">
        <v>2</v>
      </c>
      <c r="B251" s="3" t="s">
        <v>3</v>
      </c>
      <c r="C251" s="3" t="s">
        <v>4</v>
      </c>
      <c r="D251" s="189" t="s">
        <v>5</v>
      </c>
      <c r="E251" s="3" t="s">
        <v>6</v>
      </c>
      <c r="F251" s="189" t="s">
        <v>7</v>
      </c>
    </row>
    <row r="252" spans="1:15" x14ac:dyDescent="0.25">
      <c r="A252" s="3" t="s">
        <v>231</v>
      </c>
      <c r="B252" s="3" t="s">
        <v>9</v>
      </c>
      <c r="C252" s="3">
        <v>10</v>
      </c>
      <c r="D252" s="189">
        <v>644.87400000000002</v>
      </c>
      <c r="E252" s="3" t="s">
        <v>10</v>
      </c>
      <c r="F252" s="189">
        <v>30.786000000000001</v>
      </c>
      <c r="G252" s="3" t="s">
        <v>11</v>
      </c>
      <c r="J252" s="5" t="s">
        <v>266</v>
      </c>
      <c r="K252" s="72" t="s">
        <v>340</v>
      </c>
      <c r="L252" s="72" t="s">
        <v>341</v>
      </c>
      <c r="M252" s="17" t="s">
        <v>162</v>
      </c>
      <c r="N252" s="72" t="s">
        <v>342</v>
      </c>
      <c r="O252" s="21" t="s">
        <v>162</v>
      </c>
    </row>
    <row r="253" spans="1:15" x14ac:dyDescent="0.25">
      <c r="A253" s="3" t="s">
        <v>232</v>
      </c>
      <c r="B253" s="3" t="s">
        <v>9</v>
      </c>
      <c r="C253" s="3">
        <v>10</v>
      </c>
      <c r="D253" s="189">
        <v>648.68600000000004</v>
      </c>
      <c r="E253" s="3" t="s">
        <v>10</v>
      </c>
      <c r="F253" s="189">
        <v>10.141</v>
      </c>
      <c r="G253" s="3" t="s">
        <v>11</v>
      </c>
      <c r="J253" s="6">
        <v>100000</v>
      </c>
      <c r="K253" s="119">
        <f>D252</f>
        <v>644.87400000000002</v>
      </c>
      <c r="L253" s="119">
        <f>D253</f>
        <v>648.68600000000004</v>
      </c>
      <c r="M253" s="18">
        <f>(D253/D252-1)</f>
        <v>5.9112322717305155E-3</v>
      </c>
      <c r="N253" s="73">
        <f>D254</f>
        <v>960.41399999999999</v>
      </c>
      <c r="O253" s="22">
        <f>(D254/D252-1)</f>
        <v>0.48930488746638878</v>
      </c>
    </row>
    <row r="254" spans="1:15" x14ac:dyDescent="0.25">
      <c r="A254" s="3" t="s">
        <v>233</v>
      </c>
      <c r="B254" s="3" t="s">
        <v>9</v>
      </c>
      <c r="C254" s="3">
        <v>10</v>
      </c>
      <c r="D254" s="189">
        <v>960.41399999999999</v>
      </c>
      <c r="E254" s="3" t="s">
        <v>10</v>
      </c>
      <c r="F254" s="189">
        <v>42.55</v>
      </c>
      <c r="G254" s="3" t="s">
        <v>11</v>
      </c>
      <c r="J254" s="6">
        <v>50000</v>
      </c>
      <c r="K254" s="119">
        <f>D255</f>
        <v>1674.5409999999999</v>
      </c>
      <c r="L254" s="119">
        <f>D256</f>
        <v>1688.5840000000001</v>
      </c>
      <c r="M254" s="18">
        <f>(D256/D255-1)</f>
        <v>8.3861786603016686E-3</v>
      </c>
      <c r="N254" s="73">
        <f>D257</f>
        <v>2206.3180000000002</v>
      </c>
      <c r="O254" s="22">
        <f>(D257/D255-1)</f>
        <v>0.31756582848673176</v>
      </c>
    </row>
    <row r="255" spans="1:15" x14ac:dyDescent="0.25">
      <c r="A255" s="3" t="s">
        <v>234</v>
      </c>
      <c r="B255" s="3" t="s">
        <v>9</v>
      </c>
      <c r="C255" s="3">
        <v>10</v>
      </c>
      <c r="D255" s="189">
        <v>1674.5409999999999</v>
      </c>
      <c r="E255" s="3" t="s">
        <v>10</v>
      </c>
      <c r="F255" s="189">
        <v>131.60300000000001</v>
      </c>
      <c r="G255" s="3" t="s">
        <v>11</v>
      </c>
      <c r="J255" s="6">
        <v>10000</v>
      </c>
      <c r="K255" s="119">
        <f>D258</f>
        <v>8497.4699999999993</v>
      </c>
      <c r="L255" s="119">
        <f>D259</f>
        <v>10861.777</v>
      </c>
      <c r="M255" s="18">
        <f>(D259/D258-1)</f>
        <v>0.278236581005876</v>
      </c>
      <c r="N255" s="73">
        <f>D260</f>
        <v>13975.681</v>
      </c>
      <c r="O255" s="22">
        <f>(D260/D258-1)</f>
        <v>0.64468730104372263</v>
      </c>
    </row>
    <row r="256" spans="1:15" x14ac:dyDescent="0.25">
      <c r="A256" s="3" t="s">
        <v>235</v>
      </c>
      <c r="B256" s="3" t="s">
        <v>9</v>
      </c>
      <c r="C256" s="3">
        <v>10</v>
      </c>
      <c r="D256" s="189">
        <v>1688.5840000000001</v>
      </c>
      <c r="E256" s="3" t="s">
        <v>10</v>
      </c>
      <c r="F256" s="189">
        <v>31.079000000000001</v>
      </c>
      <c r="G256" s="3" t="s">
        <v>11</v>
      </c>
      <c r="J256" s="6">
        <v>1000</v>
      </c>
      <c r="K256" s="119">
        <f>D261</f>
        <v>95386.663</v>
      </c>
      <c r="L256" s="119">
        <f>D262</f>
        <v>108574.86900000001</v>
      </c>
      <c r="M256" s="18">
        <f>(D262/D261-1)</f>
        <v>0.1382604819711537</v>
      </c>
      <c r="N256" s="73">
        <f>D263</f>
        <v>141101.44500000001</v>
      </c>
      <c r="O256" s="22">
        <f>(D263/D261-1)</f>
        <v>0.47925758761473825</v>
      </c>
    </row>
    <row r="257" spans="1:15" ht="20" thickBot="1" x14ac:dyDescent="0.3">
      <c r="A257" s="3" t="s">
        <v>236</v>
      </c>
      <c r="B257" s="3" t="s">
        <v>9</v>
      </c>
      <c r="C257" s="3">
        <v>10</v>
      </c>
      <c r="D257" s="189">
        <v>2206.3180000000002</v>
      </c>
      <c r="E257" s="3" t="s">
        <v>10</v>
      </c>
      <c r="F257" s="189">
        <v>112.229</v>
      </c>
      <c r="G257" s="3" t="s">
        <v>11</v>
      </c>
      <c r="J257" s="7">
        <v>100</v>
      </c>
      <c r="K257" s="120">
        <f>D264</f>
        <v>1045571.3370000001</v>
      </c>
      <c r="L257" s="120">
        <f>D265</f>
        <v>2103848.5550000002</v>
      </c>
      <c r="M257" s="19">
        <f>(D265/D264-1)</f>
        <v>1.0121520938365203</v>
      </c>
      <c r="N257" s="74">
        <f>D266</f>
        <v>1481435.5120000001</v>
      </c>
      <c r="O257" s="23">
        <f>(D266/D264-1)</f>
        <v>0.4168669889618446</v>
      </c>
    </row>
    <row r="258" spans="1:15" x14ac:dyDescent="0.25">
      <c r="A258" s="3" t="s">
        <v>237</v>
      </c>
      <c r="B258" s="3" t="s">
        <v>9</v>
      </c>
      <c r="C258" s="3">
        <v>10</v>
      </c>
      <c r="D258" s="189">
        <v>8497.4699999999993</v>
      </c>
      <c r="E258" s="3" t="s">
        <v>10</v>
      </c>
      <c r="F258" s="189">
        <v>469.42500000000001</v>
      </c>
      <c r="G258" s="3" t="s">
        <v>11</v>
      </c>
    </row>
    <row r="259" spans="1:15" x14ac:dyDescent="0.25">
      <c r="A259" s="3" t="s">
        <v>238</v>
      </c>
      <c r="B259" s="3" t="s">
        <v>9</v>
      </c>
      <c r="C259" s="3">
        <v>10</v>
      </c>
      <c r="D259" s="189">
        <v>10861.777</v>
      </c>
      <c r="E259" s="3" t="s">
        <v>10</v>
      </c>
      <c r="F259" s="189">
        <v>36.68</v>
      </c>
      <c r="G259" s="3" t="s">
        <v>11</v>
      </c>
    </row>
    <row r="260" spans="1:15" x14ac:dyDescent="0.25">
      <c r="A260" s="3" t="s">
        <v>239</v>
      </c>
      <c r="B260" s="3" t="s">
        <v>9</v>
      </c>
      <c r="C260" s="3">
        <v>10</v>
      </c>
      <c r="D260" s="189">
        <v>13975.681</v>
      </c>
      <c r="E260" s="3" t="s">
        <v>10</v>
      </c>
      <c r="F260" s="189">
        <v>1411.414</v>
      </c>
      <c r="G260" s="3" t="s">
        <v>11</v>
      </c>
    </row>
    <row r="261" spans="1:15" x14ac:dyDescent="0.25">
      <c r="A261" s="3" t="s">
        <v>240</v>
      </c>
      <c r="B261" s="3" t="s">
        <v>9</v>
      </c>
      <c r="C261" s="3">
        <v>10</v>
      </c>
      <c r="D261" s="189">
        <v>95386.663</v>
      </c>
      <c r="E261" s="3" t="s">
        <v>10</v>
      </c>
      <c r="F261" s="189">
        <v>561.80499999999995</v>
      </c>
      <c r="G261" s="3" t="s">
        <v>11</v>
      </c>
    </row>
    <row r="262" spans="1:15" x14ac:dyDescent="0.25">
      <c r="A262" s="3" t="s">
        <v>241</v>
      </c>
      <c r="B262" s="3" t="s">
        <v>9</v>
      </c>
      <c r="C262" s="3">
        <v>10</v>
      </c>
      <c r="D262" s="189">
        <v>108574.86900000001</v>
      </c>
      <c r="E262" s="3" t="s">
        <v>10</v>
      </c>
      <c r="F262" s="189">
        <v>236.512</v>
      </c>
      <c r="G262" s="3" t="s">
        <v>11</v>
      </c>
    </row>
    <row r="263" spans="1:15" x14ac:dyDescent="0.25">
      <c r="A263" s="3" t="s">
        <v>242</v>
      </c>
      <c r="B263" s="3" t="s">
        <v>9</v>
      </c>
      <c r="C263" s="3">
        <v>10</v>
      </c>
      <c r="D263" s="189">
        <v>141101.44500000001</v>
      </c>
      <c r="E263" s="3" t="s">
        <v>10</v>
      </c>
      <c r="F263" s="189">
        <v>1735.8320000000001</v>
      </c>
      <c r="G263" s="3" t="s">
        <v>11</v>
      </c>
    </row>
    <row r="264" spans="1:15" x14ac:dyDescent="0.25">
      <c r="A264" s="3" t="s">
        <v>243</v>
      </c>
      <c r="B264" s="3" t="s">
        <v>9</v>
      </c>
      <c r="C264" s="3">
        <v>10</v>
      </c>
      <c r="D264" s="189">
        <v>1045571.3370000001</v>
      </c>
      <c r="E264" s="3" t="s">
        <v>10</v>
      </c>
      <c r="F264" s="189">
        <v>6921.5519999999997</v>
      </c>
      <c r="G264" s="3" t="s">
        <v>11</v>
      </c>
    </row>
    <row r="265" spans="1:15" x14ac:dyDescent="0.25">
      <c r="A265" s="3" t="s">
        <v>244</v>
      </c>
      <c r="B265" s="3" t="s">
        <v>9</v>
      </c>
      <c r="C265" s="3">
        <v>10</v>
      </c>
      <c r="D265" s="189">
        <v>2103848.5550000002</v>
      </c>
      <c r="E265" s="3" t="s">
        <v>10</v>
      </c>
      <c r="F265" s="189">
        <v>44055.61</v>
      </c>
      <c r="G265" s="3" t="s">
        <v>11</v>
      </c>
    </row>
    <row r="266" spans="1:15" x14ac:dyDescent="0.25">
      <c r="A266" s="3" t="s">
        <v>245</v>
      </c>
      <c r="B266" s="3" t="s">
        <v>9</v>
      </c>
      <c r="C266" s="3">
        <v>10</v>
      </c>
      <c r="D266" s="189">
        <v>1481435.5120000001</v>
      </c>
      <c r="E266" s="3" t="s">
        <v>10</v>
      </c>
      <c r="F266" s="189">
        <v>21489.679</v>
      </c>
      <c r="G266" s="3" t="s">
        <v>11</v>
      </c>
    </row>
    <row r="268" spans="1:15" x14ac:dyDescent="0.25">
      <c r="A268" s="3" t="s">
        <v>0</v>
      </c>
      <c r="B268" s="3" t="s">
        <v>1</v>
      </c>
    </row>
    <row r="269" spans="1:15" x14ac:dyDescent="0.25">
      <c r="A269" s="3" t="s">
        <v>2</v>
      </c>
      <c r="B269" s="3" t="s">
        <v>3</v>
      </c>
      <c r="C269" s="3" t="s">
        <v>4</v>
      </c>
      <c r="D269" s="189" t="s">
        <v>5</v>
      </c>
      <c r="E269" s="3" t="s">
        <v>6</v>
      </c>
      <c r="F269" s="189" t="s">
        <v>7</v>
      </c>
    </row>
    <row r="270" spans="1:15" x14ac:dyDescent="0.25">
      <c r="A270" s="3" t="s">
        <v>271</v>
      </c>
      <c r="B270" s="3" t="s">
        <v>9</v>
      </c>
      <c r="C270" s="3">
        <v>10</v>
      </c>
      <c r="D270" s="189">
        <v>1139.5119999999999</v>
      </c>
      <c r="E270" s="3" t="s">
        <v>10</v>
      </c>
      <c r="F270" s="189">
        <v>26.574999999999999</v>
      </c>
      <c r="G270" s="3" t="s">
        <v>11</v>
      </c>
    </row>
    <row r="271" spans="1:15" x14ac:dyDescent="0.25">
      <c r="A271" s="3" t="s">
        <v>272</v>
      </c>
      <c r="B271" s="3" t="s">
        <v>9</v>
      </c>
      <c r="C271" s="3">
        <v>10</v>
      </c>
      <c r="D271" s="189">
        <v>1249.0129999999999</v>
      </c>
      <c r="E271" s="3" t="s">
        <v>10</v>
      </c>
      <c r="F271" s="189">
        <v>16.718</v>
      </c>
      <c r="G271" s="3" t="s">
        <v>11</v>
      </c>
    </row>
    <row r="272" spans="1:15" x14ac:dyDescent="0.25">
      <c r="A272" s="3" t="s">
        <v>273</v>
      </c>
      <c r="B272" s="3" t="s">
        <v>9</v>
      </c>
      <c r="C272" s="3">
        <v>10</v>
      </c>
      <c r="D272" s="189">
        <v>515.60699999999997</v>
      </c>
      <c r="E272" s="3" t="s">
        <v>10</v>
      </c>
      <c r="F272" s="189">
        <v>32.923000000000002</v>
      </c>
      <c r="G272" s="3" t="s">
        <v>11</v>
      </c>
    </row>
    <row r="273" spans="1:7" x14ac:dyDescent="0.25">
      <c r="A273" s="3" t="s">
        <v>274</v>
      </c>
      <c r="B273" s="3" t="s">
        <v>9</v>
      </c>
      <c r="C273" s="3">
        <v>10</v>
      </c>
      <c r="D273" s="189">
        <v>2360.076</v>
      </c>
      <c r="E273" s="3" t="s">
        <v>10</v>
      </c>
      <c r="F273" s="189">
        <v>66.766999999999996</v>
      </c>
      <c r="G273" s="3" t="s">
        <v>11</v>
      </c>
    </row>
    <row r="274" spans="1:7" x14ac:dyDescent="0.25">
      <c r="A274" s="3" t="s">
        <v>275</v>
      </c>
      <c r="B274" s="3" t="s">
        <v>9</v>
      </c>
      <c r="C274" s="3">
        <v>10</v>
      </c>
      <c r="D274" s="189">
        <v>2509.7849999999999</v>
      </c>
      <c r="E274" s="3" t="s">
        <v>10</v>
      </c>
      <c r="F274" s="189">
        <v>52.362000000000002</v>
      </c>
      <c r="G274" s="3" t="s">
        <v>11</v>
      </c>
    </row>
    <row r="275" spans="1:7" x14ac:dyDescent="0.25">
      <c r="A275" s="3" t="s">
        <v>276</v>
      </c>
      <c r="B275" s="3" t="s">
        <v>9</v>
      </c>
      <c r="C275" s="3">
        <v>10</v>
      </c>
      <c r="D275" s="189">
        <v>818.73400000000004</v>
      </c>
      <c r="E275" s="3" t="s">
        <v>10</v>
      </c>
      <c r="F275" s="189">
        <v>4.3129999999999997</v>
      </c>
      <c r="G275" s="3" t="s">
        <v>11</v>
      </c>
    </row>
    <row r="276" spans="1:7" x14ac:dyDescent="0.25">
      <c r="A276" s="3" t="s">
        <v>277</v>
      </c>
      <c r="B276" s="3" t="s">
        <v>9</v>
      </c>
      <c r="C276" s="3">
        <v>10</v>
      </c>
      <c r="D276" s="189">
        <v>10319.885</v>
      </c>
      <c r="E276" s="3" t="s">
        <v>10</v>
      </c>
      <c r="F276" s="189">
        <v>711.447</v>
      </c>
      <c r="G276" s="3" t="s">
        <v>11</v>
      </c>
    </row>
    <row r="277" spans="1:7" x14ac:dyDescent="0.25">
      <c r="A277" s="3" t="s">
        <v>278</v>
      </c>
      <c r="B277" s="3" t="s">
        <v>9</v>
      </c>
      <c r="C277" s="3">
        <v>10</v>
      </c>
      <c r="D277" s="189">
        <v>12335.662</v>
      </c>
      <c r="E277" s="3" t="s">
        <v>10</v>
      </c>
      <c r="F277" s="189">
        <v>149.40100000000001</v>
      </c>
      <c r="G277" s="3" t="s">
        <v>11</v>
      </c>
    </row>
    <row r="278" spans="1:7" x14ac:dyDescent="0.25">
      <c r="A278" s="3" t="s">
        <v>279</v>
      </c>
      <c r="B278" s="3" t="s">
        <v>9</v>
      </c>
      <c r="C278" s="3">
        <v>10</v>
      </c>
      <c r="D278" s="189">
        <v>4548.2619999999997</v>
      </c>
      <c r="E278" s="3" t="s">
        <v>10</v>
      </c>
      <c r="F278" s="189">
        <v>23.925000000000001</v>
      </c>
      <c r="G278" s="3" t="s">
        <v>11</v>
      </c>
    </row>
    <row r="279" spans="1:7" x14ac:dyDescent="0.25">
      <c r="A279" s="3" t="s">
        <v>280</v>
      </c>
      <c r="B279" s="3" t="s">
        <v>9</v>
      </c>
      <c r="C279" s="3">
        <v>10</v>
      </c>
      <c r="D279" s="189">
        <v>80485.468999999997</v>
      </c>
      <c r="E279" s="3" t="s">
        <v>10</v>
      </c>
      <c r="F279" s="189">
        <v>536.39499999999998</v>
      </c>
      <c r="G279" s="3" t="s">
        <v>11</v>
      </c>
    </row>
    <row r="280" spans="1:7" x14ac:dyDescent="0.25">
      <c r="A280" s="3" t="s">
        <v>281</v>
      </c>
      <c r="B280" s="3" t="s">
        <v>9</v>
      </c>
      <c r="C280" s="3">
        <v>10</v>
      </c>
      <c r="D280" s="189">
        <v>90859.608999999997</v>
      </c>
      <c r="E280" s="3" t="s">
        <v>10</v>
      </c>
      <c r="F280" s="189">
        <v>2107.7979999999998</v>
      </c>
      <c r="G280" s="3" t="s">
        <v>11</v>
      </c>
    </row>
    <row r="281" spans="1:7" x14ac:dyDescent="0.25">
      <c r="A281" s="3" t="s">
        <v>282</v>
      </c>
      <c r="B281" s="3" t="s">
        <v>9</v>
      </c>
      <c r="C281" s="3">
        <v>10</v>
      </c>
      <c r="D281" s="189">
        <v>37227.048000000003</v>
      </c>
      <c r="E281" s="3" t="s">
        <v>10</v>
      </c>
      <c r="F281" s="189">
        <v>292.99</v>
      </c>
      <c r="G281" s="3" t="s">
        <v>11</v>
      </c>
    </row>
    <row r="282" spans="1:7" x14ac:dyDescent="0.25">
      <c r="A282" s="3" t="s">
        <v>283</v>
      </c>
      <c r="B282" s="3" t="s">
        <v>9</v>
      </c>
      <c r="C282" s="3">
        <v>10</v>
      </c>
      <c r="D282" s="189">
        <v>803033.12699999998</v>
      </c>
      <c r="E282" s="3" t="s">
        <v>10</v>
      </c>
      <c r="F282" s="189">
        <v>49275.641000000003</v>
      </c>
      <c r="G282" s="3" t="s">
        <v>11</v>
      </c>
    </row>
    <row r="283" spans="1:7" x14ac:dyDescent="0.25">
      <c r="A283" s="3" t="s">
        <v>284</v>
      </c>
      <c r="B283" s="3" t="s">
        <v>9</v>
      </c>
      <c r="C283" s="3">
        <v>10</v>
      </c>
      <c r="D283" s="189">
        <v>527358.93500000006</v>
      </c>
      <c r="E283" s="3" t="s">
        <v>10</v>
      </c>
      <c r="F283" s="189">
        <v>3562.779</v>
      </c>
      <c r="G283" s="3" t="s">
        <v>11</v>
      </c>
    </row>
    <row r="284" spans="1:7" x14ac:dyDescent="0.25">
      <c r="A284" s="3" t="s">
        <v>285</v>
      </c>
      <c r="B284" s="3" t="s">
        <v>9</v>
      </c>
      <c r="C284" s="3">
        <v>10</v>
      </c>
      <c r="D284" s="189">
        <v>420970.04100000003</v>
      </c>
      <c r="E284" s="3" t="s">
        <v>10</v>
      </c>
      <c r="F284" s="189">
        <v>9277.4449999999997</v>
      </c>
      <c r="G284" s="3" t="s">
        <v>11</v>
      </c>
    </row>
    <row r="286" spans="1:7" x14ac:dyDescent="0.25">
      <c r="A286" s="3" t="s">
        <v>0</v>
      </c>
      <c r="B286" s="3" t="s">
        <v>1</v>
      </c>
    </row>
    <row r="287" spans="1:7" x14ac:dyDescent="0.25">
      <c r="A287" s="3" t="s">
        <v>2</v>
      </c>
      <c r="B287" s="3" t="s">
        <v>3</v>
      </c>
      <c r="C287" s="3" t="s">
        <v>4</v>
      </c>
      <c r="D287" s="189" t="s">
        <v>5</v>
      </c>
      <c r="E287" s="3" t="s">
        <v>6</v>
      </c>
      <c r="F287" s="189" t="s">
        <v>7</v>
      </c>
    </row>
    <row r="288" spans="1:7" x14ac:dyDescent="0.25">
      <c r="A288" s="3" t="s">
        <v>246</v>
      </c>
      <c r="B288" s="3" t="s">
        <v>9</v>
      </c>
      <c r="C288" s="3">
        <v>10</v>
      </c>
      <c r="D288" s="189">
        <v>419.322</v>
      </c>
      <c r="E288" s="3" t="s">
        <v>10</v>
      </c>
      <c r="F288" s="189">
        <v>34.284999999999997</v>
      </c>
      <c r="G288" s="3" t="s">
        <v>11</v>
      </c>
    </row>
    <row r="289" spans="1:7" x14ac:dyDescent="0.25">
      <c r="A289" s="3" t="s">
        <v>247</v>
      </c>
      <c r="B289" s="3" t="s">
        <v>9</v>
      </c>
      <c r="C289" s="3">
        <v>10</v>
      </c>
      <c r="D289" s="189">
        <v>612.53800000000001</v>
      </c>
      <c r="E289" s="3" t="s">
        <v>10</v>
      </c>
      <c r="F289" s="189">
        <v>15.51</v>
      </c>
      <c r="G289" s="3" t="s">
        <v>11</v>
      </c>
    </row>
    <row r="290" spans="1:7" x14ac:dyDescent="0.25">
      <c r="A290" s="3" t="s">
        <v>248</v>
      </c>
      <c r="B290" s="3" t="s">
        <v>9</v>
      </c>
      <c r="C290" s="3">
        <v>10</v>
      </c>
      <c r="D290" s="189">
        <v>6000.5860000000002</v>
      </c>
      <c r="E290" s="3" t="s">
        <v>10</v>
      </c>
      <c r="F290" s="189">
        <v>19.584</v>
      </c>
      <c r="G290" s="3" t="s">
        <v>11</v>
      </c>
    </row>
    <row r="291" spans="1:7" x14ac:dyDescent="0.25">
      <c r="A291" s="3" t="s">
        <v>249</v>
      </c>
      <c r="B291" s="3" t="s">
        <v>9</v>
      </c>
      <c r="C291" s="3">
        <v>10</v>
      </c>
      <c r="D291" s="189">
        <v>8199.0609999999997</v>
      </c>
      <c r="E291" s="3" t="s">
        <v>10</v>
      </c>
      <c r="F291" s="189">
        <v>259.77499999999998</v>
      </c>
      <c r="G291" s="3" t="s">
        <v>11</v>
      </c>
    </row>
    <row r="292" spans="1:7" x14ac:dyDescent="0.25">
      <c r="A292" s="3" t="s">
        <v>250</v>
      </c>
      <c r="B292" s="3" t="s">
        <v>9</v>
      </c>
      <c r="C292" s="3">
        <v>10</v>
      </c>
      <c r="D292" s="189">
        <v>75283.584000000003</v>
      </c>
      <c r="E292" s="3" t="s">
        <v>10</v>
      </c>
      <c r="F292" s="189">
        <v>241.57400000000001</v>
      </c>
      <c r="G292" s="3" t="s">
        <v>11</v>
      </c>
    </row>
    <row r="293" spans="1:7" x14ac:dyDescent="0.25">
      <c r="A293" s="3" t="s">
        <v>251</v>
      </c>
      <c r="B293" s="3" t="s">
        <v>9</v>
      </c>
      <c r="C293" s="3">
        <v>10</v>
      </c>
      <c r="D293" s="189">
        <v>79850.326000000001</v>
      </c>
      <c r="E293" s="3" t="s">
        <v>10</v>
      </c>
      <c r="F293" s="189">
        <v>315.226</v>
      </c>
      <c r="G293" s="3" t="s">
        <v>11</v>
      </c>
    </row>
    <row r="294" spans="1:7" x14ac:dyDescent="0.25">
      <c r="A294" s="3" t="s">
        <v>252</v>
      </c>
      <c r="B294" s="3" t="s">
        <v>9</v>
      </c>
      <c r="C294" s="3">
        <v>10</v>
      </c>
      <c r="D294" s="189">
        <v>888579.78300000005</v>
      </c>
      <c r="E294" s="3" t="s">
        <v>10</v>
      </c>
      <c r="F294" s="189">
        <v>3097.8780000000002</v>
      </c>
      <c r="G294" s="3" t="s">
        <v>11</v>
      </c>
    </row>
    <row r="295" spans="1:7" x14ac:dyDescent="0.25">
      <c r="A295" s="3" t="s">
        <v>253</v>
      </c>
      <c r="B295" s="3" t="s">
        <v>9</v>
      </c>
      <c r="C295" s="3">
        <v>10</v>
      </c>
      <c r="D295" s="189">
        <v>986538.97199999995</v>
      </c>
      <c r="E295" s="3" t="s">
        <v>10</v>
      </c>
      <c r="F295" s="189">
        <v>21937.18</v>
      </c>
      <c r="G295" s="3" t="s">
        <v>11</v>
      </c>
    </row>
    <row r="296" spans="1:7" x14ac:dyDescent="0.25">
      <c r="A296" s="3" t="s">
        <v>254</v>
      </c>
      <c r="B296" s="3" t="s">
        <v>9</v>
      </c>
      <c r="C296" s="3">
        <v>10</v>
      </c>
      <c r="D296" s="189">
        <v>1152.4449999999999</v>
      </c>
      <c r="E296" s="3" t="s">
        <v>10</v>
      </c>
      <c r="F296" s="189">
        <v>8.3439999999999994</v>
      </c>
      <c r="G296" s="3" t="s">
        <v>11</v>
      </c>
    </row>
    <row r="297" spans="1:7" x14ac:dyDescent="0.25">
      <c r="A297" s="3" t="s">
        <v>255</v>
      </c>
      <c r="B297" s="3" t="s">
        <v>9</v>
      </c>
      <c r="C297" s="3">
        <v>10</v>
      </c>
      <c r="D297" s="189">
        <v>1349.2650000000001</v>
      </c>
      <c r="E297" s="3" t="s">
        <v>10</v>
      </c>
      <c r="F297" s="189">
        <v>86.917000000000002</v>
      </c>
      <c r="G297" s="3" t="s">
        <v>11</v>
      </c>
    </row>
    <row r="299" spans="1:7" x14ac:dyDescent="0.25">
      <c r="A299" s="3" t="s">
        <v>0</v>
      </c>
      <c r="B299" s="3" t="s">
        <v>1</v>
      </c>
    </row>
    <row r="300" spans="1:7" x14ac:dyDescent="0.25">
      <c r="A300" s="3" t="s">
        <v>2</v>
      </c>
      <c r="B300" s="3" t="s">
        <v>3</v>
      </c>
      <c r="C300" s="3" t="s">
        <v>4</v>
      </c>
      <c r="D300" s="189" t="s">
        <v>5</v>
      </c>
      <c r="E300" s="3" t="s">
        <v>6</v>
      </c>
      <c r="F300" s="189" t="s">
        <v>7</v>
      </c>
    </row>
    <row r="301" spans="1:7" x14ac:dyDescent="0.25">
      <c r="A301" s="3" t="s">
        <v>256</v>
      </c>
      <c r="B301" s="3" t="s">
        <v>9</v>
      </c>
      <c r="C301" s="3">
        <v>10</v>
      </c>
      <c r="D301" s="189">
        <v>928.92700000000002</v>
      </c>
      <c r="E301" s="3" t="s">
        <v>10</v>
      </c>
      <c r="F301" s="189">
        <v>22.864000000000001</v>
      </c>
      <c r="G301" s="3" t="s">
        <v>11</v>
      </c>
    </row>
    <row r="302" spans="1:7" x14ac:dyDescent="0.25">
      <c r="A302" s="3" t="s">
        <v>257</v>
      </c>
      <c r="B302" s="3" t="s">
        <v>9</v>
      </c>
      <c r="C302" s="3">
        <v>10</v>
      </c>
      <c r="D302" s="189">
        <v>747.92700000000002</v>
      </c>
      <c r="E302" s="3" t="s">
        <v>10</v>
      </c>
      <c r="F302" s="189">
        <v>5.3230000000000004</v>
      </c>
      <c r="G302" s="3" t="s">
        <v>11</v>
      </c>
    </row>
    <row r="303" spans="1:7" x14ac:dyDescent="0.25">
      <c r="A303" s="3" t="s">
        <v>258</v>
      </c>
      <c r="B303" s="3" t="s">
        <v>9</v>
      </c>
      <c r="C303" s="3">
        <v>10</v>
      </c>
      <c r="D303" s="189">
        <v>9250.2420000000002</v>
      </c>
      <c r="E303" s="3" t="s">
        <v>10</v>
      </c>
      <c r="F303" s="189">
        <v>65.918999999999997</v>
      </c>
      <c r="G303" s="3" t="s">
        <v>11</v>
      </c>
    </row>
    <row r="304" spans="1:7" x14ac:dyDescent="0.25">
      <c r="A304" s="3" t="s">
        <v>259</v>
      </c>
      <c r="B304" s="3" t="s">
        <v>9</v>
      </c>
      <c r="C304" s="3">
        <v>10</v>
      </c>
      <c r="D304" s="189">
        <v>7427.5110000000004</v>
      </c>
      <c r="E304" s="3" t="s">
        <v>10</v>
      </c>
      <c r="F304" s="189">
        <v>97.244</v>
      </c>
      <c r="G304" s="3" t="s">
        <v>11</v>
      </c>
    </row>
    <row r="305" spans="1:7" x14ac:dyDescent="0.25">
      <c r="A305" s="3" t="s">
        <v>260</v>
      </c>
      <c r="B305" s="3" t="s">
        <v>9</v>
      </c>
      <c r="C305" s="3">
        <v>10</v>
      </c>
      <c r="D305" s="189">
        <v>74087.769</v>
      </c>
      <c r="E305" s="3" t="s">
        <v>10</v>
      </c>
      <c r="F305" s="189">
        <v>373.81</v>
      </c>
      <c r="G305" s="3" t="s">
        <v>11</v>
      </c>
    </row>
    <row r="306" spans="1:7" x14ac:dyDescent="0.25">
      <c r="A306" s="3" t="s">
        <v>261</v>
      </c>
      <c r="B306" s="3" t="s">
        <v>9</v>
      </c>
      <c r="C306" s="3">
        <v>10</v>
      </c>
      <c r="D306" s="189">
        <v>84183.452999999994</v>
      </c>
      <c r="E306" s="3" t="s">
        <v>10</v>
      </c>
      <c r="F306" s="189">
        <v>605.35900000000004</v>
      </c>
      <c r="G306" s="3" t="s">
        <v>11</v>
      </c>
    </row>
    <row r="307" spans="1:7" x14ac:dyDescent="0.25">
      <c r="A307" s="3" t="s">
        <v>262</v>
      </c>
      <c r="B307" s="3" t="s">
        <v>9</v>
      </c>
      <c r="C307" s="3">
        <v>10</v>
      </c>
      <c r="D307" s="189">
        <v>919277.69400000002</v>
      </c>
      <c r="E307" s="3" t="s">
        <v>10</v>
      </c>
      <c r="F307" s="189">
        <v>13896.653</v>
      </c>
      <c r="G307" s="3" t="s">
        <v>11</v>
      </c>
    </row>
    <row r="308" spans="1:7" x14ac:dyDescent="0.25">
      <c r="A308" s="3" t="s">
        <v>263</v>
      </c>
      <c r="B308" s="3" t="s">
        <v>9</v>
      </c>
      <c r="C308" s="3">
        <v>10</v>
      </c>
      <c r="D308" s="189">
        <v>745473.66200000001</v>
      </c>
      <c r="E308" s="3" t="s">
        <v>10</v>
      </c>
      <c r="F308" s="189">
        <v>4642.9399999999996</v>
      </c>
      <c r="G308" s="3" t="s">
        <v>11</v>
      </c>
    </row>
    <row r="309" spans="1:7" x14ac:dyDescent="0.25">
      <c r="A309" s="3" t="s">
        <v>264</v>
      </c>
      <c r="B309" s="3" t="s">
        <v>9</v>
      </c>
      <c r="C309" s="3">
        <v>10</v>
      </c>
      <c r="D309" s="189">
        <v>1900.9169999999999</v>
      </c>
      <c r="E309" s="3" t="s">
        <v>10</v>
      </c>
      <c r="F309" s="189">
        <v>15.635999999999999</v>
      </c>
      <c r="G309" s="3" t="s">
        <v>11</v>
      </c>
    </row>
    <row r="310" spans="1:7" x14ac:dyDescent="0.25">
      <c r="A310" s="3" t="s">
        <v>265</v>
      </c>
      <c r="B310" s="3" t="s">
        <v>9</v>
      </c>
      <c r="C310" s="3">
        <v>10</v>
      </c>
      <c r="D310" s="189">
        <v>1516.432</v>
      </c>
      <c r="E310" s="3" t="s">
        <v>10</v>
      </c>
      <c r="F310" s="189">
        <v>13.845000000000001</v>
      </c>
      <c r="G310" s="3" t="s">
        <v>11</v>
      </c>
    </row>
    <row r="312" spans="1:7" x14ac:dyDescent="0.25">
      <c r="A312" s="3" t="s">
        <v>0</v>
      </c>
      <c r="B312" s="3" t="s">
        <v>1</v>
      </c>
    </row>
    <row r="313" spans="1:7" x14ac:dyDescent="0.25">
      <c r="A313" s="3" t="s">
        <v>2</v>
      </c>
      <c r="B313" s="3" t="s">
        <v>3</v>
      </c>
      <c r="C313" s="3" t="s">
        <v>4</v>
      </c>
      <c r="D313" s="189" t="s">
        <v>5</v>
      </c>
      <c r="E313" s="3" t="s">
        <v>6</v>
      </c>
      <c r="F313" s="189" t="s">
        <v>7</v>
      </c>
    </row>
    <row r="314" spans="1:7" x14ac:dyDescent="0.25">
      <c r="A314" s="3" t="s">
        <v>286</v>
      </c>
      <c r="B314" s="3" t="s">
        <v>9</v>
      </c>
      <c r="C314" s="3">
        <v>10</v>
      </c>
      <c r="D314" s="189">
        <v>419.66399999999999</v>
      </c>
      <c r="E314" s="3" t="s">
        <v>10</v>
      </c>
      <c r="F314" s="189">
        <v>7.0810000000000004</v>
      </c>
      <c r="G314" s="3" t="s">
        <v>11</v>
      </c>
    </row>
    <row r="315" spans="1:7" x14ac:dyDescent="0.25">
      <c r="A315" s="3" t="s">
        <v>287</v>
      </c>
      <c r="B315" s="3" t="s">
        <v>9</v>
      </c>
      <c r="C315" s="3">
        <v>10</v>
      </c>
      <c r="D315" s="189">
        <v>348.32</v>
      </c>
      <c r="E315" s="3" t="s">
        <v>10</v>
      </c>
      <c r="F315" s="189">
        <v>3.8250000000000002</v>
      </c>
      <c r="G315" s="3" t="s">
        <v>11</v>
      </c>
    </row>
    <row r="316" spans="1:7" x14ac:dyDescent="0.25">
      <c r="A316" s="3" t="s">
        <v>288</v>
      </c>
      <c r="B316" s="3" t="s">
        <v>9</v>
      </c>
      <c r="C316" s="3">
        <v>10</v>
      </c>
      <c r="D316" s="189">
        <v>170.714</v>
      </c>
      <c r="E316" s="3" t="s">
        <v>10</v>
      </c>
      <c r="F316" s="189">
        <v>8.2029999999999994</v>
      </c>
      <c r="G316" s="3" t="s">
        <v>11</v>
      </c>
    </row>
    <row r="317" spans="1:7" x14ac:dyDescent="0.25">
      <c r="A317" s="3" t="s">
        <v>289</v>
      </c>
      <c r="B317" s="3" t="s">
        <v>9</v>
      </c>
      <c r="C317" s="3">
        <v>10</v>
      </c>
      <c r="D317" s="189">
        <v>856.68499999999995</v>
      </c>
      <c r="E317" s="3" t="s">
        <v>10</v>
      </c>
      <c r="F317" s="189">
        <v>8.2319999999999993</v>
      </c>
      <c r="G317" s="3" t="s">
        <v>11</v>
      </c>
    </row>
    <row r="318" spans="1:7" x14ac:dyDescent="0.25">
      <c r="A318" s="3" t="s">
        <v>290</v>
      </c>
      <c r="B318" s="3" t="s">
        <v>9</v>
      </c>
      <c r="C318" s="3">
        <v>10</v>
      </c>
      <c r="D318" s="189">
        <v>746.87400000000002</v>
      </c>
      <c r="E318" s="3" t="s">
        <v>10</v>
      </c>
      <c r="F318" s="189">
        <v>16.012</v>
      </c>
      <c r="G318" s="3" t="s">
        <v>11</v>
      </c>
    </row>
    <row r="319" spans="1:7" x14ac:dyDescent="0.25">
      <c r="A319" s="3" t="s">
        <v>291</v>
      </c>
      <c r="B319" s="3" t="s">
        <v>9</v>
      </c>
      <c r="C319" s="3">
        <v>10</v>
      </c>
      <c r="D319" s="189">
        <v>468.70100000000002</v>
      </c>
      <c r="E319" s="3" t="s">
        <v>10</v>
      </c>
      <c r="F319" s="189">
        <v>6.8550000000000004</v>
      </c>
      <c r="G319" s="3" t="s">
        <v>11</v>
      </c>
    </row>
    <row r="320" spans="1:7" x14ac:dyDescent="0.25">
      <c r="A320" s="3" t="s">
        <v>292</v>
      </c>
      <c r="B320" s="3" t="s">
        <v>9</v>
      </c>
      <c r="C320" s="3">
        <v>10</v>
      </c>
      <c r="D320" s="189">
        <v>4538.8440000000001</v>
      </c>
      <c r="E320" s="3" t="s">
        <v>10</v>
      </c>
      <c r="F320" s="189">
        <v>26.759</v>
      </c>
      <c r="G320" s="3" t="s">
        <v>11</v>
      </c>
    </row>
    <row r="321" spans="1:7" x14ac:dyDescent="0.25">
      <c r="A321" s="3" t="s">
        <v>293</v>
      </c>
      <c r="B321" s="3" t="s">
        <v>9</v>
      </c>
      <c r="C321" s="3">
        <v>10</v>
      </c>
      <c r="D321" s="189">
        <v>3664.605</v>
      </c>
      <c r="E321" s="3" t="s">
        <v>10</v>
      </c>
      <c r="F321" s="189">
        <v>31.382000000000001</v>
      </c>
      <c r="G321" s="3" t="s">
        <v>11</v>
      </c>
    </row>
    <row r="322" spans="1:7" x14ac:dyDescent="0.25">
      <c r="A322" s="3" t="s">
        <v>294</v>
      </c>
      <c r="B322" s="3" t="s">
        <v>9</v>
      </c>
      <c r="C322" s="3">
        <v>10</v>
      </c>
      <c r="D322" s="189">
        <v>3130.6669999999999</v>
      </c>
      <c r="E322" s="3" t="s">
        <v>10</v>
      </c>
      <c r="F322" s="189">
        <v>32.715000000000003</v>
      </c>
      <c r="G322" s="3" t="s">
        <v>11</v>
      </c>
    </row>
    <row r="323" spans="1:7" x14ac:dyDescent="0.25">
      <c r="A323" s="3" t="s">
        <v>295</v>
      </c>
      <c r="B323" s="3" t="s">
        <v>9</v>
      </c>
      <c r="C323" s="3">
        <v>10</v>
      </c>
      <c r="D323" s="189">
        <v>57395.269</v>
      </c>
      <c r="E323" s="3" t="s">
        <v>10</v>
      </c>
      <c r="F323" s="189">
        <v>652.15899999999999</v>
      </c>
      <c r="G323" s="3" t="s">
        <v>11</v>
      </c>
    </row>
    <row r="324" spans="1:7" x14ac:dyDescent="0.25">
      <c r="A324" s="3" t="s">
        <v>296</v>
      </c>
      <c r="B324" s="3" t="s">
        <v>9</v>
      </c>
      <c r="C324" s="3">
        <v>10</v>
      </c>
      <c r="D324" s="189">
        <v>43440.28</v>
      </c>
      <c r="E324" s="3" t="s">
        <v>10</v>
      </c>
      <c r="F324" s="189">
        <v>371.38200000000001</v>
      </c>
      <c r="G324" s="3" t="s">
        <v>11</v>
      </c>
    </row>
    <row r="325" spans="1:7" x14ac:dyDescent="0.25">
      <c r="A325" s="3" t="s">
        <v>297</v>
      </c>
      <c r="B325" s="3" t="s">
        <v>9</v>
      </c>
      <c r="C325" s="3">
        <v>10</v>
      </c>
      <c r="D325" s="189">
        <v>31551.572</v>
      </c>
      <c r="E325" s="3" t="s">
        <v>10</v>
      </c>
      <c r="F325" s="189">
        <v>4449.9840000000004</v>
      </c>
      <c r="G325" s="3" t="s">
        <v>11</v>
      </c>
    </row>
    <row r="326" spans="1:7" x14ac:dyDescent="0.25">
      <c r="A326" s="3" t="s">
        <v>298</v>
      </c>
      <c r="B326" s="3" t="s">
        <v>9</v>
      </c>
      <c r="C326" s="3">
        <v>10</v>
      </c>
      <c r="D326" s="189">
        <v>668565.57200000004</v>
      </c>
      <c r="E326" s="3" t="s">
        <v>10</v>
      </c>
      <c r="F326" s="189">
        <v>5408.7129999999997</v>
      </c>
      <c r="G326" s="3" t="s">
        <v>11</v>
      </c>
    </row>
    <row r="327" spans="1:7" x14ac:dyDescent="0.25">
      <c r="A327" s="3" t="s">
        <v>299</v>
      </c>
      <c r="B327" s="3" t="s">
        <v>9</v>
      </c>
      <c r="C327" s="3">
        <v>10</v>
      </c>
      <c r="D327" s="189">
        <v>484746.70400000003</v>
      </c>
      <c r="E327" s="3" t="s">
        <v>10</v>
      </c>
      <c r="F327" s="189">
        <v>4481.9110000000001</v>
      </c>
      <c r="G327" s="3" t="s">
        <v>11</v>
      </c>
    </row>
    <row r="328" spans="1:7" x14ac:dyDescent="0.25">
      <c r="A328" s="3" t="s">
        <v>300</v>
      </c>
      <c r="B328" s="3" t="s">
        <v>9</v>
      </c>
      <c r="C328" s="3">
        <v>10</v>
      </c>
      <c r="D328" s="189">
        <v>434096.158</v>
      </c>
      <c r="E328" s="3" t="s">
        <v>10</v>
      </c>
      <c r="F328" s="189">
        <v>1159.7460000000001</v>
      </c>
      <c r="G328" s="3" t="s">
        <v>11</v>
      </c>
    </row>
    <row r="330" spans="1:7" x14ac:dyDescent="0.25">
      <c r="A330" s="3" t="s">
        <v>0</v>
      </c>
      <c r="B330" s="3" t="s">
        <v>1</v>
      </c>
    </row>
    <row r="331" spans="1:7" x14ac:dyDescent="0.25">
      <c r="A331" s="3" t="s">
        <v>2</v>
      </c>
      <c r="B331" s="3" t="s">
        <v>3</v>
      </c>
      <c r="C331" s="3" t="s">
        <v>4</v>
      </c>
      <c r="D331" s="189" t="s">
        <v>5</v>
      </c>
      <c r="E331" s="3" t="s">
        <v>6</v>
      </c>
      <c r="F331" s="189" t="s">
        <v>7</v>
      </c>
    </row>
    <row r="332" spans="1:7" x14ac:dyDescent="0.25">
      <c r="A332" s="3" t="s">
        <v>301</v>
      </c>
      <c r="B332" s="3" t="s">
        <v>9</v>
      </c>
      <c r="C332" s="3">
        <v>10</v>
      </c>
      <c r="D332" s="189">
        <v>212.94300000000001</v>
      </c>
      <c r="E332" s="3" t="s">
        <v>10</v>
      </c>
      <c r="F332" s="189">
        <v>2.637</v>
      </c>
      <c r="G332" s="3" t="s">
        <v>11</v>
      </c>
    </row>
    <row r="333" spans="1:7" x14ac:dyDescent="0.25">
      <c r="A333" s="3" t="s">
        <v>302</v>
      </c>
      <c r="B333" s="3" t="s">
        <v>9</v>
      </c>
      <c r="C333" s="3">
        <v>10</v>
      </c>
      <c r="D333" s="189">
        <v>176.42400000000001</v>
      </c>
      <c r="E333" s="3" t="s">
        <v>10</v>
      </c>
      <c r="F333" s="189">
        <v>5.1260000000000003</v>
      </c>
      <c r="G333" s="3" t="s">
        <v>11</v>
      </c>
    </row>
    <row r="334" spans="1:7" x14ac:dyDescent="0.25">
      <c r="A334" s="3" t="s">
        <v>303</v>
      </c>
      <c r="B334" s="3" t="s">
        <v>9</v>
      </c>
      <c r="C334" s="3">
        <v>10</v>
      </c>
      <c r="D334" s="189">
        <v>165.58199999999999</v>
      </c>
      <c r="E334" s="3" t="s">
        <v>10</v>
      </c>
      <c r="F334" s="189">
        <v>15.504</v>
      </c>
      <c r="G334" s="3" t="s">
        <v>11</v>
      </c>
    </row>
    <row r="335" spans="1:7" x14ac:dyDescent="0.25">
      <c r="A335" s="3" t="s">
        <v>304</v>
      </c>
      <c r="B335" s="3" t="s">
        <v>9</v>
      </c>
      <c r="C335" s="3">
        <v>10</v>
      </c>
      <c r="D335" s="189">
        <v>432.03199999999998</v>
      </c>
      <c r="E335" s="3" t="s">
        <v>10</v>
      </c>
      <c r="F335" s="189">
        <v>3.7469999999999999</v>
      </c>
      <c r="G335" s="3" t="s">
        <v>11</v>
      </c>
    </row>
    <row r="336" spans="1:7" x14ac:dyDescent="0.25">
      <c r="A336" s="3" t="s">
        <v>305</v>
      </c>
      <c r="B336" s="3" t="s">
        <v>9</v>
      </c>
      <c r="C336" s="3">
        <v>10</v>
      </c>
      <c r="D336" s="189">
        <v>381.827</v>
      </c>
      <c r="E336" s="3" t="s">
        <v>10</v>
      </c>
      <c r="F336" s="189">
        <v>7.6779999999999999</v>
      </c>
      <c r="G336" s="3" t="s">
        <v>11</v>
      </c>
    </row>
    <row r="337" spans="1:7" x14ac:dyDescent="0.25">
      <c r="A337" s="3" t="s">
        <v>306</v>
      </c>
      <c r="B337" s="3" t="s">
        <v>9</v>
      </c>
      <c r="C337" s="3">
        <v>10</v>
      </c>
      <c r="D337" s="189">
        <v>471.745</v>
      </c>
      <c r="E337" s="3" t="s">
        <v>10</v>
      </c>
      <c r="F337" s="189">
        <v>6.2169999999999996</v>
      </c>
      <c r="G337" s="3" t="s">
        <v>11</v>
      </c>
    </row>
    <row r="338" spans="1:7" x14ac:dyDescent="0.25">
      <c r="A338" s="3" t="s">
        <v>307</v>
      </c>
      <c r="B338" s="3" t="s">
        <v>9</v>
      </c>
      <c r="C338" s="3">
        <v>10</v>
      </c>
      <c r="D338" s="189">
        <v>2460.7220000000002</v>
      </c>
      <c r="E338" s="3" t="s">
        <v>10</v>
      </c>
      <c r="F338" s="189">
        <v>14.006</v>
      </c>
      <c r="G338" s="3" t="s">
        <v>11</v>
      </c>
    </row>
    <row r="339" spans="1:7" x14ac:dyDescent="0.25">
      <c r="A339" s="3" t="s">
        <v>308</v>
      </c>
      <c r="B339" s="3" t="s">
        <v>9</v>
      </c>
      <c r="C339" s="3">
        <v>10</v>
      </c>
      <c r="D339" s="189">
        <v>1693.93</v>
      </c>
      <c r="E339" s="3" t="s">
        <v>10</v>
      </c>
      <c r="F339" s="189">
        <v>46.643999999999998</v>
      </c>
      <c r="G339" s="3" t="s">
        <v>11</v>
      </c>
    </row>
    <row r="340" spans="1:7" x14ac:dyDescent="0.25">
      <c r="A340" s="3" t="s">
        <v>309</v>
      </c>
      <c r="B340" s="3" t="s">
        <v>9</v>
      </c>
      <c r="C340" s="3">
        <v>10</v>
      </c>
      <c r="D340" s="189">
        <v>3066.4780000000001</v>
      </c>
      <c r="E340" s="3" t="s">
        <v>10</v>
      </c>
      <c r="F340" s="189">
        <v>67.210999999999999</v>
      </c>
      <c r="G340" s="3" t="s">
        <v>11</v>
      </c>
    </row>
    <row r="341" spans="1:7" x14ac:dyDescent="0.25">
      <c r="A341" s="3" t="s">
        <v>310</v>
      </c>
      <c r="B341" s="3" t="s">
        <v>9</v>
      </c>
      <c r="C341" s="3">
        <v>10</v>
      </c>
      <c r="D341" s="189">
        <v>30863.381000000001</v>
      </c>
      <c r="E341" s="3" t="s">
        <v>10</v>
      </c>
      <c r="F341" s="189">
        <v>999.02499999999998</v>
      </c>
      <c r="G341" s="3" t="s">
        <v>11</v>
      </c>
    </row>
    <row r="342" spans="1:7" x14ac:dyDescent="0.25">
      <c r="A342" s="3" t="s">
        <v>311</v>
      </c>
      <c r="B342" s="3" t="s">
        <v>9</v>
      </c>
      <c r="C342" s="3">
        <v>10</v>
      </c>
      <c r="D342" s="189">
        <v>20106.576000000001</v>
      </c>
      <c r="E342" s="3" t="s">
        <v>10</v>
      </c>
      <c r="F342" s="189">
        <v>146.745</v>
      </c>
      <c r="G342" s="3" t="s">
        <v>11</v>
      </c>
    </row>
    <row r="343" spans="1:7" x14ac:dyDescent="0.25">
      <c r="A343" s="3" t="s">
        <v>312</v>
      </c>
      <c r="B343" s="3" t="s">
        <v>9</v>
      </c>
      <c r="C343" s="3">
        <v>10</v>
      </c>
      <c r="D343" s="189">
        <v>36628.478999999999</v>
      </c>
      <c r="E343" s="3" t="s">
        <v>10</v>
      </c>
      <c r="F343" s="189">
        <v>299.83999999999997</v>
      </c>
      <c r="G343" s="3" t="s">
        <v>11</v>
      </c>
    </row>
    <row r="344" spans="1:7" x14ac:dyDescent="0.25">
      <c r="A344" s="3" t="s">
        <v>313</v>
      </c>
      <c r="B344" s="3" t="s">
        <v>9</v>
      </c>
      <c r="C344" s="3">
        <v>10</v>
      </c>
      <c r="D344" s="189">
        <v>370141.46600000001</v>
      </c>
      <c r="E344" s="3" t="s">
        <v>10</v>
      </c>
      <c r="F344" s="189">
        <v>2827.3589999999999</v>
      </c>
      <c r="G344" s="3" t="s">
        <v>11</v>
      </c>
    </row>
    <row r="345" spans="1:7" x14ac:dyDescent="0.25">
      <c r="A345" s="3" t="s">
        <v>314</v>
      </c>
      <c r="B345" s="3" t="s">
        <v>9</v>
      </c>
      <c r="C345" s="3">
        <v>10</v>
      </c>
      <c r="D345" s="189">
        <v>270146.25300000003</v>
      </c>
      <c r="E345" s="3" t="s">
        <v>10</v>
      </c>
      <c r="F345" s="189">
        <v>2027.3050000000001</v>
      </c>
      <c r="G345" s="3" t="s">
        <v>11</v>
      </c>
    </row>
    <row r="346" spans="1:7" x14ac:dyDescent="0.25">
      <c r="A346" s="3" t="s">
        <v>315</v>
      </c>
      <c r="B346" s="3" t="s">
        <v>9</v>
      </c>
      <c r="C346" s="3">
        <v>10</v>
      </c>
      <c r="D346" s="189">
        <v>446836.516</v>
      </c>
      <c r="E346" s="3" t="s">
        <v>10</v>
      </c>
      <c r="F346" s="189">
        <v>2661.806</v>
      </c>
      <c r="G346" s="3" t="s">
        <v>11</v>
      </c>
    </row>
    <row r="348" spans="1:7" x14ac:dyDescent="0.25">
      <c r="A348" s="3" t="s">
        <v>0</v>
      </c>
      <c r="B348" s="3" t="s">
        <v>1</v>
      </c>
    </row>
    <row r="349" spans="1:7" x14ac:dyDescent="0.25">
      <c r="A349" s="3" t="s">
        <v>2</v>
      </c>
      <c r="B349" s="3" t="s">
        <v>3</v>
      </c>
      <c r="C349" s="3" t="s">
        <v>4</v>
      </c>
      <c r="D349" s="189" t="s">
        <v>5</v>
      </c>
      <c r="E349" s="3" t="s">
        <v>6</v>
      </c>
      <c r="F349" s="189" t="s">
        <v>7</v>
      </c>
    </row>
    <row r="350" spans="1:7" x14ac:dyDescent="0.25">
      <c r="A350" s="3" t="s">
        <v>316</v>
      </c>
      <c r="B350" s="3" t="s">
        <v>9</v>
      </c>
      <c r="C350" s="3">
        <v>10</v>
      </c>
      <c r="D350" s="189">
        <v>78.968999999999994</v>
      </c>
      <c r="E350" s="3" t="s">
        <v>10</v>
      </c>
      <c r="F350" s="189">
        <v>0.73699999999999999</v>
      </c>
      <c r="G350" s="3" t="s">
        <v>11</v>
      </c>
    </row>
    <row r="351" spans="1:7" x14ac:dyDescent="0.25">
      <c r="A351" s="3" t="s">
        <v>317</v>
      </c>
      <c r="B351" s="3" t="s">
        <v>9</v>
      </c>
      <c r="C351" s="3">
        <v>10</v>
      </c>
      <c r="D351" s="189">
        <v>63.192</v>
      </c>
      <c r="E351" s="3" t="s">
        <v>10</v>
      </c>
      <c r="F351" s="189">
        <v>0.871</v>
      </c>
      <c r="G351" s="3" t="s">
        <v>11</v>
      </c>
    </row>
    <row r="352" spans="1:7" x14ac:dyDescent="0.25">
      <c r="A352" s="3" t="s">
        <v>318</v>
      </c>
      <c r="B352" s="3" t="s">
        <v>9</v>
      </c>
      <c r="C352" s="3">
        <v>10</v>
      </c>
      <c r="D352" s="189">
        <v>41.731999999999999</v>
      </c>
      <c r="E352" s="3" t="s">
        <v>10</v>
      </c>
      <c r="F352" s="189">
        <v>0.43</v>
      </c>
      <c r="G352" s="3" t="s">
        <v>11</v>
      </c>
    </row>
    <row r="353" spans="1:15" x14ac:dyDescent="0.25">
      <c r="A353" s="3" t="s">
        <v>319</v>
      </c>
      <c r="B353" s="3" t="s">
        <v>9</v>
      </c>
      <c r="C353" s="3">
        <v>10</v>
      </c>
      <c r="D353" s="189">
        <v>872.16600000000005</v>
      </c>
      <c r="E353" s="3" t="s">
        <v>10</v>
      </c>
      <c r="F353" s="189">
        <v>17.763000000000002</v>
      </c>
      <c r="G353" s="3" t="s">
        <v>11</v>
      </c>
    </row>
    <row r="354" spans="1:15" x14ac:dyDescent="0.25">
      <c r="A354" s="3" t="s">
        <v>320</v>
      </c>
      <c r="B354" s="3" t="s">
        <v>9</v>
      </c>
      <c r="C354" s="3">
        <v>10</v>
      </c>
      <c r="D354" s="189">
        <v>553.803</v>
      </c>
      <c r="E354" s="3" t="s">
        <v>10</v>
      </c>
      <c r="F354" s="189">
        <v>4.1630000000000003</v>
      </c>
      <c r="G354" s="3" t="s">
        <v>11</v>
      </c>
    </row>
    <row r="355" spans="1:15" x14ac:dyDescent="0.25">
      <c r="A355" s="3" t="s">
        <v>321</v>
      </c>
      <c r="B355" s="3" t="s">
        <v>9</v>
      </c>
      <c r="C355" s="3">
        <v>10</v>
      </c>
      <c r="D355" s="189">
        <v>437.512</v>
      </c>
      <c r="E355" s="3" t="s">
        <v>10</v>
      </c>
      <c r="F355" s="189">
        <v>2.1030000000000002</v>
      </c>
      <c r="G355" s="3" t="s">
        <v>11</v>
      </c>
    </row>
    <row r="356" spans="1:15" x14ac:dyDescent="0.25">
      <c r="A356" s="3" t="s">
        <v>322</v>
      </c>
      <c r="B356" s="3" t="s">
        <v>9</v>
      </c>
      <c r="C356" s="3">
        <v>10</v>
      </c>
      <c r="D356" s="189">
        <v>7878.5330000000004</v>
      </c>
      <c r="E356" s="3" t="s">
        <v>10</v>
      </c>
      <c r="F356" s="189">
        <v>140.99700000000001</v>
      </c>
      <c r="G356" s="3" t="s">
        <v>11</v>
      </c>
    </row>
    <row r="357" spans="1:15" x14ac:dyDescent="0.25">
      <c r="A357" s="3" t="s">
        <v>323</v>
      </c>
      <c r="B357" s="3" t="s">
        <v>9</v>
      </c>
      <c r="C357" s="3">
        <v>10</v>
      </c>
      <c r="D357" s="189">
        <v>5369.6750000000002</v>
      </c>
      <c r="E357" s="3" t="s">
        <v>10</v>
      </c>
      <c r="F357" s="189">
        <v>97.179000000000002</v>
      </c>
      <c r="G357" s="3" t="s">
        <v>11</v>
      </c>
    </row>
    <row r="358" spans="1:15" x14ac:dyDescent="0.25">
      <c r="A358" s="3" t="s">
        <v>324</v>
      </c>
      <c r="B358" s="3" t="s">
        <v>9</v>
      </c>
      <c r="C358" s="3">
        <v>10</v>
      </c>
      <c r="D358" s="189">
        <v>2917.634</v>
      </c>
      <c r="E358" s="3" t="s">
        <v>10</v>
      </c>
      <c r="F358" s="189">
        <v>19.364000000000001</v>
      </c>
      <c r="G358" s="3" t="s">
        <v>11</v>
      </c>
    </row>
    <row r="359" spans="1:15" x14ac:dyDescent="0.25">
      <c r="A359" s="3" t="s">
        <v>325</v>
      </c>
      <c r="B359" s="3" t="s">
        <v>9</v>
      </c>
      <c r="C359" s="3">
        <v>10</v>
      </c>
      <c r="D359" s="189">
        <v>57494.913999999997</v>
      </c>
      <c r="E359" s="3" t="s">
        <v>10</v>
      </c>
      <c r="F359" s="189">
        <v>724.42399999999998</v>
      </c>
      <c r="G359" s="3" t="s">
        <v>11</v>
      </c>
    </row>
    <row r="360" spans="1:15" x14ac:dyDescent="0.25">
      <c r="A360" s="3" t="s">
        <v>326</v>
      </c>
      <c r="B360" s="3" t="s">
        <v>9</v>
      </c>
      <c r="C360" s="3">
        <v>10</v>
      </c>
      <c r="D360" s="189">
        <v>48908.625</v>
      </c>
      <c r="E360" s="3" t="s">
        <v>10</v>
      </c>
      <c r="F360" s="189">
        <v>1469.14</v>
      </c>
      <c r="G360" s="3" t="s">
        <v>11</v>
      </c>
    </row>
    <row r="361" spans="1:15" x14ac:dyDescent="0.25">
      <c r="A361" s="3" t="s">
        <v>327</v>
      </c>
      <c r="B361" s="3" t="s">
        <v>9</v>
      </c>
      <c r="C361" s="3">
        <v>10</v>
      </c>
      <c r="D361" s="189">
        <v>42894.065000000002</v>
      </c>
      <c r="E361" s="3" t="s">
        <v>10</v>
      </c>
      <c r="F361" s="189">
        <v>1284.7249999999999</v>
      </c>
      <c r="G361" s="3" t="s">
        <v>11</v>
      </c>
    </row>
    <row r="362" spans="1:15" x14ac:dyDescent="0.25">
      <c r="A362" s="3" t="s">
        <v>328</v>
      </c>
      <c r="B362" s="3" t="s">
        <v>9</v>
      </c>
      <c r="C362" s="3">
        <v>10</v>
      </c>
      <c r="D362" s="189">
        <v>156.72399999999999</v>
      </c>
      <c r="E362" s="3" t="s">
        <v>10</v>
      </c>
      <c r="F362" s="189">
        <v>4.1760000000000002</v>
      </c>
      <c r="G362" s="3" t="s">
        <v>11</v>
      </c>
    </row>
    <row r="363" spans="1:15" x14ac:dyDescent="0.25">
      <c r="A363" s="3" t="s">
        <v>329</v>
      </c>
      <c r="B363" s="3" t="s">
        <v>9</v>
      </c>
      <c r="C363" s="3">
        <v>10</v>
      </c>
      <c r="D363" s="189">
        <v>108.13</v>
      </c>
      <c r="E363" s="3" t="s">
        <v>10</v>
      </c>
      <c r="F363" s="189">
        <v>1.075</v>
      </c>
      <c r="G363" s="3" t="s">
        <v>11</v>
      </c>
    </row>
    <row r="364" spans="1:15" x14ac:dyDescent="0.25">
      <c r="A364" s="3" t="s">
        <v>330</v>
      </c>
      <c r="B364" s="3" t="s">
        <v>9</v>
      </c>
      <c r="C364" s="3">
        <v>10</v>
      </c>
      <c r="D364" s="189">
        <v>83.349000000000004</v>
      </c>
      <c r="E364" s="3" t="s">
        <v>10</v>
      </c>
      <c r="F364" s="189">
        <v>1.766</v>
      </c>
      <c r="G364" s="3" t="s">
        <v>11</v>
      </c>
    </row>
    <row r="366" spans="1:15" x14ac:dyDescent="0.25">
      <c r="A366" s="3" t="s">
        <v>0</v>
      </c>
      <c r="B366" s="3" t="s">
        <v>1</v>
      </c>
      <c r="C366" s="3" t="s">
        <v>331</v>
      </c>
      <c r="D366" s="189" t="s">
        <v>332</v>
      </c>
      <c r="E366" s="3" t="s">
        <v>333</v>
      </c>
      <c r="F366" s="189" t="s">
        <v>334</v>
      </c>
    </row>
    <row r="367" spans="1:15" ht="20" thickBot="1" x14ac:dyDescent="0.3">
      <c r="A367" s="3" t="s">
        <v>2</v>
      </c>
      <c r="B367" s="3" t="s">
        <v>3</v>
      </c>
      <c r="C367" s="3" t="s">
        <v>4</v>
      </c>
      <c r="D367" s="189" t="s">
        <v>5</v>
      </c>
      <c r="E367" s="3" t="s">
        <v>6</v>
      </c>
      <c r="F367" s="189" t="s">
        <v>7</v>
      </c>
    </row>
    <row r="368" spans="1:15" x14ac:dyDescent="0.25">
      <c r="A368" s="3" t="s">
        <v>8</v>
      </c>
      <c r="B368" s="3" t="s">
        <v>333</v>
      </c>
      <c r="C368" s="3">
        <v>10</v>
      </c>
      <c r="D368" s="189">
        <v>3828265.9440000001</v>
      </c>
      <c r="E368" s="3" t="s">
        <v>10</v>
      </c>
      <c r="F368" s="189">
        <v>78256.2</v>
      </c>
      <c r="G368" s="3" t="s">
        <v>335</v>
      </c>
      <c r="J368" s="5" t="s">
        <v>336</v>
      </c>
      <c r="K368" s="72" t="s">
        <v>340</v>
      </c>
      <c r="L368" s="72" t="s">
        <v>341</v>
      </c>
      <c r="M368" s="17" t="s">
        <v>162</v>
      </c>
      <c r="N368" s="72" t="s">
        <v>342</v>
      </c>
      <c r="O368" s="21" t="s">
        <v>162</v>
      </c>
    </row>
    <row r="369" spans="1:15" x14ac:dyDescent="0.25">
      <c r="A369" s="3" t="s">
        <v>12</v>
      </c>
      <c r="B369" s="3" t="s">
        <v>333</v>
      </c>
      <c r="C369" s="3">
        <v>10</v>
      </c>
      <c r="D369" s="189">
        <v>7717265.2960000001</v>
      </c>
      <c r="E369" s="3" t="s">
        <v>10</v>
      </c>
      <c r="F369" s="189">
        <v>176493.345</v>
      </c>
      <c r="G369" s="3" t="s">
        <v>335</v>
      </c>
      <c r="J369" s="6">
        <v>100000</v>
      </c>
      <c r="K369" s="119">
        <f>D368</f>
        <v>3828265.9440000001</v>
      </c>
      <c r="L369" s="119">
        <f>D369</f>
        <v>7717265.2960000001</v>
      </c>
      <c r="M369" s="18">
        <f>(K369/L369-1)</f>
        <v>-0.50393490476681424</v>
      </c>
      <c r="N369" s="73">
        <f>D370</f>
        <v>5286720.9479999999</v>
      </c>
      <c r="O369" s="22">
        <f>(K369/N369-1)</f>
        <v>-0.27587138007572398</v>
      </c>
    </row>
    <row r="370" spans="1:15" x14ac:dyDescent="0.25">
      <c r="A370" s="3" t="s">
        <v>13</v>
      </c>
      <c r="B370" s="3" t="s">
        <v>333</v>
      </c>
      <c r="C370" s="3">
        <v>10</v>
      </c>
      <c r="D370" s="189">
        <v>5286720.9479999999</v>
      </c>
      <c r="E370" s="3" t="s">
        <v>10</v>
      </c>
      <c r="F370" s="189">
        <v>676235.46400000004</v>
      </c>
      <c r="G370" s="3" t="s">
        <v>335</v>
      </c>
      <c r="J370" s="6">
        <v>50000</v>
      </c>
      <c r="K370" s="119">
        <f>D371</f>
        <v>1867037.9709999999</v>
      </c>
      <c r="L370" s="119">
        <f>D372</f>
        <v>3725923.9530000002</v>
      </c>
      <c r="M370" s="18">
        <f t="shared" ref="M370:M373" si="0">(K370/L370-1)</f>
        <v>-0.4989060446344542</v>
      </c>
      <c r="N370" s="73">
        <f>D373</f>
        <v>2708928.9079999998</v>
      </c>
      <c r="O370" s="22">
        <f t="shared" ref="O370:O373" si="1">(K370/N370-1)</f>
        <v>-0.3107836955461365</v>
      </c>
    </row>
    <row r="371" spans="1:15" x14ac:dyDescent="0.25">
      <c r="A371" s="3" t="s">
        <v>14</v>
      </c>
      <c r="B371" s="3" t="s">
        <v>333</v>
      </c>
      <c r="C371" s="3">
        <v>10</v>
      </c>
      <c r="D371" s="189">
        <v>1867037.9709999999</v>
      </c>
      <c r="E371" s="3" t="s">
        <v>10</v>
      </c>
      <c r="F371" s="189">
        <v>31390.741000000002</v>
      </c>
      <c r="G371" s="3" t="s">
        <v>335</v>
      </c>
      <c r="J371" s="6">
        <v>10000</v>
      </c>
      <c r="K371" s="119">
        <f>D374</f>
        <v>383342.77899999998</v>
      </c>
      <c r="L371" s="119">
        <f>D375</f>
        <v>726742.35900000005</v>
      </c>
      <c r="M371" s="18">
        <f t="shared" si="0"/>
        <v>-0.47251901000035146</v>
      </c>
      <c r="N371" s="73">
        <f>D376</f>
        <v>509706.36800000002</v>
      </c>
      <c r="O371" s="22">
        <f t="shared" si="1"/>
        <v>-0.24791447965586344</v>
      </c>
    </row>
    <row r="372" spans="1:15" x14ac:dyDescent="0.25">
      <c r="A372" s="3" t="s">
        <v>15</v>
      </c>
      <c r="B372" s="3" t="s">
        <v>333</v>
      </c>
      <c r="C372" s="3">
        <v>10</v>
      </c>
      <c r="D372" s="189">
        <v>3725923.9530000002</v>
      </c>
      <c r="E372" s="3" t="s">
        <v>10</v>
      </c>
      <c r="F372" s="189">
        <v>83967.555999999997</v>
      </c>
      <c r="G372" s="3" t="s">
        <v>335</v>
      </c>
      <c r="J372" s="6">
        <v>1000</v>
      </c>
      <c r="K372" s="119">
        <f>D377</f>
        <v>54940.849000000002</v>
      </c>
      <c r="L372" s="119">
        <f>D378</f>
        <v>89950.656000000003</v>
      </c>
      <c r="M372" s="18">
        <f t="shared" si="0"/>
        <v>-0.38921124710863697</v>
      </c>
      <c r="N372" s="73">
        <f>D379</f>
        <v>51259.68</v>
      </c>
      <c r="O372" s="22">
        <f t="shared" si="1"/>
        <v>7.1814123693320076E-2</v>
      </c>
    </row>
    <row r="373" spans="1:15" ht="20" thickBot="1" x14ac:dyDescent="0.3">
      <c r="A373" s="3" t="s">
        <v>16</v>
      </c>
      <c r="B373" s="3" t="s">
        <v>333</v>
      </c>
      <c r="C373" s="3">
        <v>10</v>
      </c>
      <c r="D373" s="189">
        <v>2708928.9079999998</v>
      </c>
      <c r="E373" s="3" t="s">
        <v>10</v>
      </c>
      <c r="F373" s="189">
        <v>347629.78700000001</v>
      </c>
      <c r="G373" s="3" t="s">
        <v>335</v>
      </c>
      <c r="J373" s="7">
        <v>100</v>
      </c>
      <c r="K373" s="120">
        <f>D380</f>
        <v>3755.201</v>
      </c>
      <c r="L373" s="120">
        <f>D381</f>
        <v>5876.2690000000002</v>
      </c>
      <c r="M373" s="19">
        <f t="shared" si="0"/>
        <v>-0.36095488480871107</v>
      </c>
      <c r="N373" s="74">
        <f>D382</f>
        <v>5408.348</v>
      </c>
      <c r="O373" s="23">
        <f t="shared" si="1"/>
        <v>-0.30566579665361771</v>
      </c>
    </row>
    <row r="374" spans="1:15" x14ac:dyDescent="0.25">
      <c r="A374" s="3" t="s">
        <v>17</v>
      </c>
      <c r="B374" s="3" t="s">
        <v>333</v>
      </c>
      <c r="C374" s="3">
        <v>10</v>
      </c>
      <c r="D374" s="189">
        <v>383342.77899999998</v>
      </c>
      <c r="E374" s="3" t="s">
        <v>10</v>
      </c>
      <c r="F374" s="189">
        <v>6067.125</v>
      </c>
      <c r="G374" s="3" t="s">
        <v>335</v>
      </c>
    </row>
    <row r="375" spans="1:15" x14ac:dyDescent="0.25">
      <c r="A375" s="3" t="s">
        <v>18</v>
      </c>
      <c r="B375" s="3" t="s">
        <v>333</v>
      </c>
      <c r="C375" s="3">
        <v>10</v>
      </c>
      <c r="D375" s="189">
        <v>726742.35900000005</v>
      </c>
      <c r="E375" s="3" t="s">
        <v>10</v>
      </c>
      <c r="F375" s="189">
        <v>22905.678</v>
      </c>
      <c r="G375" s="3" t="s">
        <v>335</v>
      </c>
    </row>
    <row r="376" spans="1:15" x14ac:dyDescent="0.25">
      <c r="A376" s="3" t="s">
        <v>19</v>
      </c>
      <c r="B376" s="3" t="s">
        <v>333</v>
      </c>
      <c r="C376" s="3">
        <v>10</v>
      </c>
      <c r="D376" s="189">
        <v>509706.36800000002</v>
      </c>
      <c r="E376" s="3" t="s">
        <v>10</v>
      </c>
      <c r="F376" s="189">
        <v>53380.010999999999</v>
      </c>
      <c r="G376" s="3" t="s">
        <v>335</v>
      </c>
    </row>
    <row r="377" spans="1:15" x14ac:dyDescent="0.25">
      <c r="A377" s="3" t="s">
        <v>20</v>
      </c>
      <c r="B377" s="3" t="s">
        <v>333</v>
      </c>
      <c r="C377" s="3">
        <v>10</v>
      </c>
      <c r="D377" s="189">
        <v>54940.849000000002</v>
      </c>
      <c r="E377" s="3" t="s">
        <v>10</v>
      </c>
      <c r="F377" s="189">
        <v>805.42499999999995</v>
      </c>
      <c r="G377" s="3" t="s">
        <v>335</v>
      </c>
    </row>
    <row r="378" spans="1:15" x14ac:dyDescent="0.25">
      <c r="A378" s="3" t="s">
        <v>21</v>
      </c>
      <c r="B378" s="3" t="s">
        <v>333</v>
      </c>
      <c r="C378" s="3">
        <v>10</v>
      </c>
      <c r="D378" s="189">
        <v>89950.656000000003</v>
      </c>
      <c r="E378" s="3" t="s">
        <v>10</v>
      </c>
      <c r="F378" s="189">
        <v>1344.595</v>
      </c>
      <c r="G378" s="3" t="s">
        <v>335</v>
      </c>
    </row>
    <row r="379" spans="1:15" x14ac:dyDescent="0.25">
      <c r="A379" s="3" t="s">
        <v>22</v>
      </c>
      <c r="B379" s="3" t="s">
        <v>333</v>
      </c>
      <c r="C379" s="3">
        <v>10</v>
      </c>
      <c r="D379" s="189">
        <v>51259.68</v>
      </c>
      <c r="E379" s="3" t="s">
        <v>10</v>
      </c>
      <c r="F379" s="189">
        <v>3697.1889999999999</v>
      </c>
      <c r="G379" s="3" t="s">
        <v>335</v>
      </c>
    </row>
    <row r="380" spans="1:15" x14ac:dyDescent="0.25">
      <c r="A380" s="3" t="s">
        <v>23</v>
      </c>
      <c r="B380" s="3" t="s">
        <v>333</v>
      </c>
      <c r="C380" s="3">
        <v>10</v>
      </c>
      <c r="D380" s="189">
        <v>3755.201</v>
      </c>
      <c r="E380" s="3" t="s">
        <v>10</v>
      </c>
      <c r="F380" s="189">
        <v>57.183</v>
      </c>
      <c r="G380" s="3" t="s">
        <v>335</v>
      </c>
    </row>
    <row r="381" spans="1:15" x14ac:dyDescent="0.25">
      <c r="A381" s="3" t="s">
        <v>24</v>
      </c>
      <c r="B381" s="3" t="s">
        <v>333</v>
      </c>
      <c r="C381" s="3">
        <v>10</v>
      </c>
      <c r="D381" s="189">
        <v>5876.2690000000002</v>
      </c>
      <c r="E381" s="3" t="s">
        <v>10</v>
      </c>
      <c r="F381" s="189">
        <v>10.288</v>
      </c>
      <c r="G381" s="3" t="s">
        <v>335</v>
      </c>
    </row>
    <row r="382" spans="1:15" x14ac:dyDescent="0.25">
      <c r="A382" s="3" t="s">
        <v>25</v>
      </c>
      <c r="B382" s="3" t="s">
        <v>333</v>
      </c>
      <c r="C382" s="3">
        <v>10</v>
      </c>
      <c r="D382" s="189">
        <v>5408.348</v>
      </c>
      <c r="E382" s="3" t="s">
        <v>10</v>
      </c>
      <c r="F382" s="189">
        <v>278.13299999999998</v>
      </c>
      <c r="G382" s="3" t="s">
        <v>335</v>
      </c>
    </row>
    <row r="384" spans="1:15" x14ac:dyDescent="0.25">
      <c r="A384" s="3" t="s">
        <v>0</v>
      </c>
      <c r="B384" s="3" t="s">
        <v>1</v>
      </c>
      <c r="C384" s="3" t="s">
        <v>337</v>
      </c>
      <c r="D384" s="189" t="s">
        <v>332</v>
      </c>
      <c r="E384" s="3" t="s">
        <v>333</v>
      </c>
      <c r="F384" s="189" t="s">
        <v>334</v>
      </c>
    </row>
    <row r="385" spans="1:15" ht="20" thickBot="1" x14ac:dyDescent="0.3">
      <c r="A385" s="3" t="s">
        <v>2</v>
      </c>
      <c r="B385" s="3" t="s">
        <v>3</v>
      </c>
      <c r="C385" s="3" t="s">
        <v>4</v>
      </c>
      <c r="D385" s="189" t="s">
        <v>5</v>
      </c>
      <c r="E385" s="3" t="s">
        <v>6</v>
      </c>
      <c r="F385" s="189" t="s">
        <v>7</v>
      </c>
    </row>
    <row r="386" spans="1:15" x14ac:dyDescent="0.25">
      <c r="A386" s="3" t="s">
        <v>71</v>
      </c>
      <c r="B386" s="3" t="s">
        <v>333</v>
      </c>
      <c r="C386" s="3">
        <v>10</v>
      </c>
      <c r="D386" s="189">
        <v>537952.09900000005</v>
      </c>
      <c r="E386" s="3" t="s">
        <v>10</v>
      </c>
      <c r="F386" s="189">
        <v>6263.1019999999999</v>
      </c>
      <c r="G386" s="3" t="s">
        <v>335</v>
      </c>
      <c r="J386" s="5" t="s">
        <v>338</v>
      </c>
      <c r="K386" s="72" t="s">
        <v>340</v>
      </c>
      <c r="L386" s="72" t="s">
        <v>341</v>
      </c>
      <c r="M386" s="17" t="s">
        <v>162</v>
      </c>
      <c r="N386" s="72" t="s">
        <v>342</v>
      </c>
      <c r="O386" s="21" t="s">
        <v>162</v>
      </c>
    </row>
    <row r="387" spans="1:15" x14ac:dyDescent="0.25">
      <c r="A387" s="3" t="s">
        <v>72</v>
      </c>
      <c r="B387" s="3" t="s">
        <v>333</v>
      </c>
      <c r="C387" s="3">
        <v>10</v>
      </c>
      <c r="D387" s="189">
        <v>552028.38699999999</v>
      </c>
      <c r="E387" s="3" t="s">
        <v>10</v>
      </c>
      <c r="F387" s="189">
        <v>4737.8590000000004</v>
      </c>
      <c r="G387" s="3" t="s">
        <v>335</v>
      </c>
      <c r="J387" s="6">
        <v>100000</v>
      </c>
      <c r="K387" s="119">
        <f>D386</f>
        <v>537952.09900000005</v>
      </c>
      <c r="L387" s="119">
        <f>D387</f>
        <v>552028.38699999999</v>
      </c>
      <c r="M387" s="18">
        <f>(K387/L387-1)</f>
        <v>-2.549921042375658E-2</v>
      </c>
      <c r="N387" s="73">
        <f>D388</f>
        <v>375053.06699999998</v>
      </c>
      <c r="O387" s="22">
        <f>(K387/N387-1)</f>
        <v>0.43433595491701471</v>
      </c>
    </row>
    <row r="388" spans="1:15" x14ac:dyDescent="0.25">
      <c r="A388" s="3" t="s">
        <v>73</v>
      </c>
      <c r="B388" s="3" t="s">
        <v>333</v>
      </c>
      <c r="C388" s="3">
        <v>10</v>
      </c>
      <c r="D388" s="189">
        <v>375053.06699999998</v>
      </c>
      <c r="E388" s="3" t="s">
        <v>10</v>
      </c>
      <c r="F388" s="189">
        <v>2511.9290000000001</v>
      </c>
      <c r="G388" s="3" t="s">
        <v>335</v>
      </c>
      <c r="J388" s="6">
        <v>50000</v>
      </c>
      <c r="K388" s="119">
        <f>D389</f>
        <v>262049.34299999999</v>
      </c>
      <c r="L388" s="119">
        <f>D390</f>
        <v>267493.80300000001</v>
      </c>
      <c r="M388" s="18">
        <f t="shared" ref="M388:M391" si="2">(K388/L388-1)</f>
        <v>-2.035359301389128E-2</v>
      </c>
      <c r="N388" s="73">
        <f>D391</f>
        <v>178646.747</v>
      </c>
      <c r="O388" s="22">
        <f t="shared" ref="O388:O391" si="3">(K388/N388-1)</f>
        <v>0.46685762489702642</v>
      </c>
    </row>
    <row r="389" spans="1:15" x14ac:dyDescent="0.25">
      <c r="A389" s="3" t="s">
        <v>74</v>
      </c>
      <c r="B389" s="3" t="s">
        <v>333</v>
      </c>
      <c r="C389" s="3">
        <v>10</v>
      </c>
      <c r="D389" s="189">
        <v>262049.34299999999</v>
      </c>
      <c r="E389" s="3" t="s">
        <v>10</v>
      </c>
      <c r="F389" s="189">
        <v>2159.1080000000002</v>
      </c>
      <c r="G389" s="3" t="s">
        <v>335</v>
      </c>
      <c r="J389" s="6">
        <v>10000</v>
      </c>
      <c r="K389" s="119">
        <f>D392</f>
        <v>47773.332000000002</v>
      </c>
      <c r="L389" s="119">
        <f>D393</f>
        <v>46469.5</v>
      </c>
      <c r="M389" s="18">
        <f t="shared" si="2"/>
        <v>2.805780135357594E-2</v>
      </c>
      <c r="N389" s="73">
        <f>D394</f>
        <v>26410.078000000001</v>
      </c>
      <c r="O389" s="22">
        <f t="shared" si="3"/>
        <v>0.80890537316853051</v>
      </c>
    </row>
    <row r="390" spans="1:15" x14ac:dyDescent="0.25">
      <c r="A390" s="3" t="s">
        <v>75</v>
      </c>
      <c r="B390" s="3" t="s">
        <v>333</v>
      </c>
      <c r="C390" s="3">
        <v>10</v>
      </c>
      <c r="D390" s="189">
        <v>267493.80300000001</v>
      </c>
      <c r="E390" s="3" t="s">
        <v>10</v>
      </c>
      <c r="F390" s="189">
        <v>2952.826</v>
      </c>
      <c r="G390" s="3" t="s">
        <v>335</v>
      </c>
      <c r="J390" s="6">
        <v>1000</v>
      </c>
      <c r="K390" s="119">
        <f>D395</f>
        <v>6023.0709999999999</v>
      </c>
      <c r="L390" s="119">
        <f>D396</f>
        <v>5917.3469999999998</v>
      </c>
      <c r="M390" s="18">
        <f t="shared" si="2"/>
        <v>1.7866790641143826E-2</v>
      </c>
      <c r="N390" s="73">
        <f>D397</f>
        <v>2682.3180000000002</v>
      </c>
      <c r="O390" s="22">
        <f t="shared" si="3"/>
        <v>1.2454723861973114</v>
      </c>
    </row>
    <row r="391" spans="1:15" ht="20" thickBot="1" x14ac:dyDescent="0.3">
      <c r="A391" s="3" t="s">
        <v>76</v>
      </c>
      <c r="B391" s="3" t="s">
        <v>333</v>
      </c>
      <c r="C391" s="3">
        <v>10</v>
      </c>
      <c r="D391" s="189">
        <v>178646.747</v>
      </c>
      <c r="E391" s="3" t="s">
        <v>10</v>
      </c>
      <c r="F391" s="189">
        <v>2457.808</v>
      </c>
      <c r="G391" s="3" t="s">
        <v>335</v>
      </c>
      <c r="J391" s="7">
        <v>100</v>
      </c>
      <c r="K391" s="120">
        <f>D398</f>
        <v>486.07299999999998</v>
      </c>
      <c r="L391" s="120">
        <f>D399</f>
        <v>395.67500000000001</v>
      </c>
      <c r="M391" s="19">
        <f t="shared" si="2"/>
        <v>0.22846528084918161</v>
      </c>
      <c r="N391" s="74">
        <f>D400</f>
        <v>317.56200000000001</v>
      </c>
      <c r="O391" s="23">
        <f t="shared" si="3"/>
        <v>0.5306396861085394</v>
      </c>
    </row>
    <row r="392" spans="1:15" x14ac:dyDescent="0.25">
      <c r="A392" s="3" t="s">
        <v>77</v>
      </c>
      <c r="B392" s="3" t="s">
        <v>333</v>
      </c>
      <c r="C392" s="3">
        <v>10</v>
      </c>
      <c r="D392" s="189">
        <v>47773.332000000002</v>
      </c>
      <c r="E392" s="3" t="s">
        <v>10</v>
      </c>
      <c r="F392" s="189">
        <v>437.108</v>
      </c>
      <c r="G392" s="3" t="s">
        <v>335</v>
      </c>
    </row>
    <row r="393" spans="1:15" x14ac:dyDescent="0.25">
      <c r="A393" s="3" t="s">
        <v>78</v>
      </c>
      <c r="B393" s="3" t="s">
        <v>333</v>
      </c>
      <c r="C393" s="3">
        <v>10</v>
      </c>
      <c r="D393" s="189">
        <v>46469.5</v>
      </c>
      <c r="E393" s="3" t="s">
        <v>10</v>
      </c>
      <c r="F393" s="189">
        <v>202.70099999999999</v>
      </c>
      <c r="G393" s="3" t="s">
        <v>335</v>
      </c>
    </row>
    <row r="394" spans="1:15" x14ac:dyDescent="0.25">
      <c r="A394" s="3" t="s">
        <v>79</v>
      </c>
      <c r="B394" s="3" t="s">
        <v>333</v>
      </c>
      <c r="C394" s="3">
        <v>10</v>
      </c>
      <c r="D394" s="189">
        <v>26410.078000000001</v>
      </c>
      <c r="E394" s="3" t="s">
        <v>10</v>
      </c>
      <c r="F394" s="189">
        <v>864.58900000000006</v>
      </c>
      <c r="G394" s="3" t="s">
        <v>335</v>
      </c>
    </row>
    <row r="395" spans="1:15" x14ac:dyDescent="0.25">
      <c r="A395" s="3" t="s">
        <v>80</v>
      </c>
      <c r="B395" s="3" t="s">
        <v>333</v>
      </c>
      <c r="C395" s="3">
        <v>10</v>
      </c>
      <c r="D395" s="189">
        <v>6023.0709999999999</v>
      </c>
      <c r="E395" s="3" t="s">
        <v>10</v>
      </c>
      <c r="F395" s="189">
        <v>30.812999999999999</v>
      </c>
      <c r="G395" s="3" t="s">
        <v>335</v>
      </c>
    </row>
    <row r="396" spans="1:15" x14ac:dyDescent="0.25">
      <c r="A396" s="3" t="s">
        <v>81</v>
      </c>
      <c r="B396" s="3" t="s">
        <v>333</v>
      </c>
      <c r="C396" s="3">
        <v>10</v>
      </c>
      <c r="D396" s="189">
        <v>5917.3469999999998</v>
      </c>
      <c r="E396" s="3" t="s">
        <v>10</v>
      </c>
      <c r="F396" s="189">
        <v>89.37</v>
      </c>
      <c r="G396" s="3" t="s">
        <v>335</v>
      </c>
    </row>
    <row r="397" spans="1:15" x14ac:dyDescent="0.25">
      <c r="A397" s="3" t="s">
        <v>82</v>
      </c>
      <c r="B397" s="3" t="s">
        <v>333</v>
      </c>
      <c r="C397" s="3">
        <v>10</v>
      </c>
      <c r="D397" s="189">
        <v>2682.3180000000002</v>
      </c>
      <c r="E397" s="3" t="s">
        <v>10</v>
      </c>
      <c r="F397" s="189">
        <v>97.974000000000004</v>
      </c>
      <c r="G397" s="3" t="s">
        <v>335</v>
      </c>
    </row>
    <row r="398" spans="1:15" x14ac:dyDescent="0.25">
      <c r="A398" s="3" t="s">
        <v>83</v>
      </c>
      <c r="B398" s="3" t="s">
        <v>333</v>
      </c>
      <c r="C398" s="3">
        <v>10</v>
      </c>
      <c r="D398" s="189">
        <v>486.07299999999998</v>
      </c>
      <c r="E398" s="3" t="s">
        <v>10</v>
      </c>
      <c r="F398" s="189">
        <v>1.5329999999999999</v>
      </c>
      <c r="G398" s="3" t="s">
        <v>335</v>
      </c>
    </row>
    <row r="399" spans="1:15" x14ac:dyDescent="0.25">
      <c r="A399" s="3" t="s">
        <v>84</v>
      </c>
      <c r="B399" s="3" t="s">
        <v>333</v>
      </c>
      <c r="C399" s="3">
        <v>10</v>
      </c>
      <c r="D399" s="189">
        <v>395.67500000000001</v>
      </c>
      <c r="E399" s="3" t="s">
        <v>10</v>
      </c>
      <c r="F399" s="189">
        <v>2.2269999999999999</v>
      </c>
      <c r="G399" s="3" t="s">
        <v>335</v>
      </c>
    </row>
    <row r="400" spans="1:15" x14ac:dyDescent="0.25">
      <c r="A400" s="3" t="s">
        <v>85</v>
      </c>
      <c r="B400" s="3" t="s">
        <v>333</v>
      </c>
      <c r="C400" s="3">
        <v>10</v>
      </c>
      <c r="D400" s="189">
        <v>317.56200000000001</v>
      </c>
      <c r="E400" s="3" t="s">
        <v>10</v>
      </c>
      <c r="F400" s="189">
        <v>21.170999999999999</v>
      </c>
      <c r="G400" s="3" t="s">
        <v>335</v>
      </c>
    </row>
    <row r="402" spans="1:15" x14ac:dyDescent="0.25">
      <c r="A402" s="3" t="s">
        <v>0</v>
      </c>
      <c r="B402" s="3" t="s">
        <v>1</v>
      </c>
      <c r="C402" s="3" t="s">
        <v>337</v>
      </c>
      <c r="D402" s="189" t="s">
        <v>332</v>
      </c>
      <c r="E402" s="3" t="s">
        <v>333</v>
      </c>
      <c r="F402" s="189" t="s">
        <v>334</v>
      </c>
    </row>
    <row r="403" spans="1:15" ht="20" thickBot="1" x14ac:dyDescent="0.3">
      <c r="A403" s="3" t="s">
        <v>2</v>
      </c>
      <c r="B403" s="3" t="s">
        <v>3</v>
      </c>
      <c r="C403" s="3" t="s">
        <v>4</v>
      </c>
      <c r="D403" s="189" t="s">
        <v>5</v>
      </c>
      <c r="E403" s="3" t="s">
        <v>6</v>
      </c>
      <c r="F403" s="189" t="s">
        <v>7</v>
      </c>
    </row>
    <row r="404" spans="1:15" x14ac:dyDescent="0.25">
      <c r="A404" s="3" t="s">
        <v>86</v>
      </c>
      <c r="B404" s="3" t="s">
        <v>333</v>
      </c>
      <c r="C404" s="3">
        <v>10</v>
      </c>
      <c r="D404" s="189">
        <v>993975.59400000004</v>
      </c>
      <c r="E404" s="3" t="s">
        <v>10</v>
      </c>
      <c r="F404" s="189">
        <v>27069.672999999999</v>
      </c>
      <c r="G404" s="3" t="s">
        <v>335</v>
      </c>
      <c r="J404" s="5" t="s">
        <v>339</v>
      </c>
      <c r="K404" s="72" t="s">
        <v>340</v>
      </c>
      <c r="L404" s="72" t="s">
        <v>341</v>
      </c>
      <c r="M404" s="17" t="s">
        <v>162</v>
      </c>
      <c r="N404" s="72" t="s">
        <v>342</v>
      </c>
      <c r="O404" s="21" t="s">
        <v>162</v>
      </c>
    </row>
    <row r="405" spans="1:15" x14ac:dyDescent="0.25">
      <c r="A405" s="3" t="s">
        <v>87</v>
      </c>
      <c r="B405" s="3" t="s">
        <v>333</v>
      </c>
      <c r="C405" s="3">
        <v>10</v>
      </c>
      <c r="D405" s="189">
        <v>818568.63600000006</v>
      </c>
      <c r="E405" s="3" t="s">
        <v>10</v>
      </c>
      <c r="F405" s="189">
        <v>23021.528999999999</v>
      </c>
      <c r="G405" s="3" t="s">
        <v>335</v>
      </c>
      <c r="J405" s="6">
        <v>100000</v>
      </c>
      <c r="K405" s="119">
        <f>D404</f>
        <v>993975.59400000004</v>
      </c>
      <c r="L405" s="119">
        <f>D405</f>
        <v>818568.63600000006</v>
      </c>
      <c r="M405" s="18">
        <f>(K405/L405-1)</f>
        <v>0.2142849729219285</v>
      </c>
      <c r="N405" s="73">
        <f>D406</f>
        <v>589703.30900000001</v>
      </c>
      <c r="O405" s="22">
        <f>(K405/N405-1)</f>
        <v>0.68555200357541146</v>
      </c>
    </row>
    <row r="406" spans="1:15" x14ac:dyDescent="0.25">
      <c r="A406" s="3" t="s">
        <v>88</v>
      </c>
      <c r="B406" s="3" t="s">
        <v>333</v>
      </c>
      <c r="C406" s="3">
        <v>10</v>
      </c>
      <c r="D406" s="189">
        <v>589703.30900000001</v>
      </c>
      <c r="E406" s="3" t="s">
        <v>10</v>
      </c>
      <c r="F406" s="189">
        <v>6442.1589999999997</v>
      </c>
      <c r="G406" s="3" t="s">
        <v>335</v>
      </c>
      <c r="J406" s="6">
        <v>50000</v>
      </c>
      <c r="K406" s="119">
        <f>D407</f>
        <v>466078.386</v>
      </c>
      <c r="L406" s="119">
        <f>D408</f>
        <v>386554.74800000002</v>
      </c>
      <c r="M406" s="18">
        <f t="shared" ref="M406:M409" si="4">(K406/L406-1)</f>
        <v>0.20572412681890007</v>
      </c>
      <c r="N406" s="73">
        <f>D409</f>
        <v>286015.32299999997</v>
      </c>
      <c r="O406" s="22">
        <f t="shared" ref="O406:O409" si="5">(K406/N406-1)</f>
        <v>0.62955739962225743</v>
      </c>
    </row>
    <row r="407" spans="1:15" x14ac:dyDescent="0.25">
      <c r="A407" s="3" t="s">
        <v>89</v>
      </c>
      <c r="B407" s="3" t="s">
        <v>333</v>
      </c>
      <c r="C407" s="3">
        <v>10</v>
      </c>
      <c r="D407" s="189">
        <v>466078.386</v>
      </c>
      <c r="E407" s="3" t="s">
        <v>10</v>
      </c>
      <c r="F407" s="189">
        <v>5894.7309999999998</v>
      </c>
      <c r="G407" s="3" t="s">
        <v>335</v>
      </c>
      <c r="J407" s="6">
        <v>10000</v>
      </c>
      <c r="K407" s="119">
        <f>D410</f>
        <v>87474.792000000001</v>
      </c>
      <c r="L407" s="119">
        <f>D411</f>
        <v>73893.357999999993</v>
      </c>
      <c r="M407" s="18">
        <f t="shared" si="4"/>
        <v>0.18379776434033501</v>
      </c>
      <c r="N407" s="73">
        <f>D412</f>
        <v>52373.377</v>
      </c>
      <c r="O407" s="22">
        <f t="shared" si="5"/>
        <v>0.67021484980813817</v>
      </c>
    </row>
    <row r="408" spans="1:15" x14ac:dyDescent="0.25">
      <c r="A408" s="3" t="s">
        <v>90</v>
      </c>
      <c r="B408" s="3" t="s">
        <v>333</v>
      </c>
      <c r="C408" s="3">
        <v>10</v>
      </c>
      <c r="D408" s="189">
        <v>386554.74800000002</v>
      </c>
      <c r="E408" s="3" t="s">
        <v>10</v>
      </c>
      <c r="F408" s="189">
        <v>1220.6669999999999</v>
      </c>
      <c r="G408" s="3" t="s">
        <v>335</v>
      </c>
      <c r="J408" s="6">
        <v>1000</v>
      </c>
      <c r="K408" s="119">
        <f>D413</f>
        <v>8997.0779999999995</v>
      </c>
      <c r="L408" s="119">
        <f>D414</f>
        <v>5844.2030000000004</v>
      </c>
      <c r="M408" s="18">
        <f t="shared" si="4"/>
        <v>0.53948759137901248</v>
      </c>
      <c r="N408" s="73">
        <f>D415</f>
        <v>4742.5460000000003</v>
      </c>
      <c r="O408" s="22">
        <f t="shared" si="5"/>
        <v>0.89709873135653284</v>
      </c>
    </row>
    <row r="409" spans="1:15" ht="20" thickBot="1" x14ac:dyDescent="0.3">
      <c r="A409" s="3" t="s">
        <v>91</v>
      </c>
      <c r="B409" s="3" t="s">
        <v>333</v>
      </c>
      <c r="C409" s="3">
        <v>10</v>
      </c>
      <c r="D409" s="189">
        <v>286015.32299999997</v>
      </c>
      <c r="E409" s="3" t="s">
        <v>10</v>
      </c>
      <c r="F409" s="189">
        <v>1446.4010000000001</v>
      </c>
      <c r="G409" s="3" t="s">
        <v>335</v>
      </c>
      <c r="J409" s="7">
        <v>100</v>
      </c>
      <c r="K409" s="120">
        <f>D416</f>
        <v>930.68700000000001</v>
      </c>
      <c r="L409" s="120">
        <f>D417</f>
        <v>519.17999999999995</v>
      </c>
      <c r="M409" s="19">
        <f t="shared" si="4"/>
        <v>0.79260949959551619</v>
      </c>
      <c r="N409" s="74">
        <f>D418</f>
        <v>497.221</v>
      </c>
      <c r="O409" s="23">
        <f t="shared" si="5"/>
        <v>0.87177733844708882</v>
      </c>
    </row>
    <row r="410" spans="1:15" x14ac:dyDescent="0.25">
      <c r="A410" s="3" t="s">
        <v>92</v>
      </c>
      <c r="B410" s="3" t="s">
        <v>333</v>
      </c>
      <c r="C410" s="3">
        <v>10</v>
      </c>
      <c r="D410" s="189">
        <v>87474.792000000001</v>
      </c>
      <c r="E410" s="3" t="s">
        <v>10</v>
      </c>
      <c r="F410" s="189">
        <v>939.55</v>
      </c>
      <c r="G410" s="3" t="s">
        <v>335</v>
      </c>
    </row>
    <row r="411" spans="1:15" x14ac:dyDescent="0.25">
      <c r="A411" s="3" t="s">
        <v>93</v>
      </c>
      <c r="B411" s="3" t="s">
        <v>333</v>
      </c>
      <c r="C411" s="3">
        <v>10</v>
      </c>
      <c r="D411" s="189">
        <v>73893.357999999993</v>
      </c>
      <c r="E411" s="3" t="s">
        <v>10</v>
      </c>
      <c r="F411" s="189">
        <v>854.06</v>
      </c>
      <c r="G411" s="3" t="s">
        <v>335</v>
      </c>
    </row>
    <row r="412" spans="1:15" x14ac:dyDescent="0.25">
      <c r="A412" s="3" t="s">
        <v>94</v>
      </c>
      <c r="B412" s="3" t="s">
        <v>333</v>
      </c>
      <c r="C412" s="3">
        <v>10</v>
      </c>
      <c r="D412" s="189">
        <v>52373.377</v>
      </c>
      <c r="E412" s="3" t="s">
        <v>10</v>
      </c>
      <c r="F412" s="189">
        <v>811.21900000000005</v>
      </c>
      <c r="G412" s="3" t="s">
        <v>335</v>
      </c>
    </row>
    <row r="413" spans="1:15" x14ac:dyDescent="0.25">
      <c r="A413" s="3" t="s">
        <v>95</v>
      </c>
      <c r="B413" s="3" t="s">
        <v>333</v>
      </c>
      <c r="C413" s="3">
        <v>10</v>
      </c>
      <c r="D413" s="189">
        <v>8997.0779999999995</v>
      </c>
      <c r="E413" s="3" t="s">
        <v>10</v>
      </c>
      <c r="F413" s="189">
        <v>133.51499999999999</v>
      </c>
      <c r="G413" s="3" t="s">
        <v>335</v>
      </c>
    </row>
    <row r="414" spans="1:15" x14ac:dyDescent="0.25">
      <c r="A414" s="3" t="s">
        <v>96</v>
      </c>
      <c r="B414" s="3" t="s">
        <v>333</v>
      </c>
      <c r="C414" s="3">
        <v>10</v>
      </c>
      <c r="D414" s="189">
        <v>5844.2030000000004</v>
      </c>
      <c r="E414" s="3" t="s">
        <v>10</v>
      </c>
      <c r="F414" s="189">
        <v>38.914000000000001</v>
      </c>
      <c r="G414" s="3" t="s">
        <v>335</v>
      </c>
    </row>
    <row r="415" spans="1:15" x14ac:dyDescent="0.25">
      <c r="A415" s="3" t="s">
        <v>97</v>
      </c>
      <c r="B415" s="3" t="s">
        <v>333</v>
      </c>
      <c r="C415" s="3">
        <v>10</v>
      </c>
      <c r="D415" s="189">
        <v>4742.5460000000003</v>
      </c>
      <c r="E415" s="3" t="s">
        <v>10</v>
      </c>
      <c r="F415" s="189">
        <v>74.34</v>
      </c>
      <c r="G415" s="3" t="s">
        <v>335</v>
      </c>
    </row>
    <row r="416" spans="1:15" x14ac:dyDescent="0.25">
      <c r="A416" s="3" t="s">
        <v>98</v>
      </c>
      <c r="B416" s="3" t="s">
        <v>333</v>
      </c>
      <c r="C416" s="3">
        <v>10</v>
      </c>
      <c r="D416" s="189">
        <v>930.68700000000001</v>
      </c>
      <c r="E416" s="3" t="s">
        <v>10</v>
      </c>
      <c r="F416" s="189">
        <v>4.26</v>
      </c>
      <c r="G416" s="3" t="s">
        <v>335</v>
      </c>
    </row>
    <row r="417" spans="1:17" x14ac:dyDescent="0.25">
      <c r="A417" s="3" t="s">
        <v>99</v>
      </c>
      <c r="B417" s="3" t="s">
        <v>333</v>
      </c>
      <c r="C417" s="3">
        <v>10</v>
      </c>
      <c r="D417" s="189">
        <v>519.17999999999995</v>
      </c>
      <c r="E417" s="3" t="s">
        <v>10</v>
      </c>
      <c r="F417" s="189">
        <v>4.1630000000000003</v>
      </c>
      <c r="G417" s="3" t="s">
        <v>335</v>
      </c>
    </row>
    <row r="418" spans="1:17" x14ac:dyDescent="0.25">
      <c r="A418" s="3" t="s">
        <v>100</v>
      </c>
      <c r="B418" s="3" t="s">
        <v>333</v>
      </c>
      <c r="C418" s="3">
        <v>10</v>
      </c>
      <c r="D418" s="189">
        <v>497.221</v>
      </c>
      <c r="E418" s="3" t="s">
        <v>10</v>
      </c>
      <c r="F418" s="189">
        <v>9.1910000000000007</v>
      </c>
      <c r="G418" s="3" t="s">
        <v>335</v>
      </c>
    </row>
    <row r="420" spans="1:17" x14ac:dyDescent="0.25">
      <c r="A420" s="30" t="s">
        <v>0</v>
      </c>
      <c r="B420" s="30" t="s">
        <v>1</v>
      </c>
      <c r="C420" s="30" t="s">
        <v>345</v>
      </c>
      <c r="D420" s="190" t="s">
        <v>332</v>
      </c>
      <c r="E420" s="30" t="s">
        <v>333</v>
      </c>
      <c r="F420" s="190" t="s">
        <v>334</v>
      </c>
      <c r="G420" s="30"/>
      <c r="H420" s="30"/>
    </row>
    <row r="421" spans="1:17" ht="20" thickBot="1" x14ac:dyDescent="0.3">
      <c r="A421" s="30" t="s">
        <v>2</v>
      </c>
      <c r="B421" s="30" t="s">
        <v>3</v>
      </c>
      <c r="C421" s="30" t="s">
        <v>4</v>
      </c>
      <c r="D421" s="190" t="s">
        <v>5</v>
      </c>
      <c r="E421" s="30" t="s">
        <v>6</v>
      </c>
      <c r="F421" s="190" t="s">
        <v>7</v>
      </c>
      <c r="G421" s="30"/>
      <c r="H421" s="30"/>
    </row>
    <row r="422" spans="1:17" x14ac:dyDescent="0.25">
      <c r="A422" s="30" t="s">
        <v>101</v>
      </c>
      <c r="B422" s="30" t="s">
        <v>333</v>
      </c>
      <c r="C422" s="30">
        <v>10</v>
      </c>
      <c r="D422" s="190">
        <v>1291048.294</v>
      </c>
      <c r="E422" s="30" t="s">
        <v>10</v>
      </c>
      <c r="F422" s="190">
        <v>22010.718000000001</v>
      </c>
      <c r="G422" s="30" t="s">
        <v>335</v>
      </c>
      <c r="H422" s="30"/>
      <c r="J422" s="5" t="s">
        <v>169</v>
      </c>
      <c r="K422" s="72" t="s">
        <v>344</v>
      </c>
      <c r="L422" s="72" t="s">
        <v>341</v>
      </c>
      <c r="M422" s="17" t="s">
        <v>162</v>
      </c>
      <c r="N422" s="72" t="s">
        <v>343</v>
      </c>
      <c r="O422" s="21" t="s">
        <v>162</v>
      </c>
      <c r="P422" s="72" t="s">
        <v>342</v>
      </c>
      <c r="Q422" s="21" t="s">
        <v>162</v>
      </c>
    </row>
    <row r="423" spans="1:17" x14ac:dyDescent="0.25">
      <c r="A423" s="30" t="s">
        <v>102</v>
      </c>
      <c r="B423" s="30" t="s">
        <v>333</v>
      </c>
      <c r="C423" s="30">
        <v>10</v>
      </c>
      <c r="D423" s="190">
        <v>3059346.07</v>
      </c>
      <c r="E423" s="30" t="s">
        <v>10</v>
      </c>
      <c r="F423" s="190">
        <v>74565.989000000001</v>
      </c>
      <c r="G423" s="30" t="s">
        <v>335</v>
      </c>
      <c r="H423" s="30"/>
      <c r="J423" s="6">
        <v>100000</v>
      </c>
      <c r="K423" s="119">
        <f>D422</f>
        <v>1291048.294</v>
      </c>
      <c r="L423" s="119">
        <f>D423</f>
        <v>3059346.07</v>
      </c>
      <c r="M423" s="18">
        <f>(K423/L423-1)</f>
        <v>-0.57799861001014508</v>
      </c>
      <c r="N423" s="73">
        <f>D424</f>
        <v>3116360.9530000002</v>
      </c>
      <c r="O423" s="22">
        <f>(K423/N423-1)</f>
        <v>-0.58571926889368908</v>
      </c>
      <c r="P423" s="73">
        <f>D425</f>
        <v>1715183.1270000001</v>
      </c>
      <c r="Q423" s="22">
        <f>(K423/P423-1)</f>
        <v>-0.24728253579654069</v>
      </c>
    </row>
    <row r="424" spans="1:17" x14ac:dyDescent="0.25">
      <c r="A424" s="30" t="s">
        <v>103</v>
      </c>
      <c r="B424" s="30" t="s">
        <v>333</v>
      </c>
      <c r="C424" s="30">
        <v>10</v>
      </c>
      <c r="D424" s="190">
        <v>3116360.9530000002</v>
      </c>
      <c r="E424" s="30" t="s">
        <v>10</v>
      </c>
      <c r="F424" s="190">
        <v>29744.732</v>
      </c>
      <c r="G424" s="30" t="s">
        <v>335</v>
      </c>
      <c r="H424" s="30"/>
      <c r="J424" s="6">
        <v>50000</v>
      </c>
      <c r="K424" s="119">
        <f>D426</f>
        <v>613397.21600000001</v>
      </c>
      <c r="L424" s="119">
        <f>D427</f>
        <v>1505125.03</v>
      </c>
      <c r="M424" s="18">
        <f t="shared" ref="M424:M426" si="6">(K424/L424-1)</f>
        <v>-0.59246095588484105</v>
      </c>
      <c r="N424" s="73">
        <f>D428</f>
        <v>1521824.5919999999</v>
      </c>
      <c r="O424" s="22">
        <f t="shared" ref="O424:O427" si="7">(K424/N424-1)</f>
        <v>-0.59693303733916792</v>
      </c>
      <c r="P424" s="73">
        <f>D429</f>
        <v>819986.26399999997</v>
      </c>
      <c r="Q424" s="22">
        <f t="shared" ref="Q424:Q426" si="8">(K424/P424-1)</f>
        <v>-0.2519420837517834</v>
      </c>
    </row>
    <row r="425" spans="1:17" x14ac:dyDescent="0.25">
      <c r="A425" s="30" t="s">
        <v>104</v>
      </c>
      <c r="B425" s="30" t="s">
        <v>333</v>
      </c>
      <c r="C425" s="30">
        <v>10</v>
      </c>
      <c r="D425" s="190">
        <v>1715183.1270000001</v>
      </c>
      <c r="E425" s="30" t="s">
        <v>10</v>
      </c>
      <c r="F425" s="190">
        <v>19804.46</v>
      </c>
      <c r="G425" s="30" t="s">
        <v>335</v>
      </c>
      <c r="H425" s="30"/>
      <c r="J425" s="6">
        <v>10000</v>
      </c>
      <c r="K425" s="119">
        <f>D430</f>
        <v>105969.094</v>
      </c>
      <c r="L425" s="119">
        <f>D431</f>
        <v>263647.01400000002</v>
      </c>
      <c r="M425" s="18">
        <f t="shared" si="6"/>
        <v>-0.59806450150047974</v>
      </c>
      <c r="N425" s="73">
        <f>D432</f>
        <v>255743.66399999999</v>
      </c>
      <c r="O425" s="22">
        <f t="shared" si="7"/>
        <v>-0.58564332604541081</v>
      </c>
      <c r="P425" s="73">
        <f>D433</f>
        <v>153925.56200000001</v>
      </c>
      <c r="Q425" s="22">
        <f t="shared" si="8"/>
        <v>-0.31155623131653731</v>
      </c>
    </row>
    <row r="426" spans="1:17" x14ac:dyDescent="0.25">
      <c r="A426" s="30" t="s">
        <v>117</v>
      </c>
      <c r="B426" s="30" t="s">
        <v>333</v>
      </c>
      <c r="C426" s="30">
        <v>10</v>
      </c>
      <c r="D426" s="190">
        <v>613397.21600000001</v>
      </c>
      <c r="E426" s="30" t="s">
        <v>10</v>
      </c>
      <c r="F426" s="190">
        <v>6862.5829999999996</v>
      </c>
      <c r="G426" s="30" t="s">
        <v>335</v>
      </c>
      <c r="H426" s="30"/>
      <c r="J426" s="6">
        <v>1000</v>
      </c>
      <c r="K426" s="119">
        <f>D434</f>
        <v>11174.199000000001</v>
      </c>
      <c r="L426" s="119">
        <f>D435</f>
        <v>15120.548000000001</v>
      </c>
      <c r="M426" s="18">
        <f t="shared" si="6"/>
        <v>-0.26099245873892929</v>
      </c>
      <c r="N426" s="73">
        <f>D436</f>
        <v>15674.986999999999</v>
      </c>
      <c r="O426" s="22">
        <f t="shared" si="7"/>
        <v>-0.28713184897697197</v>
      </c>
      <c r="P426" s="73">
        <f>D437</f>
        <v>11047.698</v>
      </c>
      <c r="Q426" s="22">
        <f t="shared" si="8"/>
        <v>1.1450439720564365E-2</v>
      </c>
    </row>
    <row r="427" spans="1:17" ht="20" thickBot="1" x14ac:dyDescent="0.3">
      <c r="A427" s="30" t="s">
        <v>118</v>
      </c>
      <c r="B427" s="30" t="s">
        <v>333</v>
      </c>
      <c r="C427" s="30">
        <v>10</v>
      </c>
      <c r="D427" s="190">
        <v>1505125.03</v>
      </c>
      <c r="E427" s="30" t="s">
        <v>10</v>
      </c>
      <c r="F427" s="190">
        <v>19279.956999999999</v>
      </c>
      <c r="G427" s="30" t="s">
        <v>335</v>
      </c>
      <c r="H427" s="30"/>
      <c r="J427" s="7">
        <v>100</v>
      </c>
      <c r="K427" s="120">
        <f>D438</f>
        <v>1017.705</v>
      </c>
      <c r="L427" s="120">
        <f>D439</f>
        <v>1420.3679999999999</v>
      </c>
      <c r="M427" s="19">
        <f>(K427/L427-1)</f>
        <v>-0.2834920246020749</v>
      </c>
      <c r="N427" s="74">
        <f>D440</f>
        <v>1615.4269999999999</v>
      </c>
      <c r="O427" s="23">
        <f t="shared" si="7"/>
        <v>-0.37000867262958947</v>
      </c>
      <c r="P427" s="74">
        <f>D441</f>
        <v>1178.395</v>
      </c>
      <c r="Q427" s="23">
        <f>(K427/P427-1)</f>
        <v>-0.13636344349729923</v>
      </c>
    </row>
    <row r="428" spans="1:17" x14ac:dyDescent="0.25">
      <c r="A428" s="30" t="s">
        <v>119</v>
      </c>
      <c r="B428" s="30" t="s">
        <v>333</v>
      </c>
      <c r="C428" s="30">
        <v>10</v>
      </c>
      <c r="D428" s="190">
        <v>1521824.5919999999</v>
      </c>
      <c r="E428" s="30" t="s">
        <v>10</v>
      </c>
      <c r="F428" s="190">
        <v>13108.468000000001</v>
      </c>
      <c r="G428" s="30" t="s">
        <v>335</v>
      </c>
      <c r="H428" s="30"/>
    </row>
    <row r="429" spans="1:17" x14ac:dyDescent="0.25">
      <c r="A429" s="30" t="s">
        <v>120</v>
      </c>
      <c r="B429" s="30" t="s">
        <v>333</v>
      </c>
      <c r="C429" s="30">
        <v>10</v>
      </c>
      <c r="D429" s="190">
        <v>819986.26399999997</v>
      </c>
      <c r="E429" s="30" t="s">
        <v>10</v>
      </c>
      <c r="F429" s="190">
        <v>10480.852000000001</v>
      </c>
      <c r="G429" s="30" t="s">
        <v>335</v>
      </c>
      <c r="H429" s="30"/>
    </row>
    <row r="430" spans="1:17" x14ac:dyDescent="0.25">
      <c r="A430" s="30" t="s">
        <v>105</v>
      </c>
      <c r="B430" s="30" t="s">
        <v>333</v>
      </c>
      <c r="C430" s="30">
        <v>10</v>
      </c>
      <c r="D430" s="190">
        <v>105969.094</v>
      </c>
      <c r="E430" s="30" t="s">
        <v>10</v>
      </c>
      <c r="F430" s="190">
        <v>971.05200000000002</v>
      </c>
      <c r="G430" s="30" t="s">
        <v>335</v>
      </c>
      <c r="H430" s="30"/>
    </row>
    <row r="431" spans="1:17" x14ac:dyDescent="0.25">
      <c r="A431" s="30" t="s">
        <v>106</v>
      </c>
      <c r="B431" s="30" t="s">
        <v>333</v>
      </c>
      <c r="C431" s="30">
        <v>10</v>
      </c>
      <c r="D431" s="190">
        <v>263647.01400000002</v>
      </c>
      <c r="E431" s="30" t="s">
        <v>10</v>
      </c>
      <c r="F431" s="190">
        <v>1845.8019999999999</v>
      </c>
      <c r="G431" s="30" t="s">
        <v>335</v>
      </c>
      <c r="H431" s="30"/>
    </row>
    <row r="432" spans="1:17" x14ac:dyDescent="0.25">
      <c r="A432" s="30" t="s">
        <v>107</v>
      </c>
      <c r="B432" s="30" t="s">
        <v>333</v>
      </c>
      <c r="C432" s="30">
        <v>10</v>
      </c>
      <c r="D432" s="190">
        <v>255743.66399999999</v>
      </c>
      <c r="E432" s="30" t="s">
        <v>10</v>
      </c>
      <c r="F432" s="190">
        <v>10558.019</v>
      </c>
      <c r="G432" s="30" t="s">
        <v>335</v>
      </c>
      <c r="H432" s="30"/>
    </row>
    <row r="433" spans="1:17" x14ac:dyDescent="0.25">
      <c r="A433" s="30" t="s">
        <v>108</v>
      </c>
      <c r="B433" s="30" t="s">
        <v>333</v>
      </c>
      <c r="C433" s="30">
        <v>10</v>
      </c>
      <c r="D433" s="190">
        <v>153925.56200000001</v>
      </c>
      <c r="E433" s="30" t="s">
        <v>10</v>
      </c>
      <c r="F433" s="190">
        <v>831.851</v>
      </c>
      <c r="G433" s="30" t="s">
        <v>335</v>
      </c>
      <c r="H433" s="30"/>
    </row>
    <row r="434" spans="1:17" x14ac:dyDescent="0.25">
      <c r="A434" s="30" t="s">
        <v>109</v>
      </c>
      <c r="B434" s="30" t="s">
        <v>333</v>
      </c>
      <c r="C434" s="30">
        <v>10</v>
      </c>
      <c r="D434" s="190">
        <v>11174.199000000001</v>
      </c>
      <c r="E434" s="30" t="s">
        <v>10</v>
      </c>
      <c r="F434" s="190">
        <v>60.77</v>
      </c>
      <c r="G434" s="30" t="s">
        <v>335</v>
      </c>
      <c r="H434" s="30"/>
    </row>
    <row r="435" spans="1:17" x14ac:dyDescent="0.25">
      <c r="A435" s="30" t="s">
        <v>110</v>
      </c>
      <c r="B435" s="30" t="s">
        <v>333</v>
      </c>
      <c r="C435" s="30">
        <v>10</v>
      </c>
      <c r="D435" s="190">
        <v>15120.548000000001</v>
      </c>
      <c r="E435" s="30" t="s">
        <v>10</v>
      </c>
      <c r="F435" s="190">
        <v>76.983999999999995</v>
      </c>
      <c r="G435" s="30" t="s">
        <v>335</v>
      </c>
      <c r="H435" s="30"/>
    </row>
    <row r="436" spans="1:17" x14ac:dyDescent="0.25">
      <c r="A436" s="30" t="s">
        <v>111</v>
      </c>
      <c r="B436" s="30" t="s">
        <v>333</v>
      </c>
      <c r="C436" s="30">
        <v>10</v>
      </c>
      <c r="D436" s="190">
        <v>15674.986999999999</v>
      </c>
      <c r="E436" s="30" t="s">
        <v>10</v>
      </c>
      <c r="F436" s="190">
        <v>176.05199999999999</v>
      </c>
      <c r="G436" s="30" t="s">
        <v>335</v>
      </c>
      <c r="H436" s="30"/>
    </row>
    <row r="437" spans="1:17" x14ac:dyDescent="0.25">
      <c r="A437" s="30" t="s">
        <v>112</v>
      </c>
      <c r="B437" s="30" t="s">
        <v>333</v>
      </c>
      <c r="C437" s="30">
        <v>10</v>
      </c>
      <c r="D437" s="190">
        <v>11047.698</v>
      </c>
      <c r="E437" s="30" t="s">
        <v>10</v>
      </c>
      <c r="F437" s="190">
        <v>121.264</v>
      </c>
      <c r="G437" s="30" t="s">
        <v>335</v>
      </c>
      <c r="H437" s="30"/>
    </row>
    <row r="438" spans="1:17" x14ac:dyDescent="0.25">
      <c r="A438" s="30" t="s">
        <v>113</v>
      </c>
      <c r="B438" s="30" t="s">
        <v>333</v>
      </c>
      <c r="C438" s="30">
        <v>10</v>
      </c>
      <c r="D438" s="190">
        <v>1017.705</v>
      </c>
      <c r="E438" s="30" t="s">
        <v>10</v>
      </c>
      <c r="F438" s="190">
        <v>3.4750000000000001</v>
      </c>
      <c r="G438" s="30" t="s">
        <v>335</v>
      </c>
      <c r="H438" s="30"/>
    </row>
    <row r="439" spans="1:17" x14ac:dyDescent="0.25">
      <c r="A439" s="30" t="s">
        <v>114</v>
      </c>
      <c r="B439" s="30" t="s">
        <v>333</v>
      </c>
      <c r="C439" s="30">
        <v>10</v>
      </c>
      <c r="D439" s="190">
        <v>1420.3679999999999</v>
      </c>
      <c r="E439" s="30" t="s">
        <v>10</v>
      </c>
      <c r="F439" s="190">
        <v>8.77</v>
      </c>
      <c r="G439" s="30" t="s">
        <v>335</v>
      </c>
      <c r="H439" s="30"/>
    </row>
    <row r="440" spans="1:17" x14ac:dyDescent="0.25">
      <c r="A440" s="30" t="s">
        <v>115</v>
      </c>
      <c r="B440" s="30" t="s">
        <v>333</v>
      </c>
      <c r="C440" s="30">
        <v>10</v>
      </c>
      <c r="D440" s="190">
        <v>1615.4269999999999</v>
      </c>
      <c r="E440" s="30" t="s">
        <v>10</v>
      </c>
      <c r="F440" s="190">
        <v>19.419</v>
      </c>
      <c r="G440" s="30" t="s">
        <v>335</v>
      </c>
      <c r="H440" s="30"/>
    </row>
    <row r="441" spans="1:17" x14ac:dyDescent="0.25">
      <c r="A441" s="30" t="s">
        <v>116</v>
      </c>
      <c r="B441" s="30" t="s">
        <v>333</v>
      </c>
      <c r="C441" s="30">
        <v>10</v>
      </c>
      <c r="D441" s="190">
        <v>1178.395</v>
      </c>
      <c r="E441" s="30" t="s">
        <v>10</v>
      </c>
      <c r="F441" s="190">
        <v>1.8080000000000001</v>
      </c>
      <c r="G441" s="30" t="s">
        <v>335</v>
      </c>
      <c r="H441" s="30"/>
    </row>
    <row r="442" spans="1:17" x14ac:dyDescent="0.25">
      <c r="A442" s="30"/>
      <c r="B442" s="30"/>
      <c r="C442" s="30"/>
      <c r="D442" s="190"/>
      <c r="E442" s="30"/>
      <c r="F442" s="190"/>
      <c r="G442" s="30"/>
      <c r="H442" s="30"/>
    </row>
    <row r="443" spans="1:17" x14ac:dyDescent="0.25">
      <c r="A443" s="30" t="s">
        <v>0</v>
      </c>
      <c r="B443" s="30" t="s">
        <v>1</v>
      </c>
      <c r="C443" s="30" t="s">
        <v>345</v>
      </c>
      <c r="D443" s="190" t="s">
        <v>332</v>
      </c>
      <c r="E443" s="30" t="s">
        <v>333</v>
      </c>
      <c r="F443" s="190" t="s">
        <v>334</v>
      </c>
      <c r="G443" s="30"/>
      <c r="H443" s="30"/>
    </row>
    <row r="444" spans="1:17" ht="20" thickBot="1" x14ac:dyDescent="0.3">
      <c r="A444" s="30" t="s">
        <v>2</v>
      </c>
      <c r="B444" s="30" t="s">
        <v>3</v>
      </c>
      <c r="C444" s="30" t="s">
        <v>4</v>
      </c>
      <c r="D444" s="190" t="s">
        <v>5</v>
      </c>
      <c r="E444" s="30" t="s">
        <v>6</v>
      </c>
      <c r="F444" s="190" t="s">
        <v>7</v>
      </c>
      <c r="G444" s="30"/>
      <c r="H444" s="30"/>
    </row>
    <row r="445" spans="1:17" x14ac:dyDescent="0.25">
      <c r="A445" s="30" t="s">
        <v>121</v>
      </c>
      <c r="B445" s="30" t="s">
        <v>333</v>
      </c>
      <c r="C445" s="30">
        <v>10</v>
      </c>
      <c r="D445" s="190">
        <v>3196795.2820000001</v>
      </c>
      <c r="E445" s="30" t="s">
        <v>10</v>
      </c>
      <c r="F445" s="190">
        <v>58455.216999999997</v>
      </c>
      <c r="G445" s="30" t="s">
        <v>335</v>
      </c>
      <c r="H445" s="30"/>
      <c r="J445" s="5" t="s">
        <v>170</v>
      </c>
      <c r="K445" s="72" t="s">
        <v>344</v>
      </c>
      <c r="L445" s="72" t="s">
        <v>341</v>
      </c>
      <c r="M445" s="17" t="s">
        <v>162</v>
      </c>
      <c r="N445" s="72" t="s">
        <v>343</v>
      </c>
      <c r="O445" s="21" t="s">
        <v>162</v>
      </c>
      <c r="P445" s="72" t="s">
        <v>342</v>
      </c>
      <c r="Q445" s="21" t="s">
        <v>162</v>
      </c>
    </row>
    <row r="446" spans="1:17" x14ac:dyDescent="0.25">
      <c r="A446" s="30" t="s">
        <v>122</v>
      </c>
      <c r="B446" s="30" t="s">
        <v>333</v>
      </c>
      <c r="C446" s="30">
        <v>10</v>
      </c>
      <c r="D446" s="190">
        <v>3781273.7850000001</v>
      </c>
      <c r="E446" s="30" t="s">
        <v>10</v>
      </c>
      <c r="F446" s="190">
        <v>40720.296999999999</v>
      </c>
      <c r="G446" s="30" t="s">
        <v>335</v>
      </c>
      <c r="H446" s="30"/>
      <c r="J446" s="6">
        <v>100000</v>
      </c>
      <c r="K446" s="119">
        <f>D445</f>
        <v>3196795.2820000001</v>
      </c>
      <c r="L446" s="119">
        <f>D446</f>
        <v>3781273.7850000001</v>
      </c>
      <c r="M446" s="18">
        <f>(K446/L446-1)</f>
        <v>-0.1545718549443782</v>
      </c>
      <c r="N446" s="73">
        <f>D447</f>
        <v>3552189.932</v>
      </c>
      <c r="O446" s="22">
        <f>(K446/N446-1)</f>
        <v>-0.10004945028372991</v>
      </c>
      <c r="P446" s="73">
        <f>D448</f>
        <v>3029072.4530000002</v>
      </c>
      <c r="Q446" s="22">
        <f>(K446/P446-1)</f>
        <v>5.5371019215432415E-2</v>
      </c>
    </row>
    <row r="447" spans="1:17" x14ac:dyDescent="0.25">
      <c r="A447" s="30" t="s">
        <v>123</v>
      </c>
      <c r="B447" s="30" t="s">
        <v>333</v>
      </c>
      <c r="C447" s="30">
        <v>10</v>
      </c>
      <c r="D447" s="190">
        <v>3552189.932</v>
      </c>
      <c r="E447" s="30" t="s">
        <v>10</v>
      </c>
      <c r="F447" s="190">
        <v>28808.885999999999</v>
      </c>
      <c r="G447" s="30" t="s">
        <v>335</v>
      </c>
      <c r="H447" s="30"/>
      <c r="J447" s="6">
        <v>50000</v>
      </c>
      <c r="K447" s="119">
        <f>D449</f>
        <v>1591969.5630000001</v>
      </c>
      <c r="L447" s="119">
        <f>D450</f>
        <v>1889767.59</v>
      </c>
      <c r="M447" s="18">
        <f t="shared" ref="M447:M450" si="9">(K447/L447-1)</f>
        <v>-0.15758447153811117</v>
      </c>
      <c r="N447" s="73">
        <f>D451</f>
        <v>1818810.9909999999</v>
      </c>
      <c r="O447" s="22">
        <f t="shared" ref="O447:O450" si="10">(K447/N447-1)</f>
        <v>-0.12471962679051118</v>
      </c>
      <c r="P447" s="73">
        <f>D452</f>
        <v>1578153.8389999999</v>
      </c>
      <c r="Q447" s="22">
        <f t="shared" ref="Q447:Q449" si="11">(K447/P447-1)</f>
        <v>8.7543581991693653E-3</v>
      </c>
    </row>
    <row r="448" spans="1:17" x14ac:dyDescent="0.25">
      <c r="A448" s="30" t="s">
        <v>124</v>
      </c>
      <c r="B448" s="30" t="s">
        <v>333</v>
      </c>
      <c r="C448" s="30">
        <v>10</v>
      </c>
      <c r="D448" s="190">
        <v>3029072.4530000002</v>
      </c>
      <c r="E448" s="30" t="s">
        <v>10</v>
      </c>
      <c r="F448" s="190">
        <v>20302.297999999999</v>
      </c>
      <c r="G448" s="30" t="s">
        <v>335</v>
      </c>
      <c r="H448" s="30"/>
      <c r="J448" s="6">
        <v>10000</v>
      </c>
      <c r="K448" s="119">
        <f>D453</f>
        <v>248312.682</v>
      </c>
      <c r="L448" s="119">
        <f>D454</f>
        <v>287590.79200000002</v>
      </c>
      <c r="M448" s="18">
        <f t="shared" si="9"/>
        <v>-0.13657638245942172</v>
      </c>
      <c r="N448" s="73">
        <f>D455</f>
        <v>279961.26400000002</v>
      </c>
      <c r="O448" s="22">
        <f t="shared" si="10"/>
        <v>-0.11304628914663006</v>
      </c>
      <c r="P448" s="73">
        <f>D456</f>
        <v>252830.951</v>
      </c>
      <c r="Q448" s="22">
        <f t="shared" si="11"/>
        <v>-1.7870711564898611E-2</v>
      </c>
    </row>
    <row r="449" spans="1:17" x14ac:dyDescent="0.25">
      <c r="A449" s="30" t="s">
        <v>137</v>
      </c>
      <c r="B449" s="30" t="s">
        <v>333</v>
      </c>
      <c r="C449" s="30">
        <v>10</v>
      </c>
      <c r="D449" s="190">
        <v>1591969.5630000001</v>
      </c>
      <c r="E449" s="30" t="s">
        <v>10</v>
      </c>
      <c r="F449" s="190">
        <v>17555.373</v>
      </c>
      <c r="G449" s="30" t="s">
        <v>335</v>
      </c>
      <c r="H449" s="30"/>
      <c r="J449" s="6">
        <v>1000</v>
      </c>
      <c r="K449" s="119">
        <f>D457</f>
        <v>23640.543000000001</v>
      </c>
      <c r="L449" s="119">
        <f>D458</f>
        <v>25204.781999999999</v>
      </c>
      <c r="M449" s="18">
        <f t="shared" si="9"/>
        <v>-6.2061199339077722E-2</v>
      </c>
      <c r="N449" s="73">
        <f>D459</f>
        <v>19787.734</v>
      </c>
      <c r="O449" s="22">
        <f t="shared" si="10"/>
        <v>0.19470693309299603</v>
      </c>
      <c r="P449" s="73">
        <f>D460</f>
        <v>20331.891</v>
      </c>
      <c r="Q449" s="22">
        <f t="shared" si="11"/>
        <v>0.16273213347445159</v>
      </c>
    </row>
    <row r="450" spans="1:17" ht="20" thickBot="1" x14ac:dyDescent="0.3">
      <c r="A450" s="30" t="s">
        <v>138</v>
      </c>
      <c r="B450" s="30" t="s">
        <v>333</v>
      </c>
      <c r="C450" s="30">
        <v>10</v>
      </c>
      <c r="D450" s="190">
        <v>1889767.59</v>
      </c>
      <c r="E450" s="30" t="s">
        <v>10</v>
      </c>
      <c r="F450" s="190">
        <v>12410.1</v>
      </c>
      <c r="G450" s="30" t="s">
        <v>335</v>
      </c>
      <c r="H450" s="30"/>
      <c r="J450" s="7">
        <v>100</v>
      </c>
      <c r="K450" s="120">
        <f>D461</f>
        <v>1995.22</v>
      </c>
      <c r="L450" s="120">
        <f>D462</f>
        <v>2015.3209999999999</v>
      </c>
      <c r="M450" s="19">
        <f t="shared" si="9"/>
        <v>-9.9740934570720086E-3</v>
      </c>
      <c r="N450" s="74">
        <f>D463</f>
        <v>1792.288</v>
      </c>
      <c r="O450" s="23">
        <f t="shared" si="10"/>
        <v>0.11322510667928376</v>
      </c>
      <c r="P450" s="74">
        <f>D464</f>
        <v>1733.0450000000001</v>
      </c>
      <c r="Q450" s="23">
        <f>(K450/P450-1)</f>
        <v>0.15127997253389269</v>
      </c>
    </row>
    <row r="451" spans="1:17" x14ac:dyDescent="0.25">
      <c r="A451" s="30" t="s">
        <v>139</v>
      </c>
      <c r="B451" s="30" t="s">
        <v>333</v>
      </c>
      <c r="C451" s="30">
        <v>10</v>
      </c>
      <c r="D451" s="190">
        <v>1818810.9909999999</v>
      </c>
      <c r="E451" s="30" t="s">
        <v>10</v>
      </c>
      <c r="F451" s="190">
        <v>19277.420999999998</v>
      </c>
      <c r="G451" s="30" t="s">
        <v>335</v>
      </c>
      <c r="H451" s="30"/>
    </row>
    <row r="452" spans="1:17" x14ac:dyDescent="0.25">
      <c r="A452" s="30" t="s">
        <v>140</v>
      </c>
      <c r="B452" s="30" t="s">
        <v>333</v>
      </c>
      <c r="C452" s="30">
        <v>10</v>
      </c>
      <c r="D452" s="190">
        <v>1578153.8389999999</v>
      </c>
      <c r="E452" s="30" t="s">
        <v>10</v>
      </c>
      <c r="F452" s="190">
        <v>25112.138999999999</v>
      </c>
      <c r="G452" s="30" t="s">
        <v>335</v>
      </c>
      <c r="H452" s="30"/>
    </row>
    <row r="453" spans="1:17" x14ac:dyDescent="0.25">
      <c r="A453" s="30" t="s">
        <v>125</v>
      </c>
      <c r="B453" s="30" t="s">
        <v>333</v>
      </c>
      <c r="C453" s="30">
        <v>10</v>
      </c>
      <c r="D453" s="190">
        <v>248312.682</v>
      </c>
      <c r="E453" s="30" t="s">
        <v>10</v>
      </c>
      <c r="F453" s="190">
        <v>2863.3049999999998</v>
      </c>
      <c r="G453" s="30" t="s">
        <v>335</v>
      </c>
      <c r="H453" s="30"/>
    </row>
    <row r="454" spans="1:17" x14ac:dyDescent="0.25">
      <c r="A454" s="30" t="s">
        <v>126</v>
      </c>
      <c r="B454" s="30" t="s">
        <v>333</v>
      </c>
      <c r="C454" s="30">
        <v>10</v>
      </c>
      <c r="D454" s="190">
        <v>287590.79200000002</v>
      </c>
      <c r="E454" s="30" t="s">
        <v>10</v>
      </c>
      <c r="F454" s="190">
        <v>5504.1</v>
      </c>
      <c r="G454" s="30" t="s">
        <v>335</v>
      </c>
      <c r="H454" s="30"/>
    </row>
    <row r="455" spans="1:17" x14ac:dyDescent="0.25">
      <c r="A455" s="30" t="s">
        <v>127</v>
      </c>
      <c r="B455" s="30" t="s">
        <v>333</v>
      </c>
      <c r="C455" s="30">
        <v>10</v>
      </c>
      <c r="D455" s="190">
        <v>279961.26400000002</v>
      </c>
      <c r="E455" s="30" t="s">
        <v>10</v>
      </c>
      <c r="F455" s="190">
        <v>6078.9369999999999</v>
      </c>
      <c r="G455" s="30" t="s">
        <v>335</v>
      </c>
      <c r="H455" s="30"/>
    </row>
    <row r="456" spans="1:17" x14ac:dyDescent="0.25">
      <c r="A456" s="30" t="s">
        <v>128</v>
      </c>
      <c r="B456" s="30" t="s">
        <v>333</v>
      </c>
      <c r="C456" s="30">
        <v>10</v>
      </c>
      <c r="D456" s="190">
        <v>252830.951</v>
      </c>
      <c r="E456" s="30" t="s">
        <v>10</v>
      </c>
      <c r="F456" s="190">
        <v>6205.0159999999996</v>
      </c>
      <c r="G456" s="30" t="s">
        <v>335</v>
      </c>
      <c r="H456" s="30"/>
    </row>
    <row r="457" spans="1:17" x14ac:dyDescent="0.25">
      <c r="A457" s="30" t="s">
        <v>129</v>
      </c>
      <c r="B457" s="30" t="s">
        <v>333</v>
      </c>
      <c r="C457" s="30">
        <v>10</v>
      </c>
      <c r="D457" s="190">
        <v>23640.543000000001</v>
      </c>
      <c r="E457" s="30" t="s">
        <v>10</v>
      </c>
      <c r="F457" s="190">
        <v>1074.8320000000001</v>
      </c>
      <c r="G457" s="30" t="s">
        <v>335</v>
      </c>
      <c r="H457" s="30"/>
    </row>
    <row r="458" spans="1:17" x14ac:dyDescent="0.25">
      <c r="A458" s="30" t="s">
        <v>130</v>
      </c>
      <c r="B458" s="30" t="s">
        <v>333</v>
      </c>
      <c r="C458" s="30">
        <v>10</v>
      </c>
      <c r="D458" s="190">
        <v>25204.781999999999</v>
      </c>
      <c r="E458" s="30" t="s">
        <v>10</v>
      </c>
      <c r="F458" s="190">
        <v>719.38099999999997</v>
      </c>
      <c r="G458" s="30" t="s">
        <v>335</v>
      </c>
      <c r="H458" s="30"/>
    </row>
    <row r="459" spans="1:17" x14ac:dyDescent="0.25">
      <c r="A459" s="30" t="s">
        <v>131</v>
      </c>
      <c r="B459" s="30" t="s">
        <v>333</v>
      </c>
      <c r="C459" s="30">
        <v>10</v>
      </c>
      <c r="D459" s="190">
        <v>19787.734</v>
      </c>
      <c r="E459" s="30" t="s">
        <v>10</v>
      </c>
      <c r="F459" s="190">
        <v>302.19</v>
      </c>
      <c r="G459" s="30" t="s">
        <v>335</v>
      </c>
      <c r="H459" s="30"/>
    </row>
    <row r="460" spans="1:17" x14ac:dyDescent="0.25">
      <c r="A460" s="30" t="s">
        <v>132</v>
      </c>
      <c r="B460" s="30" t="s">
        <v>333</v>
      </c>
      <c r="C460" s="30">
        <v>10</v>
      </c>
      <c r="D460" s="190">
        <v>20331.891</v>
      </c>
      <c r="E460" s="30" t="s">
        <v>10</v>
      </c>
      <c r="F460" s="190">
        <v>77.263000000000005</v>
      </c>
      <c r="G460" s="30" t="s">
        <v>335</v>
      </c>
      <c r="H460" s="30"/>
    </row>
    <row r="461" spans="1:17" x14ac:dyDescent="0.25">
      <c r="A461" s="30" t="s">
        <v>133</v>
      </c>
      <c r="B461" s="30" t="s">
        <v>333</v>
      </c>
      <c r="C461" s="30">
        <v>10</v>
      </c>
      <c r="D461" s="190">
        <v>1995.22</v>
      </c>
      <c r="E461" s="30" t="s">
        <v>10</v>
      </c>
      <c r="F461" s="190">
        <v>9.4149999999999991</v>
      </c>
      <c r="G461" s="30" t="s">
        <v>335</v>
      </c>
      <c r="H461" s="30"/>
    </row>
    <row r="462" spans="1:17" x14ac:dyDescent="0.25">
      <c r="A462" s="30" t="s">
        <v>134</v>
      </c>
      <c r="B462" s="30" t="s">
        <v>333</v>
      </c>
      <c r="C462" s="30">
        <v>10</v>
      </c>
      <c r="D462" s="190">
        <v>2015.3209999999999</v>
      </c>
      <c r="E462" s="30" t="s">
        <v>10</v>
      </c>
      <c r="F462" s="190">
        <v>18.14</v>
      </c>
      <c r="G462" s="30" t="s">
        <v>335</v>
      </c>
      <c r="H462" s="30"/>
    </row>
    <row r="463" spans="1:17" x14ac:dyDescent="0.25">
      <c r="A463" s="30" t="s">
        <v>135</v>
      </c>
      <c r="B463" s="30" t="s">
        <v>333</v>
      </c>
      <c r="C463" s="30">
        <v>10</v>
      </c>
      <c r="D463" s="190">
        <v>1792.288</v>
      </c>
      <c r="E463" s="30" t="s">
        <v>10</v>
      </c>
      <c r="F463" s="190">
        <v>47.738999999999997</v>
      </c>
      <c r="G463" s="30" t="s">
        <v>335</v>
      </c>
      <c r="H463" s="30"/>
    </row>
    <row r="464" spans="1:17" x14ac:dyDescent="0.25">
      <c r="A464" s="30" t="s">
        <v>136</v>
      </c>
      <c r="B464" s="30" t="s">
        <v>333</v>
      </c>
      <c r="C464" s="30">
        <v>10</v>
      </c>
      <c r="D464" s="190">
        <v>1733.0450000000001</v>
      </c>
      <c r="E464" s="30" t="s">
        <v>10</v>
      </c>
      <c r="F464" s="190">
        <v>17.46</v>
      </c>
      <c r="G464" s="30" t="s">
        <v>335</v>
      </c>
      <c r="H464" s="30"/>
    </row>
    <row r="466" spans="1:15" x14ac:dyDescent="0.25">
      <c r="A466" s="30" t="s">
        <v>0</v>
      </c>
      <c r="B466" s="30" t="s">
        <v>1</v>
      </c>
      <c r="C466" s="30" t="s">
        <v>346</v>
      </c>
      <c r="D466" s="190" t="s">
        <v>332</v>
      </c>
      <c r="E466" s="30" t="s">
        <v>333</v>
      </c>
      <c r="F466" s="190" t="s">
        <v>334</v>
      </c>
      <c r="G466" s="30"/>
      <c r="H466" s="30"/>
    </row>
    <row r="467" spans="1:15" ht="20" thickBot="1" x14ac:dyDescent="0.3">
      <c r="A467" s="30" t="s">
        <v>2</v>
      </c>
      <c r="B467" s="30" t="s">
        <v>3</v>
      </c>
      <c r="C467" s="30" t="s">
        <v>4</v>
      </c>
      <c r="D467" s="190" t="s">
        <v>5</v>
      </c>
      <c r="E467" s="30" t="s">
        <v>6</v>
      </c>
      <c r="F467" s="190" t="s">
        <v>7</v>
      </c>
      <c r="G467" s="30"/>
      <c r="H467" s="30"/>
    </row>
    <row r="468" spans="1:15" x14ac:dyDescent="0.25">
      <c r="A468" s="30" t="s">
        <v>347</v>
      </c>
      <c r="B468" s="30" t="s">
        <v>333</v>
      </c>
      <c r="C468" s="30">
        <v>5</v>
      </c>
      <c r="D468" s="190">
        <v>11511528.362</v>
      </c>
      <c r="E468" s="30" t="s">
        <v>10</v>
      </c>
      <c r="F468" s="190">
        <v>1035945.517</v>
      </c>
      <c r="G468" s="30" t="s">
        <v>335</v>
      </c>
      <c r="H468" s="30"/>
      <c r="J468" s="5" t="s">
        <v>393</v>
      </c>
      <c r="K468" s="72" t="s">
        <v>340</v>
      </c>
      <c r="L468" s="72" t="s">
        <v>341</v>
      </c>
      <c r="M468" s="17" t="s">
        <v>162</v>
      </c>
      <c r="N468" s="72" t="s">
        <v>342</v>
      </c>
      <c r="O468" s="21" t="s">
        <v>162</v>
      </c>
    </row>
    <row r="469" spans="1:15" x14ac:dyDescent="0.25">
      <c r="A469" s="30" t="s">
        <v>348</v>
      </c>
      <c r="B469" s="30" t="s">
        <v>333</v>
      </c>
      <c r="C469" s="30">
        <v>5</v>
      </c>
      <c r="D469" s="190">
        <v>10749162.513</v>
      </c>
      <c r="E469" s="30" t="s">
        <v>10</v>
      </c>
      <c r="F469" s="190">
        <v>135503.95000000001</v>
      </c>
      <c r="G469" s="30" t="s">
        <v>335</v>
      </c>
      <c r="H469" s="30"/>
      <c r="J469" s="6">
        <v>100000</v>
      </c>
      <c r="K469" s="119">
        <f>D468</f>
        <v>11511528.362</v>
      </c>
      <c r="L469" s="119">
        <f>D469</f>
        <v>10749162.513</v>
      </c>
      <c r="M469" s="18">
        <f>(K469/L469-1)</f>
        <v>7.092327872780757E-2</v>
      </c>
      <c r="N469" s="73">
        <f>D470</f>
        <v>10679976.415999999</v>
      </c>
      <c r="O469" s="22">
        <f>(K469/N469-1)</f>
        <v>7.786084103652402E-2</v>
      </c>
    </row>
    <row r="470" spans="1:15" x14ac:dyDescent="0.25">
      <c r="A470" s="30" t="s">
        <v>349</v>
      </c>
      <c r="B470" s="30" t="s">
        <v>333</v>
      </c>
      <c r="C470" s="30">
        <v>5</v>
      </c>
      <c r="D470" s="190">
        <v>10679976.415999999</v>
      </c>
      <c r="E470" s="30" t="s">
        <v>10</v>
      </c>
      <c r="F470" s="190">
        <v>1485928.591</v>
      </c>
      <c r="G470" s="30" t="s">
        <v>335</v>
      </c>
      <c r="H470" s="30"/>
      <c r="J470" s="6">
        <v>50000</v>
      </c>
      <c r="K470" s="119">
        <f>D471</f>
        <v>5487128.9759999998</v>
      </c>
      <c r="L470" s="119">
        <f>D472</f>
        <v>5408133.3760000002</v>
      </c>
      <c r="M470" s="18">
        <f t="shared" ref="M470:M473" si="12">(K470/L470-1)</f>
        <v>1.4606814312413841E-2</v>
      </c>
      <c r="N470" s="73">
        <f>D473</f>
        <v>5573626.0870000003</v>
      </c>
      <c r="O470" s="22">
        <f t="shared" ref="O470:O473" si="13">(K470/N470-1)</f>
        <v>-1.5519001391526288E-2</v>
      </c>
    </row>
    <row r="471" spans="1:15" x14ac:dyDescent="0.25">
      <c r="A471" s="30" t="s">
        <v>359</v>
      </c>
      <c r="B471" s="30" t="s">
        <v>333</v>
      </c>
      <c r="C471" s="30">
        <v>5</v>
      </c>
      <c r="D471" s="190">
        <v>5487128.9759999998</v>
      </c>
      <c r="E471" s="30" t="s">
        <v>10</v>
      </c>
      <c r="F471" s="190">
        <v>331786.89500000002</v>
      </c>
      <c r="G471" s="30" t="s">
        <v>335</v>
      </c>
      <c r="H471" s="30"/>
      <c r="J471" s="6">
        <v>10000</v>
      </c>
      <c r="K471" s="119">
        <f>D474</f>
        <v>1323703.1340000001</v>
      </c>
      <c r="L471" s="119">
        <f>D475</f>
        <v>1053160.676</v>
      </c>
      <c r="M471" s="18">
        <f t="shared" si="12"/>
        <v>0.25688621324862315</v>
      </c>
      <c r="N471" s="73">
        <f>D476</f>
        <v>1129646.2250000001</v>
      </c>
      <c r="O471" s="22">
        <f t="shared" si="13"/>
        <v>0.17178555967820808</v>
      </c>
    </row>
    <row r="472" spans="1:15" x14ac:dyDescent="0.25">
      <c r="A472" s="30" t="s">
        <v>360</v>
      </c>
      <c r="B472" s="30" t="s">
        <v>333</v>
      </c>
      <c r="C472" s="30">
        <v>5</v>
      </c>
      <c r="D472" s="190">
        <v>5408133.3760000002</v>
      </c>
      <c r="E472" s="30" t="s">
        <v>10</v>
      </c>
      <c r="F472" s="190">
        <v>89143.195000000007</v>
      </c>
      <c r="G472" s="30" t="s">
        <v>335</v>
      </c>
      <c r="H472" s="30"/>
      <c r="J472" s="6">
        <v>1000</v>
      </c>
      <c r="K472" s="119">
        <f>D477</f>
        <v>155528.076</v>
      </c>
      <c r="L472" s="119">
        <f>D478</f>
        <v>106856.66499999999</v>
      </c>
      <c r="M472" s="18">
        <f t="shared" si="12"/>
        <v>0.45548315587053012</v>
      </c>
      <c r="N472" s="73">
        <f>D479</f>
        <v>137772.53400000001</v>
      </c>
      <c r="O472" s="22">
        <f t="shared" si="13"/>
        <v>0.12887577432523667</v>
      </c>
    </row>
    <row r="473" spans="1:15" ht="20" thickBot="1" x14ac:dyDescent="0.3">
      <c r="A473" s="30" t="s">
        <v>361</v>
      </c>
      <c r="B473" s="30" t="s">
        <v>333</v>
      </c>
      <c r="C473" s="30">
        <v>5</v>
      </c>
      <c r="D473" s="190">
        <v>5573626.0870000003</v>
      </c>
      <c r="E473" s="30" t="s">
        <v>10</v>
      </c>
      <c r="F473" s="190">
        <v>1334695.3829999999</v>
      </c>
      <c r="G473" s="30" t="s">
        <v>335</v>
      </c>
      <c r="H473" s="30"/>
      <c r="J473" s="7">
        <v>100</v>
      </c>
      <c r="K473" s="120">
        <f>D480</f>
        <v>9822.3070000000007</v>
      </c>
      <c r="L473" s="120">
        <f>D481</f>
        <v>11313.76</v>
      </c>
      <c r="M473" s="19">
        <f t="shared" si="12"/>
        <v>-0.13182646617923655</v>
      </c>
      <c r="N473" s="74">
        <f>D482</f>
        <v>18473.478999999999</v>
      </c>
      <c r="O473" s="23">
        <f t="shared" si="13"/>
        <v>-0.46830226185333035</v>
      </c>
    </row>
    <row r="474" spans="1:15" x14ac:dyDescent="0.25">
      <c r="A474" s="30" t="s">
        <v>350</v>
      </c>
      <c r="B474" s="30" t="s">
        <v>333</v>
      </c>
      <c r="C474" s="30">
        <v>5</v>
      </c>
      <c r="D474" s="190">
        <v>1323703.1340000001</v>
      </c>
      <c r="E474" s="30" t="s">
        <v>10</v>
      </c>
      <c r="F474" s="190">
        <v>53201.629000000001</v>
      </c>
      <c r="G474" s="30" t="s">
        <v>335</v>
      </c>
      <c r="H474" s="30"/>
    </row>
    <row r="475" spans="1:15" x14ac:dyDescent="0.25">
      <c r="A475" s="30" t="s">
        <v>351</v>
      </c>
      <c r="B475" s="30" t="s">
        <v>333</v>
      </c>
      <c r="C475" s="30">
        <v>5</v>
      </c>
      <c r="D475" s="190">
        <v>1053160.676</v>
      </c>
      <c r="E475" s="30" t="s">
        <v>10</v>
      </c>
      <c r="F475" s="190">
        <v>22276.793000000001</v>
      </c>
      <c r="G475" s="30" t="s">
        <v>335</v>
      </c>
      <c r="H475" s="30"/>
    </row>
    <row r="476" spans="1:15" x14ac:dyDescent="0.25">
      <c r="A476" s="30" t="s">
        <v>352</v>
      </c>
      <c r="B476" s="30" t="s">
        <v>333</v>
      </c>
      <c r="C476" s="30">
        <v>5</v>
      </c>
      <c r="D476" s="190">
        <v>1129646.2250000001</v>
      </c>
      <c r="E476" s="30" t="s">
        <v>10</v>
      </c>
      <c r="F476" s="190">
        <v>252332.87100000001</v>
      </c>
      <c r="G476" s="30" t="s">
        <v>335</v>
      </c>
      <c r="H476" s="30"/>
    </row>
    <row r="477" spans="1:15" x14ac:dyDescent="0.25">
      <c r="A477" s="30" t="s">
        <v>353</v>
      </c>
      <c r="B477" s="30" t="s">
        <v>333</v>
      </c>
      <c r="C477" s="30">
        <v>5</v>
      </c>
      <c r="D477" s="190">
        <v>155528.076</v>
      </c>
      <c r="E477" s="30" t="s">
        <v>10</v>
      </c>
      <c r="F477" s="190">
        <v>6866.558</v>
      </c>
      <c r="G477" s="30" t="s">
        <v>335</v>
      </c>
      <c r="H477" s="30"/>
    </row>
    <row r="478" spans="1:15" x14ac:dyDescent="0.25">
      <c r="A478" s="30" t="s">
        <v>354</v>
      </c>
      <c r="B478" s="30" t="s">
        <v>333</v>
      </c>
      <c r="C478" s="30">
        <v>5</v>
      </c>
      <c r="D478" s="190">
        <v>106856.66499999999</v>
      </c>
      <c r="E478" s="30" t="s">
        <v>10</v>
      </c>
      <c r="F478" s="190">
        <v>1516.1510000000001</v>
      </c>
      <c r="G478" s="30" t="s">
        <v>335</v>
      </c>
      <c r="H478" s="30"/>
    </row>
    <row r="479" spans="1:15" x14ac:dyDescent="0.25">
      <c r="A479" s="30" t="s">
        <v>355</v>
      </c>
      <c r="B479" s="30" t="s">
        <v>333</v>
      </c>
      <c r="C479" s="30">
        <v>5</v>
      </c>
      <c r="D479" s="190">
        <v>137772.53400000001</v>
      </c>
      <c r="E479" s="30" t="s">
        <v>10</v>
      </c>
      <c r="F479" s="190">
        <v>29595.776999999998</v>
      </c>
      <c r="G479" s="30" t="s">
        <v>335</v>
      </c>
      <c r="H479" s="30"/>
    </row>
    <row r="480" spans="1:15" x14ac:dyDescent="0.25">
      <c r="A480" s="30" t="s">
        <v>356</v>
      </c>
      <c r="B480" s="30" t="s">
        <v>333</v>
      </c>
      <c r="C480" s="30">
        <v>5</v>
      </c>
      <c r="D480" s="190">
        <v>9822.3070000000007</v>
      </c>
      <c r="E480" s="30" t="s">
        <v>10</v>
      </c>
      <c r="F480" s="190">
        <v>469.74</v>
      </c>
      <c r="G480" s="30" t="s">
        <v>335</v>
      </c>
      <c r="H480" s="30"/>
    </row>
    <row r="481" spans="1:15" x14ac:dyDescent="0.25">
      <c r="A481" s="30" t="s">
        <v>357</v>
      </c>
      <c r="B481" s="30" t="s">
        <v>333</v>
      </c>
      <c r="C481" s="30">
        <v>5</v>
      </c>
      <c r="D481" s="190">
        <v>11313.76</v>
      </c>
      <c r="E481" s="30" t="s">
        <v>10</v>
      </c>
      <c r="F481" s="190">
        <v>197.673</v>
      </c>
      <c r="G481" s="30" t="s">
        <v>335</v>
      </c>
      <c r="H481" s="30"/>
    </row>
    <row r="482" spans="1:15" x14ac:dyDescent="0.25">
      <c r="A482" s="30" t="s">
        <v>358</v>
      </c>
      <c r="B482" s="30" t="s">
        <v>333</v>
      </c>
      <c r="C482" s="30">
        <v>5</v>
      </c>
      <c r="D482" s="190">
        <v>18473.478999999999</v>
      </c>
      <c r="E482" s="30" t="s">
        <v>10</v>
      </c>
      <c r="F482" s="190">
        <v>3536.442</v>
      </c>
      <c r="G482" s="30" t="s">
        <v>335</v>
      </c>
      <c r="H482" s="30"/>
    </row>
    <row r="483" spans="1:15" x14ac:dyDescent="0.25">
      <c r="A483" s="30"/>
      <c r="B483" s="30"/>
      <c r="C483" s="30"/>
      <c r="D483" s="190"/>
      <c r="E483" s="30"/>
      <c r="F483" s="190"/>
      <c r="G483" s="30"/>
      <c r="H483" s="30"/>
    </row>
    <row r="484" spans="1:15" x14ac:dyDescent="0.25">
      <c r="A484" s="30" t="s">
        <v>0</v>
      </c>
      <c r="B484" s="30" t="s">
        <v>1</v>
      </c>
      <c r="C484" s="30" t="s">
        <v>362</v>
      </c>
      <c r="D484" s="190" t="s">
        <v>332</v>
      </c>
      <c r="E484" s="30" t="s">
        <v>333</v>
      </c>
      <c r="F484" s="190" t="s">
        <v>334</v>
      </c>
      <c r="G484" s="30"/>
      <c r="H484" s="30"/>
    </row>
    <row r="485" spans="1:15" ht="20" thickBot="1" x14ac:dyDescent="0.3">
      <c r="A485" s="30" t="s">
        <v>2</v>
      </c>
      <c r="B485" s="30" t="s">
        <v>3</v>
      </c>
      <c r="C485" s="30" t="s">
        <v>4</v>
      </c>
      <c r="D485" s="190" t="s">
        <v>5</v>
      </c>
      <c r="E485" s="30" t="s">
        <v>6</v>
      </c>
      <c r="F485" s="190" t="s">
        <v>7</v>
      </c>
      <c r="G485" s="30"/>
      <c r="H485" s="30"/>
    </row>
    <row r="486" spans="1:15" x14ac:dyDescent="0.25">
      <c r="A486" s="30" t="s">
        <v>363</v>
      </c>
      <c r="B486" s="30" t="s">
        <v>333</v>
      </c>
      <c r="C486" s="30">
        <v>5</v>
      </c>
      <c r="D486" s="190">
        <v>1272532.605</v>
      </c>
      <c r="E486" s="30" t="s">
        <v>10</v>
      </c>
      <c r="F486" s="190">
        <v>98617.675000000003</v>
      </c>
      <c r="G486" s="30" t="s">
        <v>335</v>
      </c>
      <c r="H486" s="30"/>
      <c r="J486" s="5" t="s">
        <v>394</v>
      </c>
      <c r="K486" s="72" t="s">
        <v>340</v>
      </c>
      <c r="L486" s="72" t="s">
        <v>341</v>
      </c>
      <c r="M486" s="17" t="s">
        <v>162</v>
      </c>
      <c r="N486" s="72" t="s">
        <v>342</v>
      </c>
      <c r="O486" s="21" t="s">
        <v>162</v>
      </c>
    </row>
    <row r="487" spans="1:15" x14ac:dyDescent="0.25">
      <c r="A487" s="30" t="s">
        <v>364</v>
      </c>
      <c r="B487" s="30" t="s">
        <v>333</v>
      </c>
      <c r="C487" s="30">
        <v>5</v>
      </c>
      <c r="D487" s="190">
        <v>1023945.498</v>
      </c>
      <c r="E487" s="30" t="s">
        <v>10</v>
      </c>
      <c r="F487" s="190">
        <v>681932.81799999997</v>
      </c>
      <c r="G487" s="30" t="s">
        <v>335</v>
      </c>
      <c r="H487" s="30"/>
      <c r="J487" s="6">
        <v>100000</v>
      </c>
      <c r="K487" s="119">
        <f>D486</f>
        <v>1272532.605</v>
      </c>
      <c r="L487" s="119">
        <f>D487</f>
        <v>1023945.498</v>
      </c>
      <c r="M487" s="18">
        <f>(K487/L487-1)</f>
        <v>0.24277376821866747</v>
      </c>
      <c r="N487" s="73">
        <f>D488</f>
        <v>1082845.5090000001</v>
      </c>
      <c r="O487" s="22">
        <f>(K487/N487-1)</f>
        <v>0.17517466196556009</v>
      </c>
    </row>
    <row r="488" spans="1:15" x14ac:dyDescent="0.25">
      <c r="A488" s="30" t="s">
        <v>365</v>
      </c>
      <c r="B488" s="30" t="s">
        <v>333</v>
      </c>
      <c r="C488" s="30">
        <v>5</v>
      </c>
      <c r="D488" s="190">
        <v>1082845.5090000001</v>
      </c>
      <c r="E488" s="30" t="s">
        <v>10</v>
      </c>
      <c r="F488" s="190">
        <v>588188.85800000001</v>
      </c>
      <c r="G488" s="30" t="s">
        <v>335</v>
      </c>
      <c r="H488" s="30"/>
      <c r="J488" s="6">
        <v>50000</v>
      </c>
      <c r="K488" s="119">
        <f>D489</f>
        <v>665532.09</v>
      </c>
      <c r="L488" s="119">
        <f>D490</f>
        <v>546329.66299999994</v>
      </c>
      <c r="M488" s="18">
        <f t="shared" ref="M488:M491" si="14">(K488/L488-1)</f>
        <v>0.21818772633621397</v>
      </c>
      <c r="N488" s="73">
        <f>D491</f>
        <v>573632.429</v>
      </c>
      <c r="O488" s="22">
        <f t="shared" ref="O488:O491" si="15">(K488/N488-1)</f>
        <v>0.1602065300949016</v>
      </c>
    </row>
    <row r="489" spans="1:15" x14ac:dyDescent="0.25">
      <c r="A489" s="30" t="s">
        <v>366</v>
      </c>
      <c r="B489" s="30" t="s">
        <v>333</v>
      </c>
      <c r="C489" s="30">
        <v>5</v>
      </c>
      <c r="D489" s="190">
        <v>665532.09</v>
      </c>
      <c r="E489" s="30" t="s">
        <v>10</v>
      </c>
      <c r="F489" s="190">
        <v>8126.5730000000003</v>
      </c>
      <c r="G489" s="30" t="s">
        <v>335</v>
      </c>
      <c r="H489" s="30"/>
      <c r="J489" s="6">
        <v>10000</v>
      </c>
      <c r="K489" s="119">
        <f>D492</f>
        <v>105858.55</v>
      </c>
      <c r="L489" s="119">
        <f>D493</f>
        <v>75134.508000000002</v>
      </c>
      <c r="M489" s="18">
        <f t="shared" si="14"/>
        <v>0.40892051891788528</v>
      </c>
      <c r="N489" s="73">
        <f>D494</f>
        <v>80709.076000000001</v>
      </c>
      <c r="O489" s="22">
        <f t="shared" si="15"/>
        <v>0.31160651622377644</v>
      </c>
    </row>
    <row r="490" spans="1:15" x14ac:dyDescent="0.25">
      <c r="A490" s="30" t="s">
        <v>367</v>
      </c>
      <c r="B490" s="30" t="s">
        <v>333</v>
      </c>
      <c r="C490" s="30">
        <v>5</v>
      </c>
      <c r="D490" s="190">
        <v>546329.66299999994</v>
      </c>
      <c r="E490" s="30" t="s">
        <v>10</v>
      </c>
      <c r="F490" s="190">
        <v>168783.79800000001</v>
      </c>
      <c r="G490" s="30" t="s">
        <v>335</v>
      </c>
      <c r="H490" s="30"/>
      <c r="J490" s="6">
        <v>1000</v>
      </c>
      <c r="K490" s="119">
        <f>D495</f>
        <v>8882.3619999999992</v>
      </c>
      <c r="L490" s="119">
        <f>D496</f>
        <v>5625.7979999999998</v>
      </c>
      <c r="M490" s="18">
        <f t="shared" si="14"/>
        <v>0.57886258980503724</v>
      </c>
      <c r="N490" s="73">
        <f>D497</f>
        <v>6956.9129999999996</v>
      </c>
      <c r="O490" s="22">
        <f t="shared" si="15"/>
        <v>0.27676772729513788</v>
      </c>
    </row>
    <row r="491" spans="1:15" ht="20" thickBot="1" x14ac:dyDescent="0.3">
      <c r="A491" s="30" t="s">
        <v>368</v>
      </c>
      <c r="B491" s="30" t="s">
        <v>333</v>
      </c>
      <c r="C491" s="30">
        <v>5</v>
      </c>
      <c r="D491" s="190">
        <v>573632.429</v>
      </c>
      <c r="E491" s="30" t="s">
        <v>10</v>
      </c>
      <c r="F491" s="190">
        <v>112658.269</v>
      </c>
      <c r="G491" s="30" t="s">
        <v>335</v>
      </c>
      <c r="H491" s="30"/>
      <c r="J491" s="7">
        <v>100</v>
      </c>
      <c r="K491" s="120">
        <f>D498</f>
        <v>830.37699999999995</v>
      </c>
      <c r="L491" s="120">
        <f>D499</f>
        <v>500.01900000000001</v>
      </c>
      <c r="M491" s="19">
        <f t="shared" si="14"/>
        <v>0.66069089374603762</v>
      </c>
      <c r="N491" s="74">
        <f>D500</f>
        <v>687.70100000000002</v>
      </c>
      <c r="O491" s="23">
        <f t="shared" si="15"/>
        <v>0.20746807115301547</v>
      </c>
    </row>
    <row r="492" spans="1:15" x14ac:dyDescent="0.25">
      <c r="A492" s="30" t="s">
        <v>369</v>
      </c>
      <c r="B492" s="30" t="s">
        <v>333</v>
      </c>
      <c r="C492" s="30">
        <v>5</v>
      </c>
      <c r="D492" s="190">
        <v>105858.55</v>
      </c>
      <c r="E492" s="30" t="s">
        <v>10</v>
      </c>
      <c r="F492" s="190">
        <v>5140.6559999999999</v>
      </c>
      <c r="G492" s="30" t="s">
        <v>335</v>
      </c>
      <c r="H492" s="30"/>
    </row>
    <row r="493" spans="1:15" x14ac:dyDescent="0.25">
      <c r="A493" s="30" t="s">
        <v>370</v>
      </c>
      <c r="B493" s="30" t="s">
        <v>333</v>
      </c>
      <c r="C493" s="30">
        <v>5</v>
      </c>
      <c r="D493" s="190">
        <v>75134.508000000002</v>
      </c>
      <c r="E493" s="30" t="s">
        <v>10</v>
      </c>
      <c r="F493" s="190">
        <v>2913.7049999999999</v>
      </c>
      <c r="G493" s="30" t="s">
        <v>335</v>
      </c>
      <c r="H493" s="30"/>
    </row>
    <row r="494" spans="1:15" x14ac:dyDescent="0.25">
      <c r="A494" s="30" t="s">
        <v>371</v>
      </c>
      <c r="B494" s="30" t="s">
        <v>333</v>
      </c>
      <c r="C494" s="30">
        <v>5</v>
      </c>
      <c r="D494" s="190">
        <v>80709.076000000001</v>
      </c>
      <c r="E494" s="30" t="s">
        <v>10</v>
      </c>
      <c r="F494" s="190">
        <v>252.49700000000001</v>
      </c>
      <c r="G494" s="30" t="s">
        <v>335</v>
      </c>
      <c r="H494" s="30"/>
    </row>
    <row r="495" spans="1:15" x14ac:dyDescent="0.25">
      <c r="A495" s="30" t="s">
        <v>372</v>
      </c>
      <c r="B495" s="30" t="s">
        <v>333</v>
      </c>
      <c r="C495" s="30">
        <v>5</v>
      </c>
      <c r="D495" s="190">
        <v>8882.3619999999992</v>
      </c>
      <c r="E495" s="30" t="s">
        <v>10</v>
      </c>
      <c r="F495" s="190">
        <v>61.664000000000001</v>
      </c>
      <c r="G495" s="30" t="s">
        <v>335</v>
      </c>
      <c r="H495" s="30"/>
    </row>
    <row r="496" spans="1:15" x14ac:dyDescent="0.25">
      <c r="A496" s="30" t="s">
        <v>373</v>
      </c>
      <c r="B496" s="30" t="s">
        <v>333</v>
      </c>
      <c r="C496" s="30">
        <v>5</v>
      </c>
      <c r="D496" s="190">
        <v>5625.7979999999998</v>
      </c>
      <c r="E496" s="30" t="s">
        <v>10</v>
      </c>
      <c r="F496" s="190">
        <v>51.426000000000002</v>
      </c>
      <c r="G496" s="30" t="s">
        <v>335</v>
      </c>
      <c r="H496" s="30"/>
    </row>
    <row r="497" spans="1:15" x14ac:dyDescent="0.25">
      <c r="A497" s="30" t="s">
        <v>374</v>
      </c>
      <c r="B497" s="30" t="s">
        <v>333</v>
      </c>
      <c r="C497" s="30">
        <v>5</v>
      </c>
      <c r="D497" s="190">
        <v>6956.9129999999996</v>
      </c>
      <c r="E497" s="30" t="s">
        <v>10</v>
      </c>
      <c r="F497" s="190">
        <v>500.76600000000002</v>
      </c>
      <c r="G497" s="30" t="s">
        <v>335</v>
      </c>
      <c r="H497" s="30"/>
    </row>
    <row r="498" spans="1:15" x14ac:dyDescent="0.25">
      <c r="A498" s="30" t="s">
        <v>375</v>
      </c>
      <c r="B498" s="30" t="s">
        <v>333</v>
      </c>
      <c r="C498" s="30">
        <v>5</v>
      </c>
      <c r="D498" s="190">
        <v>830.37699999999995</v>
      </c>
      <c r="E498" s="30" t="s">
        <v>10</v>
      </c>
      <c r="F498" s="190">
        <v>8.5030000000000001</v>
      </c>
      <c r="G498" s="30" t="s">
        <v>335</v>
      </c>
      <c r="H498" s="30"/>
    </row>
    <row r="499" spans="1:15" x14ac:dyDescent="0.25">
      <c r="A499" s="30" t="s">
        <v>376</v>
      </c>
      <c r="B499" s="30" t="s">
        <v>333</v>
      </c>
      <c r="C499" s="30">
        <v>5</v>
      </c>
      <c r="D499" s="190">
        <v>500.01900000000001</v>
      </c>
      <c r="E499" s="30" t="s">
        <v>10</v>
      </c>
      <c r="F499" s="190">
        <v>8.7490000000000006</v>
      </c>
      <c r="G499" s="30" t="s">
        <v>335</v>
      </c>
      <c r="H499" s="30"/>
    </row>
    <row r="500" spans="1:15" x14ac:dyDescent="0.25">
      <c r="A500" s="30" t="s">
        <v>377</v>
      </c>
      <c r="B500" s="30" t="s">
        <v>333</v>
      </c>
      <c r="C500" s="30">
        <v>5</v>
      </c>
      <c r="D500" s="190">
        <v>687.70100000000002</v>
      </c>
      <c r="E500" s="30" t="s">
        <v>10</v>
      </c>
      <c r="F500" s="190">
        <v>70.510999999999996</v>
      </c>
      <c r="G500" s="30" t="s">
        <v>335</v>
      </c>
      <c r="H500" s="30"/>
    </row>
    <row r="501" spans="1:15" x14ac:dyDescent="0.25">
      <c r="A501" s="30"/>
      <c r="B501" s="30"/>
      <c r="C501" s="30"/>
      <c r="D501" s="190"/>
      <c r="E501" s="30"/>
      <c r="F501" s="190"/>
      <c r="G501" s="30"/>
      <c r="H501" s="30"/>
    </row>
    <row r="502" spans="1:15" x14ac:dyDescent="0.25">
      <c r="A502" s="30" t="s">
        <v>0</v>
      </c>
      <c r="B502" s="30" t="s">
        <v>1</v>
      </c>
      <c r="C502" s="30" t="s">
        <v>362</v>
      </c>
      <c r="D502" s="190" t="s">
        <v>332</v>
      </c>
      <c r="E502" s="30" t="s">
        <v>333</v>
      </c>
      <c r="F502" s="190" t="s">
        <v>334</v>
      </c>
      <c r="G502" s="30"/>
      <c r="H502" s="30"/>
    </row>
    <row r="503" spans="1:15" ht="20" thickBot="1" x14ac:dyDescent="0.3">
      <c r="A503" s="30" t="s">
        <v>2</v>
      </c>
      <c r="B503" s="30" t="s">
        <v>3</v>
      </c>
      <c r="C503" s="30" t="s">
        <v>4</v>
      </c>
      <c r="D503" s="190" t="s">
        <v>5</v>
      </c>
      <c r="E503" s="30" t="s">
        <v>6</v>
      </c>
      <c r="F503" s="190" t="s">
        <v>7</v>
      </c>
      <c r="G503" s="30"/>
      <c r="H503" s="30"/>
    </row>
    <row r="504" spans="1:15" x14ac:dyDescent="0.25">
      <c r="A504" s="30" t="s">
        <v>378</v>
      </c>
      <c r="B504" s="30" t="s">
        <v>333</v>
      </c>
      <c r="C504" s="30">
        <v>5</v>
      </c>
      <c r="D504" s="190">
        <v>1786921.193</v>
      </c>
      <c r="E504" s="30" t="s">
        <v>10</v>
      </c>
      <c r="F504" s="190">
        <v>35398.396000000001</v>
      </c>
      <c r="G504" s="30" t="s">
        <v>335</v>
      </c>
      <c r="H504" s="30"/>
      <c r="J504" s="5" t="s">
        <v>395</v>
      </c>
      <c r="K504" s="72" t="s">
        <v>340</v>
      </c>
      <c r="L504" s="72" t="s">
        <v>341</v>
      </c>
      <c r="M504" s="17" t="s">
        <v>162</v>
      </c>
      <c r="N504" s="72" t="s">
        <v>342</v>
      </c>
      <c r="O504" s="21" t="s">
        <v>162</v>
      </c>
    </row>
    <row r="505" spans="1:15" x14ac:dyDescent="0.25">
      <c r="A505" s="30" t="s">
        <v>379</v>
      </c>
      <c r="B505" s="30" t="s">
        <v>333</v>
      </c>
      <c r="C505" s="30">
        <v>5</v>
      </c>
      <c r="D505" s="190">
        <v>1645502.2080000001</v>
      </c>
      <c r="E505" s="30" t="s">
        <v>10</v>
      </c>
      <c r="F505" s="190">
        <v>854424.43900000001</v>
      </c>
      <c r="G505" s="30" t="s">
        <v>335</v>
      </c>
      <c r="H505" s="30"/>
      <c r="J505" s="6">
        <v>100000</v>
      </c>
      <c r="K505" s="119">
        <f>D504</f>
        <v>1786921.193</v>
      </c>
      <c r="L505" s="119">
        <f>D505</f>
        <v>1645502.2080000001</v>
      </c>
      <c r="M505" s="18">
        <f>(K505/L505-1)</f>
        <v>8.5942750068919826E-2</v>
      </c>
      <c r="N505" s="73">
        <f>D506</f>
        <v>1376261.953</v>
      </c>
      <c r="O505" s="22">
        <f>(K505/N505-1)</f>
        <v>0.29838741026360416</v>
      </c>
    </row>
    <row r="506" spans="1:15" x14ac:dyDescent="0.25">
      <c r="A506" s="30" t="s">
        <v>380</v>
      </c>
      <c r="B506" s="30" t="s">
        <v>333</v>
      </c>
      <c r="C506" s="30">
        <v>5</v>
      </c>
      <c r="D506" s="190">
        <v>1376261.953</v>
      </c>
      <c r="E506" s="30" t="s">
        <v>10</v>
      </c>
      <c r="F506" s="190">
        <v>625371.071</v>
      </c>
      <c r="G506" s="30" t="s">
        <v>335</v>
      </c>
      <c r="H506" s="30"/>
      <c r="J506" s="6">
        <v>50000</v>
      </c>
      <c r="K506" s="119">
        <f>D507</f>
        <v>913921.174</v>
      </c>
      <c r="L506" s="119">
        <f>D508</f>
        <v>765234.94200000004</v>
      </c>
      <c r="M506" s="18">
        <f t="shared" ref="M506:M509" si="16">(K506/L506-1)</f>
        <v>0.19430141495028597</v>
      </c>
      <c r="N506" s="73">
        <f>D509</f>
        <v>673967.68099999998</v>
      </c>
      <c r="O506" s="22">
        <f t="shared" ref="O506:O509" si="17">(K506/N506-1)</f>
        <v>0.35603115663345886</v>
      </c>
    </row>
    <row r="507" spans="1:15" x14ac:dyDescent="0.25">
      <c r="A507" s="30" t="s">
        <v>381</v>
      </c>
      <c r="B507" s="30" t="s">
        <v>333</v>
      </c>
      <c r="C507" s="30">
        <v>5</v>
      </c>
      <c r="D507" s="190">
        <v>913921.174</v>
      </c>
      <c r="E507" s="30" t="s">
        <v>10</v>
      </c>
      <c r="F507" s="190">
        <v>9896.6029999999992</v>
      </c>
      <c r="G507" s="30" t="s">
        <v>335</v>
      </c>
      <c r="H507" s="30"/>
      <c r="J507" s="6">
        <v>10000</v>
      </c>
      <c r="K507" s="119">
        <f>D510</f>
        <v>148025.97099999999</v>
      </c>
      <c r="L507" s="119">
        <f>D511</f>
        <v>110936.382</v>
      </c>
      <c r="M507" s="18">
        <f t="shared" si="16"/>
        <v>0.334332058891194</v>
      </c>
      <c r="N507" s="73">
        <f>D512</f>
        <v>101463.18399999999</v>
      </c>
      <c r="O507" s="22">
        <f t="shared" si="17"/>
        <v>0.4589131265582993</v>
      </c>
    </row>
    <row r="508" spans="1:15" x14ac:dyDescent="0.25">
      <c r="A508" s="30" t="s">
        <v>382</v>
      </c>
      <c r="B508" s="30" t="s">
        <v>333</v>
      </c>
      <c r="C508" s="30">
        <v>5</v>
      </c>
      <c r="D508" s="190">
        <v>765234.94200000004</v>
      </c>
      <c r="E508" s="30" t="s">
        <v>10</v>
      </c>
      <c r="F508" s="190">
        <v>251591.364</v>
      </c>
      <c r="G508" s="30" t="s">
        <v>335</v>
      </c>
      <c r="H508" s="30"/>
      <c r="J508" s="6">
        <v>1000</v>
      </c>
      <c r="K508" s="119">
        <f>D513</f>
        <v>13201.108</v>
      </c>
      <c r="L508" s="119">
        <f>D514</f>
        <v>8867.2909999999993</v>
      </c>
      <c r="M508" s="18">
        <f t="shared" si="16"/>
        <v>0.488741939336377</v>
      </c>
      <c r="N508" s="73">
        <f>D515</f>
        <v>8445.3369999999995</v>
      </c>
      <c r="O508" s="22">
        <f t="shared" si="17"/>
        <v>0.56312388718176676</v>
      </c>
    </row>
    <row r="509" spans="1:15" ht="20" thickBot="1" x14ac:dyDescent="0.3">
      <c r="A509" s="30" t="s">
        <v>383</v>
      </c>
      <c r="B509" s="30" t="s">
        <v>333</v>
      </c>
      <c r="C509" s="30">
        <v>5</v>
      </c>
      <c r="D509" s="190">
        <v>673967.68099999998</v>
      </c>
      <c r="E509" s="30" t="s">
        <v>10</v>
      </c>
      <c r="F509" s="190">
        <v>166713.54800000001</v>
      </c>
      <c r="G509" s="30" t="s">
        <v>335</v>
      </c>
      <c r="H509" s="30"/>
      <c r="J509" s="7">
        <v>100</v>
      </c>
      <c r="K509" s="120">
        <f>D516</f>
        <v>1280.8430000000001</v>
      </c>
      <c r="L509" s="120">
        <f>D517</f>
        <v>757.19</v>
      </c>
      <c r="M509" s="19">
        <f t="shared" si="16"/>
        <v>0.69157410953657594</v>
      </c>
      <c r="N509" s="74">
        <f>D518</f>
        <v>797.69399999999996</v>
      </c>
      <c r="O509" s="23">
        <f t="shared" si="17"/>
        <v>0.60568212873608185</v>
      </c>
    </row>
    <row r="510" spans="1:15" x14ac:dyDescent="0.25">
      <c r="A510" s="30" t="s">
        <v>384</v>
      </c>
      <c r="B510" s="30" t="s">
        <v>333</v>
      </c>
      <c r="C510" s="30">
        <v>5</v>
      </c>
      <c r="D510" s="190">
        <v>148025.97099999999</v>
      </c>
      <c r="E510" s="30" t="s">
        <v>10</v>
      </c>
      <c r="F510" s="190">
        <v>3531.32</v>
      </c>
      <c r="G510" s="30" t="s">
        <v>335</v>
      </c>
      <c r="H510" s="30"/>
    </row>
    <row r="511" spans="1:15" x14ac:dyDescent="0.25">
      <c r="A511" s="30" t="s">
        <v>385</v>
      </c>
      <c r="B511" s="30" t="s">
        <v>333</v>
      </c>
      <c r="C511" s="30">
        <v>5</v>
      </c>
      <c r="D511" s="190">
        <v>110936.382</v>
      </c>
      <c r="E511" s="30" t="s">
        <v>10</v>
      </c>
      <c r="F511" s="190">
        <v>3038.49</v>
      </c>
      <c r="G511" s="30" t="s">
        <v>335</v>
      </c>
      <c r="H511" s="30"/>
    </row>
    <row r="512" spans="1:15" x14ac:dyDescent="0.25">
      <c r="A512" s="30" t="s">
        <v>386</v>
      </c>
      <c r="B512" s="30" t="s">
        <v>333</v>
      </c>
      <c r="C512" s="30">
        <v>5</v>
      </c>
      <c r="D512" s="190">
        <v>101463.18399999999</v>
      </c>
      <c r="E512" s="30" t="s">
        <v>10</v>
      </c>
      <c r="F512" s="190">
        <v>5825.933</v>
      </c>
      <c r="G512" s="30" t="s">
        <v>335</v>
      </c>
      <c r="H512" s="30"/>
    </row>
    <row r="513" spans="1:15" x14ac:dyDescent="0.25">
      <c r="A513" s="30" t="s">
        <v>387</v>
      </c>
      <c r="B513" s="30" t="s">
        <v>333</v>
      </c>
      <c r="C513" s="30">
        <v>5</v>
      </c>
      <c r="D513" s="190">
        <v>13201.108</v>
      </c>
      <c r="E513" s="30" t="s">
        <v>10</v>
      </c>
      <c r="F513" s="190">
        <v>208.83799999999999</v>
      </c>
      <c r="G513" s="30" t="s">
        <v>335</v>
      </c>
      <c r="H513" s="30"/>
    </row>
    <row r="514" spans="1:15" x14ac:dyDescent="0.25">
      <c r="A514" s="30" t="s">
        <v>388</v>
      </c>
      <c r="B514" s="30" t="s">
        <v>333</v>
      </c>
      <c r="C514" s="30">
        <v>5</v>
      </c>
      <c r="D514" s="190">
        <v>8867.2909999999993</v>
      </c>
      <c r="E514" s="30" t="s">
        <v>10</v>
      </c>
      <c r="F514" s="190">
        <v>457.267</v>
      </c>
      <c r="G514" s="30" t="s">
        <v>335</v>
      </c>
      <c r="H514" s="30"/>
    </row>
    <row r="515" spans="1:15" x14ac:dyDescent="0.25">
      <c r="A515" s="30" t="s">
        <v>389</v>
      </c>
      <c r="B515" s="30" t="s">
        <v>333</v>
      </c>
      <c r="C515" s="30">
        <v>5</v>
      </c>
      <c r="D515" s="190">
        <v>8445.3369999999995</v>
      </c>
      <c r="E515" s="30" t="s">
        <v>10</v>
      </c>
      <c r="F515" s="190">
        <v>406.93599999999998</v>
      </c>
      <c r="G515" s="30" t="s">
        <v>335</v>
      </c>
      <c r="H515" s="30"/>
    </row>
    <row r="516" spans="1:15" x14ac:dyDescent="0.25">
      <c r="A516" s="30" t="s">
        <v>390</v>
      </c>
      <c r="B516" s="30" t="s">
        <v>333</v>
      </c>
      <c r="C516" s="30">
        <v>5</v>
      </c>
      <c r="D516" s="190">
        <v>1280.8430000000001</v>
      </c>
      <c r="E516" s="30" t="s">
        <v>10</v>
      </c>
      <c r="F516" s="190">
        <v>16.97</v>
      </c>
      <c r="G516" s="30" t="s">
        <v>335</v>
      </c>
      <c r="H516" s="30"/>
    </row>
    <row r="517" spans="1:15" x14ac:dyDescent="0.25">
      <c r="A517" s="30" t="s">
        <v>391</v>
      </c>
      <c r="B517" s="30" t="s">
        <v>333</v>
      </c>
      <c r="C517" s="30">
        <v>5</v>
      </c>
      <c r="D517" s="190">
        <v>757.19</v>
      </c>
      <c r="E517" s="30" t="s">
        <v>10</v>
      </c>
      <c r="F517" s="190">
        <v>7.984</v>
      </c>
      <c r="G517" s="30" t="s">
        <v>335</v>
      </c>
      <c r="H517" s="30"/>
    </row>
    <row r="518" spans="1:15" x14ac:dyDescent="0.25">
      <c r="A518" s="30" t="s">
        <v>392</v>
      </c>
      <c r="B518" s="30" t="s">
        <v>333</v>
      </c>
      <c r="C518" s="30">
        <v>5</v>
      </c>
      <c r="D518" s="190">
        <v>797.69399999999996</v>
      </c>
      <c r="E518" s="30" t="s">
        <v>10</v>
      </c>
      <c r="F518" s="190">
        <v>28.608000000000001</v>
      </c>
      <c r="G518" s="30" t="s">
        <v>335</v>
      </c>
      <c r="H518" s="30"/>
    </row>
    <row r="519" spans="1:15" x14ac:dyDescent="0.25">
      <c r="A519" s="30"/>
      <c r="B519" s="30"/>
      <c r="C519" s="30"/>
      <c r="D519" s="190"/>
      <c r="E519" s="30"/>
      <c r="F519" s="190"/>
      <c r="G519" s="30"/>
      <c r="H519" s="30"/>
    </row>
    <row r="520" spans="1:15" x14ac:dyDescent="0.25">
      <c r="A520" s="30" t="s">
        <v>0</v>
      </c>
      <c r="B520" s="30" t="s">
        <v>1</v>
      </c>
      <c r="C520" s="30" t="s">
        <v>396</v>
      </c>
      <c r="D520" s="190" t="s">
        <v>332</v>
      </c>
      <c r="E520" s="30" t="s">
        <v>333</v>
      </c>
      <c r="F520" s="190" t="s">
        <v>334</v>
      </c>
      <c r="G520" s="30"/>
      <c r="H520" s="30"/>
    </row>
    <row r="521" spans="1:15" ht="20" thickBot="1" x14ac:dyDescent="0.3">
      <c r="A521" s="30" t="s">
        <v>2</v>
      </c>
      <c r="B521" s="30" t="s">
        <v>3</v>
      </c>
      <c r="C521" s="30" t="s">
        <v>4</v>
      </c>
      <c r="D521" s="190" t="s">
        <v>5</v>
      </c>
      <c r="E521" s="30" t="s">
        <v>6</v>
      </c>
      <c r="F521" s="190" t="s">
        <v>7</v>
      </c>
      <c r="G521" s="30"/>
      <c r="H521" s="30"/>
    </row>
    <row r="522" spans="1:15" x14ac:dyDescent="0.25">
      <c r="A522" s="30" t="s">
        <v>397</v>
      </c>
      <c r="B522" s="30" t="s">
        <v>333</v>
      </c>
      <c r="C522" s="30">
        <v>5</v>
      </c>
      <c r="D522" s="190">
        <v>5780742.4840000002</v>
      </c>
      <c r="E522" s="30" t="s">
        <v>10</v>
      </c>
      <c r="F522" s="190">
        <v>328429.36599999998</v>
      </c>
      <c r="G522" s="30" t="s">
        <v>335</v>
      </c>
      <c r="H522" s="30"/>
      <c r="J522" s="5" t="s">
        <v>428</v>
      </c>
      <c r="K522" s="72" t="s">
        <v>340</v>
      </c>
      <c r="L522" s="72" t="s">
        <v>341</v>
      </c>
      <c r="M522" s="17" t="s">
        <v>162</v>
      </c>
      <c r="N522" s="72" t="s">
        <v>342</v>
      </c>
      <c r="O522" s="21" t="s">
        <v>162</v>
      </c>
    </row>
    <row r="523" spans="1:15" x14ac:dyDescent="0.25">
      <c r="A523" s="30" t="s">
        <v>398</v>
      </c>
      <c r="B523" s="30" t="s">
        <v>333</v>
      </c>
      <c r="C523" s="30">
        <v>5</v>
      </c>
      <c r="D523" s="190">
        <v>5848503.0700000003</v>
      </c>
      <c r="E523" s="30" t="s">
        <v>10</v>
      </c>
      <c r="F523" s="190">
        <v>185965.285</v>
      </c>
      <c r="G523" s="30" t="s">
        <v>335</v>
      </c>
      <c r="H523" s="30"/>
      <c r="J523" s="6">
        <v>100000</v>
      </c>
      <c r="K523" s="119">
        <f>D522</f>
        <v>5780742.4840000002</v>
      </c>
      <c r="L523" s="119">
        <f>D523</f>
        <v>5848503.0700000003</v>
      </c>
      <c r="M523" s="18">
        <f>(K523/L523-1)</f>
        <v>-1.1585970835439774E-2</v>
      </c>
      <c r="N523" s="73">
        <f>D524</f>
        <v>5490976.3279999997</v>
      </c>
      <c r="O523" s="22">
        <f>(K523/N523-1)</f>
        <v>5.2771335859235657E-2</v>
      </c>
    </row>
    <row r="524" spans="1:15" x14ac:dyDescent="0.25">
      <c r="A524" s="30" t="s">
        <v>399</v>
      </c>
      <c r="B524" s="30" t="s">
        <v>333</v>
      </c>
      <c r="C524" s="30">
        <v>5</v>
      </c>
      <c r="D524" s="190">
        <v>5490976.3279999997</v>
      </c>
      <c r="E524" s="30" t="s">
        <v>10</v>
      </c>
      <c r="F524" s="190">
        <v>968743.05799999996</v>
      </c>
      <c r="G524" s="30" t="s">
        <v>335</v>
      </c>
      <c r="H524" s="30"/>
      <c r="J524" s="6">
        <v>50000</v>
      </c>
      <c r="K524" s="119">
        <f>D525</f>
        <v>2786171.162</v>
      </c>
      <c r="L524" s="119">
        <f>D526</f>
        <v>2890587.73</v>
      </c>
      <c r="M524" s="18">
        <f t="shared" ref="M524:M527" si="18">(K524/L524-1)</f>
        <v>-3.6122954137081331E-2</v>
      </c>
      <c r="N524" s="73">
        <f>D527</f>
        <v>2882392.2110000001</v>
      </c>
      <c r="O524" s="22">
        <f t="shared" ref="O524:O527" si="19">(K524/N524-1)</f>
        <v>-3.3382358109626531E-2</v>
      </c>
    </row>
    <row r="525" spans="1:15" x14ac:dyDescent="0.25">
      <c r="A525" s="30" t="s">
        <v>400</v>
      </c>
      <c r="B525" s="30" t="s">
        <v>333</v>
      </c>
      <c r="C525" s="30">
        <v>5</v>
      </c>
      <c r="D525" s="190">
        <v>2786171.162</v>
      </c>
      <c r="E525" s="30" t="s">
        <v>10</v>
      </c>
      <c r="F525" s="190">
        <v>160920.541</v>
      </c>
      <c r="G525" s="30" t="s">
        <v>335</v>
      </c>
      <c r="H525" s="30"/>
      <c r="J525" s="6">
        <v>10000</v>
      </c>
      <c r="K525" s="119">
        <f>D528</f>
        <v>664861.60900000005</v>
      </c>
      <c r="L525" s="119">
        <f>D529</f>
        <v>558108.97900000005</v>
      </c>
      <c r="M525" s="18">
        <f t="shared" si="18"/>
        <v>0.19127560031604518</v>
      </c>
      <c r="N525" s="73">
        <f>D530</f>
        <v>579419.11600000004</v>
      </c>
      <c r="O525" s="22">
        <f t="shared" si="19"/>
        <v>0.14746233018656563</v>
      </c>
    </row>
    <row r="526" spans="1:15" x14ac:dyDescent="0.25">
      <c r="A526" s="30" t="s">
        <v>401</v>
      </c>
      <c r="B526" s="30" t="s">
        <v>333</v>
      </c>
      <c r="C526" s="30">
        <v>5</v>
      </c>
      <c r="D526" s="190">
        <v>2890587.73</v>
      </c>
      <c r="E526" s="30" t="s">
        <v>10</v>
      </c>
      <c r="F526" s="190">
        <v>52906.406000000003</v>
      </c>
      <c r="G526" s="30" t="s">
        <v>335</v>
      </c>
      <c r="H526" s="30"/>
      <c r="J526" s="6">
        <v>1000</v>
      </c>
      <c r="K526" s="119">
        <f>D531</f>
        <v>77817.402000000002</v>
      </c>
      <c r="L526" s="119">
        <f>D532</f>
        <v>56326.415999999997</v>
      </c>
      <c r="M526" s="18">
        <f t="shared" si="18"/>
        <v>0.38154364374967531</v>
      </c>
      <c r="N526" s="73">
        <f>D533</f>
        <v>93675.14</v>
      </c>
      <c r="O526" s="22">
        <f t="shared" si="19"/>
        <v>-0.16928438003935731</v>
      </c>
    </row>
    <row r="527" spans="1:15" ht="20" thickBot="1" x14ac:dyDescent="0.3">
      <c r="A527" s="30" t="s">
        <v>402</v>
      </c>
      <c r="B527" s="30" t="s">
        <v>333</v>
      </c>
      <c r="C527" s="30">
        <v>5</v>
      </c>
      <c r="D527" s="190">
        <v>2882392.2110000001</v>
      </c>
      <c r="E527" s="30" t="s">
        <v>10</v>
      </c>
      <c r="F527" s="190">
        <v>107901.21</v>
      </c>
      <c r="G527" s="30" t="s">
        <v>335</v>
      </c>
      <c r="H527" s="30"/>
      <c r="J527" s="7">
        <v>100</v>
      </c>
      <c r="K527" s="120">
        <f>D534</f>
        <v>5162.808</v>
      </c>
      <c r="L527" s="120">
        <f>D535</f>
        <v>5902.5810000000001</v>
      </c>
      <c r="M527" s="19">
        <f t="shared" si="18"/>
        <v>-0.12533042748587442</v>
      </c>
      <c r="N527" s="74">
        <f>D536</f>
        <v>8826.7070000000003</v>
      </c>
      <c r="O527" s="23">
        <f t="shared" si="19"/>
        <v>-0.41509240082399923</v>
      </c>
    </row>
    <row r="528" spans="1:15" x14ac:dyDescent="0.25">
      <c r="A528" s="30" t="s">
        <v>403</v>
      </c>
      <c r="B528" s="30" t="s">
        <v>333</v>
      </c>
      <c r="C528" s="30">
        <v>5</v>
      </c>
      <c r="D528" s="190">
        <v>664861.60900000005</v>
      </c>
      <c r="E528" s="30" t="s">
        <v>10</v>
      </c>
      <c r="F528" s="190">
        <v>14437.306</v>
      </c>
      <c r="G528" s="30" t="s">
        <v>335</v>
      </c>
      <c r="H528" s="30"/>
    </row>
    <row r="529" spans="1:15" x14ac:dyDescent="0.25">
      <c r="A529" s="30" t="s">
        <v>404</v>
      </c>
      <c r="B529" s="30" t="s">
        <v>333</v>
      </c>
      <c r="C529" s="30">
        <v>5</v>
      </c>
      <c r="D529" s="190">
        <v>558108.97900000005</v>
      </c>
      <c r="E529" s="30" t="s">
        <v>10</v>
      </c>
      <c r="F529" s="190">
        <v>15166.934999999999</v>
      </c>
      <c r="G529" s="30" t="s">
        <v>335</v>
      </c>
      <c r="H529" s="30"/>
    </row>
    <row r="530" spans="1:15" x14ac:dyDescent="0.25">
      <c r="A530" s="30" t="s">
        <v>405</v>
      </c>
      <c r="B530" s="30" t="s">
        <v>333</v>
      </c>
      <c r="C530" s="30">
        <v>5</v>
      </c>
      <c r="D530" s="190">
        <v>579419.11600000004</v>
      </c>
      <c r="E530" s="30" t="s">
        <v>10</v>
      </c>
      <c r="F530" s="190">
        <v>197772.16699999999</v>
      </c>
      <c r="G530" s="30" t="s">
        <v>335</v>
      </c>
      <c r="H530" s="30"/>
    </row>
    <row r="531" spans="1:15" x14ac:dyDescent="0.25">
      <c r="A531" s="30" t="s">
        <v>406</v>
      </c>
      <c r="B531" s="30" t="s">
        <v>333</v>
      </c>
      <c r="C531" s="30">
        <v>5</v>
      </c>
      <c r="D531" s="190">
        <v>77817.402000000002</v>
      </c>
      <c r="E531" s="30" t="s">
        <v>10</v>
      </c>
      <c r="F531" s="190">
        <v>2328.1770000000001</v>
      </c>
      <c r="G531" s="30" t="s">
        <v>335</v>
      </c>
      <c r="H531" s="30"/>
    </row>
    <row r="532" spans="1:15" x14ac:dyDescent="0.25">
      <c r="A532" s="30" t="s">
        <v>407</v>
      </c>
      <c r="B532" s="30" t="s">
        <v>333</v>
      </c>
      <c r="C532" s="30">
        <v>5</v>
      </c>
      <c r="D532" s="190">
        <v>56326.415999999997</v>
      </c>
      <c r="E532" s="30" t="s">
        <v>10</v>
      </c>
      <c r="F532" s="190">
        <v>714.92200000000003</v>
      </c>
      <c r="G532" s="30" t="s">
        <v>335</v>
      </c>
      <c r="H532" s="30"/>
    </row>
    <row r="533" spans="1:15" x14ac:dyDescent="0.25">
      <c r="A533" s="30" t="s">
        <v>408</v>
      </c>
      <c r="B533" s="30" t="s">
        <v>333</v>
      </c>
      <c r="C533" s="30">
        <v>5</v>
      </c>
      <c r="D533" s="190">
        <v>93675.14</v>
      </c>
      <c r="E533" s="30" t="s">
        <v>10</v>
      </c>
      <c r="F533" s="190">
        <v>52735.142999999996</v>
      </c>
      <c r="G533" s="30" t="s">
        <v>335</v>
      </c>
      <c r="H533" s="30"/>
    </row>
    <row r="534" spans="1:15" x14ac:dyDescent="0.25">
      <c r="A534" s="30" t="s">
        <v>409</v>
      </c>
      <c r="B534" s="30" t="s">
        <v>333</v>
      </c>
      <c r="C534" s="30">
        <v>5</v>
      </c>
      <c r="D534" s="190">
        <v>5162.808</v>
      </c>
      <c r="E534" s="30" t="s">
        <v>10</v>
      </c>
      <c r="F534" s="190">
        <v>139.64099999999999</v>
      </c>
      <c r="G534" s="30" t="s">
        <v>335</v>
      </c>
      <c r="H534" s="30"/>
    </row>
    <row r="535" spans="1:15" x14ac:dyDescent="0.25">
      <c r="A535" s="30" t="s">
        <v>410</v>
      </c>
      <c r="B535" s="30" t="s">
        <v>333</v>
      </c>
      <c r="C535" s="30">
        <v>5</v>
      </c>
      <c r="D535" s="190">
        <v>5902.5810000000001</v>
      </c>
      <c r="E535" s="30" t="s">
        <v>10</v>
      </c>
      <c r="F535" s="190">
        <v>186.48599999999999</v>
      </c>
      <c r="G535" s="30" t="s">
        <v>335</v>
      </c>
      <c r="H535" s="30"/>
    </row>
    <row r="536" spans="1:15" x14ac:dyDescent="0.25">
      <c r="A536" s="30" t="s">
        <v>411</v>
      </c>
      <c r="B536" s="30" t="s">
        <v>333</v>
      </c>
      <c r="C536" s="30">
        <v>5</v>
      </c>
      <c r="D536" s="190">
        <v>8826.7070000000003</v>
      </c>
      <c r="E536" s="30" t="s">
        <v>10</v>
      </c>
      <c r="F536" s="190">
        <v>1190.8510000000001</v>
      </c>
      <c r="G536" s="30" t="s">
        <v>335</v>
      </c>
      <c r="H536" s="30"/>
    </row>
    <row r="537" spans="1:15" x14ac:dyDescent="0.25">
      <c r="A537" s="30"/>
      <c r="B537" s="30"/>
      <c r="C537" s="30"/>
      <c r="D537" s="190"/>
      <c r="E537" s="30"/>
      <c r="F537" s="190"/>
      <c r="G537" s="30"/>
      <c r="H537" s="30"/>
    </row>
    <row r="538" spans="1:15" x14ac:dyDescent="0.25">
      <c r="A538" s="30" t="s">
        <v>0</v>
      </c>
      <c r="B538" s="30" t="s">
        <v>1</v>
      </c>
      <c r="C538" s="30" t="s">
        <v>412</v>
      </c>
      <c r="D538" s="190" t="s">
        <v>332</v>
      </c>
      <c r="E538" s="30" t="s">
        <v>333</v>
      </c>
      <c r="F538" s="190" t="s">
        <v>334</v>
      </c>
      <c r="G538" s="30"/>
      <c r="H538" s="30"/>
    </row>
    <row r="539" spans="1:15" ht="20" thickBot="1" x14ac:dyDescent="0.3">
      <c r="A539" s="30" t="s">
        <v>2</v>
      </c>
      <c r="B539" s="30" t="s">
        <v>3</v>
      </c>
      <c r="C539" s="30" t="s">
        <v>4</v>
      </c>
      <c r="D539" s="190" t="s">
        <v>5</v>
      </c>
      <c r="E539" s="30" t="s">
        <v>6</v>
      </c>
      <c r="F539" s="190" t="s">
        <v>7</v>
      </c>
      <c r="G539" s="30"/>
      <c r="H539" s="30"/>
    </row>
    <row r="540" spans="1:15" x14ac:dyDescent="0.25">
      <c r="A540" s="30" t="s">
        <v>413</v>
      </c>
      <c r="B540" s="30" t="s">
        <v>333</v>
      </c>
      <c r="C540" s="30">
        <v>5</v>
      </c>
      <c r="D540" s="190">
        <v>3744472.4350000001</v>
      </c>
      <c r="E540" s="30" t="s">
        <v>10</v>
      </c>
      <c r="F540" s="190">
        <v>258033.32699999999</v>
      </c>
      <c r="G540" s="30" t="s">
        <v>335</v>
      </c>
      <c r="H540" s="30"/>
      <c r="J540" s="5" t="s">
        <v>429</v>
      </c>
      <c r="K540" s="72" t="s">
        <v>340</v>
      </c>
      <c r="L540" s="72" t="s">
        <v>341</v>
      </c>
      <c r="M540" s="17" t="s">
        <v>162</v>
      </c>
      <c r="N540" s="72" t="s">
        <v>342</v>
      </c>
      <c r="O540" s="21" t="s">
        <v>162</v>
      </c>
    </row>
    <row r="541" spans="1:15" x14ac:dyDescent="0.25">
      <c r="A541" s="30" t="s">
        <v>414</v>
      </c>
      <c r="B541" s="30" t="s">
        <v>333</v>
      </c>
      <c r="C541" s="30">
        <v>5</v>
      </c>
      <c r="D541" s="190">
        <v>3370808.17</v>
      </c>
      <c r="E541" s="30" t="s">
        <v>10</v>
      </c>
      <c r="F541" s="190">
        <v>214885.35800000001</v>
      </c>
      <c r="G541" s="30" t="s">
        <v>335</v>
      </c>
      <c r="H541" s="30"/>
      <c r="J541" s="6">
        <v>100000</v>
      </c>
      <c r="K541" s="119">
        <f>D540</f>
        <v>3744472.4350000001</v>
      </c>
      <c r="L541" s="119">
        <f>D541</f>
        <v>3370808.17</v>
      </c>
      <c r="M541" s="18">
        <f>(K541/L541-1)</f>
        <v>0.11085301985606621</v>
      </c>
      <c r="N541" s="73">
        <f>D542</f>
        <v>3438424.3319999999</v>
      </c>
      <c r="O541" s="22">
        <f>(K541/N541-1)</f>
        <v>8.9008241406314026E-2</v>
      </c>
    </row>
    <row r="542" spans="1:15" x14ac:dyDescent="0.25">
      <c r="A542" s="30" t="s">
        <v>415</v>
      </c>
      <c r="B542" s="30" t="s">
        <v>333</v>
      </c>
      <c r="C542" s="30">
        <v>5</v>
      </c>
      <c r="D542" s="190">
        <v>3438424.3319999999</v>
      </c>
      <c r="E542" s="30" t="s">
        <v>10</v>
      </c>
      <c r="F542" s="190">
        <v>658634.951</v>
      </c>
      <c r="G542" s="30" t="s">
        <v>335</v>
      </c>
      <c r="H542" s="30"/>
      <c r="J542" s="6">
        <v>50000</v>
      </c>
      <c r="K542" s="119">
        <f>D543</f>
        <v>1809949.182</v>
      </c>
      <c r="L542" s="119">
        <f>D544</f>
        <v>1724109.6569999999</v>
      </c>
      <c r="M542" s="18">
        <f t="shared" ref="M542:M545" si="20">(K542/L542-1)</f>
        <v>4.9787740966176885E-2</v>
      </c>
      <c r="N542" s="73">
        <f>D545</f>
        <v>1651927.4010000001</v>
      </c>
      <c r="O542" s="22">
        <f t="shared" ref="O542:O545" si="21">(K542/N542-1)</f>
        <v>9.565903495779593E-2</v>
      </c>
    </row>
    <row r="543" spans="1:15" x14ac:dyDescent="0.25">
      <c r="A543" s="30" t="s">
        <v>416</v>
      </c>
      <c r="B543" s="30" t="s">
        <v>333</v>
      </c>
      <c r="C543" s="30">
        <v>5</v>
      </c>
      <c r="D543" s="190">
        <v>1809949.182</v>
      </c>
      <c r="E543" s="30" t="s">
        <v>10</v>
      </c>
      <c r="F543" s="190">
        <v>65658.384000000005</v>
      </c>
      <c r="G543" s="30" t="s">
        <v>335</v>
      </c>
      <c r="H543" s="30"/>
      <c r="J543" s="6">
        <v>10000</v>
      </c>
      <c r="K543" s="119">
        <f>D546</f>
        <v>389565.78600000002</v>
      </c>
      <c r="L543" s="119">
        <f>D547</f>
        <v>333379.75699999998</v>
      </c>
      <c r="M543" s="18">
        <f t="shared" si="20"/>
        <v>0.16853461501563238</v>
      </c>
      <c r="N543" s="73">
        <f>D548</f>
        <v>343641.64399999997</v>
      </c>
      <c r="O543" s="22">
        <f t="shared" si="21"/>
        <v>0.13363962954385133</v>
      </c>
    </row>
    <row r="544" spans="1:15" x14ac:dyDescent="0.25">
      <c r="A544" s="30" t="s">
        <v>417</v>
      </c>
      <c r="B544" s="30" t="s">
        <v>333</v>
      </c>
      <c r="C544" s="30">
        <v>5</v>
      </c>
      <c r="D544" s="190">
        <v>1724109.6569999999</v>
      </c>
      <c r="E544" s="30" t="s">
        <v>10</v>
      </c>
      <c r="F544" s="190">
        <v>32318.758000000002</v>
      </c>
      <c r="G544" s="30" t="s">
        <v>335</v>
      </c>
      <c r="H544" s="30"/>
      <c r="J544" s="6">
        <v>1000</v>
      </c>
      <c r="K544" s="119">
        <f>D549</f>
        <v>45802.175999999999</v>
      </c>
      <c r="L544" s="119">
        <f>D550</f>
        <v>33951.879000000001</v>
      </c>
      <c r="M544" s="18">
        <f t="shared" si="20"/>
        <v>0.34903214045973718</v>
      </c>
      <c r="N544" s="73">
        <f>D551</f>
        <v>38605.235000000001</v>
      </c>
      <c r="O544" s="22">
        <f t="shared" si="21"/>
        <v>0.18642396555803886</v>
      </c>
    </row>
    <row r="545" spans="1:15" ht="20" thickBot="1" x14ac:dyDescent="0.3">
      <c r="A545" s="30" t="s">
        <v>418</v>
      </c>
      <c r="B545" s="30" t="s">
        <v>333</v>
      </c>
      <c r="C545" s="30">
        <v>5</v>
      </c>
      <c r="D545" s="190">
        <v>1651927.4010000001</v>
      </c>
      <c r="E545" s="30" t="s">
        <v>10</v>
      </c>
      <c r="F545" s="190">
        <v>263184.73800000001</v>
      </c>
      <c r="G545" s="30" t="s">
        <v>335</v>
      </c>
      <c r="H545" s="30"/>
      <c r="J545" s="7">
        <v>100</v>
      </c>
      <c r="K545" s="120">
        <f>D552</f>
        <v>3365.681</v>
      </c>
      <c r="L545" s="120">
        <f>D553</f>
        <v>3328.4630000000002</v>
      </c>
      <c r="M545" s="19">
        <f t="shared" si="20"/>
        <v>1.1181737636861255E-2</v>
      </c>
      <c r="N545" s="74">
        <f>D554</f>
        <v>5996.7520000000004</v>
      </c>
      <c r="O545" s="23">
        <f t="shared" si="21"/>
        <v>-0.43874934297766532</v>
      </c>
    </row>
    <row r="546" spans="1:15" x14ac:dyDescent="0.25">
      <c r="A546" s="30" t="s">
        <v>419</v>
      </c>
      <c r="B546" s="30" t="s">
        <v>333</v>
      </c>
      <c r="C546" s="30">
        <v>5</v>
      </c>
      <c r="D546" s="190">
        <v>389565.78600000002</v>
      </c>
      <c r="E546" s="30" t="s">
        <v>10</v>
      </c>
      <c r="F546" s="190">
        <v>8039.335</v>
      </c>
      <c r="G546" s="30" t="s">
        <v>335</v>
      </c>
      <c r="H546" s="30"/>
    </row>
    <row r="547" spans="1:15" x14ac:dyDescent="0.25">
      <c r="A547" s="30" t="s">
        <v>420</v>
      </c>
      <c r="B547" s="30" t="s">
        <v>333</v>
      </c>
      <c r="C547" s="30">
        <v>5</v>
      </c>
      <c r="D547" s="190">
        <v>333379.75699999998</v>
      </c>
      <c r="E547" s="30" t="s">
        <v>10</v>
      </c>
      <c r="F547" s="190">
        <v>25259.508000000002</v>
      </c>
      <c r="G547" s="30" t="s">
        <v>335</v>
      </c>
      <c r="H547" s="30"/>
    </row>
    <row r="548" spans="1:15" x14ac:dyDescent="0.25">
      <c r="A548" s="30" t="s">
        <v>421</v>
      </c>
      <c r="B548" s="30" t="s">
        <v>333</v>
      </c>
      <c r="C548" s="30">
        <v>5</v>
      </c>
      <c r="D548" s="190">
        <v>343641.64399999997</v>
      </c>
      <c r="E548" s="30" t="s">
        <v>10</v>
      </c>
      <c r="F548" s="190">
        <v>70487.138999999996</v>
      </c>
      <c r="G548" s="30" t="s">
        <v>335</v>
      </c>
      <c r="H548" s="30"/>
    </row>
    <row r="549" spans="1:15" x14ac:dyDescent="0.25">
      <c r="A549" s="30" t="s">
        <v>422</v>
      </c>
      <c r="B549" s="30" t="s">
        <v>333</v>
      </c>
      <c r="C549" s="30">
        <v>5</v>
      </c>
      <c r="D549" s="190">
        <v>45802.175999999999</v>
      </c>
      <c r="E549" s="30" t="s">
        <v>10</v>
      </c>
      <c r="F549" s="190">
        <v>1727.3130000000001</v>
      </c>
      <c r="G549" s="30" t="s">
        <v>335</v>
      </c>
      <c r="H549" s="30"/>
    </row>
    <row r="550" spans="1:15" x14ac:dyDescent="0.25">
      <c r="A550" s="30" t="s">
        <v>423</v>
      </c>
      <c r="B550" s="30" t="s">
        <v>333</v>
      </c>
      <c r="C550" s="30">
        <v>5</v>
      </c>
      <c r="D550" s="190">
        <v>33951.879000000001</v>
      </c>
      <c r="E550" s="30" t="s">
        <v>10</v>
      </c>
      <c r="F550" s="190">
        <v>1755.8320000000001</v>
      </c>
      <c r="G550" s="30" t="s">
        <v>335</v>
      </c>
      <c r="H550" s="30"/>
    </row>
    <row r="551" spans="1:15" x14ac:dyDescent="0.25">
      <c r="A551" s="30" t="s">
        <v>424</v>
      </c>
      <c r="B551" s="30" t="s">
        <v>333</v>
      </c>
      <c r="C551" s="30">
        <v>5</v>
      </c>
      <c r="D551" s="190">
        <v>38605.235000000001</v>
      </c>
      <c r="E551" s="30" t="s">
        <v>10</v>
      </c>
      <c r="F551" s="190">
        <v>1070.3620000000001</v>
      </c>
      <c r="G551" s="30" t="s">
        <v>335</v>
      </c>
      <c r="H551" s="30"/>
    </row>
    <row r="552" spans="1:15" x14ac:dyDescent="0.25">
      <c r="A552" s="30" t="s">
        <v>425</v>
      </c>
      <c r="B552" s="30" t="s">
        <v>333</v>
      </c>
      <c r="C552" s="30">
        <v>5</v>
      </c>
      <c r="D552" s="190">
        <v>3365.681</v>
      </c>
      <c r="E552" s="30" t="s">
        <v>10</v>
      </c>
      <c r="F552" s="190">
        <v>60.685000000000002</v>
      </c>
      <c r="G552" s="30" t="s">
        <v>335</v>
      </c>
      <c r="H552" s="30"/>
    </row>
    <row r="553" spans="1:15" x14ac:dyDescent="0.25">
      <c r="A553" s="30" t="s">
        <v>426</v>
      </c>
      <c r="B553" s="30" t="s">
        <v>333</v>
      </c>
      <c r="C553" s="30">
        <v>5</v>
      </c>
      <c r="D553" s="190">
        <v>3328.4630000000002</v>
      </c>
      <c r="E553" s="30" t="s">
        <v>10</v>
      </c>
      <c r="F553" s="190">
        <v>25.969000000000001</v>
      </c>
      <c r="G553" s="30" t="s">
        <v>335</v>
      </c>
      <c r="H553" s="30"/>
    </row>
    <row r="554" spans="1:15" x14ac:dyDescent="0.25">
      <c r="A554" s="30" t="s">
        <v>427</v>
      </c>
      <c r="B554" s="30" t="s">
        <v>333</v>
      </c>
      <c r="C554" s="30">
        <v>5</v>
      </c>
      <c r="D554" s="190">
        <v>5996.7520000000004</v>
      </c>
      <c r="E554" s="30" t="s">
        <v>10</v>
      </c>
      <c r="F554" s="190">
        <v>687.12699999999995</v>
      </c>
      <c r="G554" s="30" t="s">
        <v>335</v>
      </c>
      <c r="H554" s="30"/>
    </row>
    <row r="556" spans="1:15" x14ac:dyDescent="0.25">
      <c r="A556" s="30" t="s">
        <v>430</v>
      </c>
      <c r="B556" s="30" t="s">
        <v>332</v>
      </c>
      <c r="C556" s="30" t="s">
        <v>333</v>
      </c>
      <c r="D556" s="190" t="s">
        <v>334</v>
      </c>
      <c r="E556" s="30"/>
      <c r="F556" s="190"/>
      <c r="G556" s="30"/>
      <c r="H556" s="30"/>
    </row>
    <row r="557" spans="1:15" ht="20" thickBot="1" x14ac:dyDescent="0.3">
      <c r="A557" s="30" t="s">
        <v>2</v>
      </c>
      <c r="B557" s="30" t="s">
        <v>3</v>
      </c>
      <c r="C557" s="30" t="s">
        <v>4</v>
      </c>
      <c r="D557" s="190" t="s">
        <v>5</v>
      </c>
      <c r="E557" s="30" t="s">
        <v>6</v>
      </c>
      <c r="F557" s="190" t="s">
        <v>7</v>
      </c>
      <c r="G557" s="30"/>
      <c r="H557" s="30"/>
    </row>
    <row r="558" spans="1:15" x14ac:dyDescent="0.25">
      <c r="A558" s="30" t="s">
        <v>431</v>
      </c>
      <c r="B558" s="30" t="s">
        <v>333</v>
      </c>
      <c r="C558" s="30">
        <v>5</v>
      </c>
      <c r="D558" s="190">
        <v>3910875.12</v>
      </c>
      <c r="E558" s="30" t="s">
        <v>10</v>
      </c>
      <c r="F558" s="190">
        <v>179517.10699999999</v>
      </c>
      <c r="G558" s="30" t="s">
        <v>335</v>
      </c>
      <c r="H558" s="30"/>
      <c r="J558" s="5" t="s">
        <v>478</v>
      </c>
      <c r="K558" s="72" t="s">
        <v>340</v>
      </c>
      <c r="L558" s="72" t="s">
        <v>341</v>
      </c>
      <c r="M558" s="17" t="s">
        <v>162</v>
      </c>
      <c r="N558" s="72" t="s">
        <v>342</v>
      </c>
      <c r="O558" s="21" t="s">
        <v>162</v>
      </c>
    </row>
    <row r="559" spans="1:15" x14ac:dyDescent="0.25">
      <c r="A559" s="30" t="s">
        <v>432</v>
      </c>
      <c r="B559" s="30" t="s">
        <v>333</v>
      </c>
      <c r="C559" s="30">
        <v>5</v>
      </c>
      <c r="D559" s="190">
        <v>7790683.6009999998</v>
      </c>
      <c r="E559" s="30" t="s">
        <v>10</v>
      </c>
      <c r="F559" s="190">
        <v>310653.30699999997</v>
      </c>
      <c r="G559" s="30" t="s">
        <v>335</v>
      </c>
      <c r="H559" s="30"/>
      <c r="J559" s="6">
        <v>100000</v>
      </c>
      <c r="K559" s="119">
        <f>D558</f>
        <v>3910875.12</v>
      </c>
      <c r="L559" s="119">
        <f>D559</f>
        <v>7790683.6009999998</v>
      </c>
      <c r="M559" s="18">
        <f>(K559/L559-1)</f>
        <v>-0.49800616732811398</v>
      </c>
      <c r="N559" s="73">
        <f>D560</f>
        <v>5737715.949</v>
      </c>
      <c r="O559" s="22">
        <f>(K559/N559-1)</f>
        <v>-0.3183916466478951</v>
      </c>
    </row>
    <row r="560" spans="1:15" x14ac:dyDescent="0.25">
      <c r="A560" s="30" t="s">
        <v>433</v>
      </c>
      <c r="B560" s="30" t="s">
        <v>333</v>
      </c>
      <c r="C560" s="30">
        <v>5</v>
      </c>
      <c r="D560" s="190">
        <v>5737715.949</v>
      </c>
      <c r="E560" s="30" t="s">
        <v>10</v>
      </c>
      <c r="F560" s="190">
        <v>3041101.4720000001</v>
      </c>
      <c r="G560" s="30" t="s">
        <v>335</v>
      </c>
      <c r="H560" s="30"/>
      <c r="J560" s="6">
        <v>50000</v>
      </c>
      <c r="K560" s="119">
        <f>D561</f>
        <v>1883765.9580000001</v>
      </c>
      <c r="L560" s="119">
        <f>D562</f>
        <v>3688011.1660000002</v>
      </c>
      <c r="M560" s="18">
        <f t="shared" ref="M560:M563" si="22">(K560/L560-1)</f>
        <v>-0.48921901989707806</v>
      </c>
      <c r="N560" s="73">
        <f>D563</f>
        <v>2491675.088</v>
      </c>
      <c r="O560" s="22">
        <f t="shared" ref="O560:O563" si="23">(K560/N560-1)</f>
        <v>-0.24397608377099922</v>
      </c>
    </row>
    <row r="561" spans="1:15" x14ac:dyDescent="0.25">
      <c r="A561" s="30" t="s">
        <v>434</v>
      </c>
      <c r="B561" s="30" t="s">
        <v>333</v>
      </c>
      <c r="C561" s="30">
        <v>5</v>
      </c>
      <c r="D561" s="190">
        <v>1883765.9580000001</v>
      </c>
      <c r="E561" s="30" t="s">
        <v>10</v>
      </c>
      <c r="F561" s="190">
        <v>83053.205000000002</v>
      </c>
      <c r="G561" s="30" t="s">
        <v>335</v>
      </c>
      <c r="H561" s="30"/>
      <c r="J561" s="6">
        <v>10000</v>
      </c>
      <c r="K561" s="119">
        <f>D564</f>
        <v>392174.07</v>
      </c>
      <c r="L561" s="119">
        <f>D565</f>
        <v>735806.5</v>
      </c>
      <c r="M561" s="18">
        <f t="shared" si="22"/>
        <v>-0.46701467029715016</v>
      </c>
      <c r="N561" s="73">
        <f>D566</f>
        <v>488224.717</v>
      </c>
      <c r="O561" s="22">
        <f t="shared" si="23"/>
        <v>-0.19673450289490357</v>
      </c>
    </row>
    <row r="562" spans="1:15" x14ac:dyDescent="0.25">
      <c r="A562" s="30" t="s">
        <v>435</v>
      </c>
      <c r="B562" s="30" t="s">
        <v>333</v>
      </c>
      <c r="C562" s="30">
        <v>5</v>
      </c>
      <c r="D562" s="190">
        <v>3688011.1660000002</v>
      </c>
      <c r="E562" s="30" t="s">
        <v>10</v>
      </c>
      <c r="F562" s="190">
        <v>978434.16099999996</v>
      </c>
      <c r="G562" s="30" t="s">
        <v>335</v>
      </c>
      <c r="H562" s="30"/>
      <c r="J562" s="6">
        <v>1000</v>
      </c>
      <c r="K562" s="119">
        <f>D567</f>
        <v>52902.063999999998</v>
      </c>
      <c r="L562" s="119">
        <f>D568</f>
        <v>86500.453999999998</v>
      </c>
      <c r="M562" s="18">
        <f t="shared" si="22"/>
        <v>-0.38841865500497841</v>
      </c>
      <c r="N562" s="73">
        <f>D569</f>
        <v>53486.131000000001</v>
      </c>
      <c r="O562" s="22">
        <f t="shared" si="23"/>
        <v>-1.0919971010802887E-2</v>
      </c>
    </row>
    <row r="563" spans="1:15" ht="20" thickBot="1" x14ac:dyDescent="0.3">
      <c r="A563" s="30" t="s">
        <v>436</v>
      </c>
      <c r="B563" s="30" t="s">
        <v>333</v>
      </c>
      <c r="C563" s="30">
        <v>5</v>
      </c>
      <c r="D563" s="190">
        <v>2491675.088</v>
      </c>
      <c r="E563" s="30" t="s">
        <v>10</v>
      </c>
      <c r="F563" s="190">
        <v>1045240.172</v>
      </c>
      <c r="G563" s="30" t="s">
        <v>335</v>
      </c>
      <c r="H563" s="30"/>
      <c r="J563" s="7">
        <v>100</v>
      </c>
      <c r="K563" s="120">
        <f>D570</f>
        <v>3788.6320000000001</v>
      </c>
      <c r="L563" s="120">
        <f>D571</f>
        <v>5873.0860000000002</v>
      </c>
      <c r="M563" s="19">
        <f t="shared" si="22"/>
        <v>-0.35491630805338115</v>
      </c>
      <c r="N563" s="74">
        <f>D572</f>
        <v>5783.7340000000004</v>
      </c>
      <c r="O563" s="23">
        <f t="shared" si="23"/>
        <v>-0.34495051120954046</v>
      </c>
    </row>
    <row r="564" spans="1:15" x14ac:dyDescent="0.25">
      <c r="A564" s="30" t="s">
        <v>437</v>
      </c>
      <c r="B564" s="30" t="s">
        <v>333</v>
      </c>
      <c r="C564" s="30">
        <v>5</v>
      </c>
      <c r="D564" s="190">
        <v>392174.07</v>
      </c>
      <c r="E564" s="30" t="s">
        <v>10</v>
      </c>
      <c r="F564" s="190">
        <v>15540.286</v>
      </c>
      <c r="G564" s="30" t="s">
        <v>335</v>
      </c>
      <c r="H564" s="30"/>
    </row>
    <row r="565" spans="1:15" x14ac:dyDescent="0.25">
      <c r="A565" s="30" t="s">
        <v>438</v>
      </c>
      <c r="B565" s="30" t="s">
        <v>333</v>
      </c>
      <c r="C565" s="30">
        <v>5</v>
      </c>
      <c r="D565" s="190">
        <v>735806.5</v>
      </c>
      <c r="E565" s="30" t="s">
        <v>10</v>
      </c>
      <c r="F565" s="190">
        <v>54850.485000000001</v>
      </c>
      <c r="G565" s="30" t="s">
        <v>335</v>
      </c>
      <c r="H565" s="30"/>
    </row>
    <row r="566" spans="1:15" x14ac:dyDescent="0.25">
      <c r="A566" s="30" t="s">
        <v>439</v>
      </c>
      <c r="B566" s="30" t="s">
        <v>333</v>
      </c>
      <c r="C566" s="30">
        <v>5</v>
      </c>
      <c r="D566" s="190">
        <v>488224.717</v>
      </c>
      <c r="E566" s="30" t="s">
        <v>10</v>
      </c>
      <c r="F566" s="190">
        <v>188194.58</v>
      </c>
      <c r="G566" s="30" t="s">
        <v>335</v>
      </c>
      <c r="H566" s="30"/>
    </row>
    <row r="567" spans="1:15" x14ac:dyDescent="0.25">
      <c r="A567" s="30" t="s">
        <v>440</v>
      </c>
      <c r="B567" s="30" t="s">
        <v>333</v>
      </c>
      <c r="C567" s="30">
        <v>5</v>
      </c>
      <c r="D567" s="190">
        <v>52902.063999999998</v>
      </c>
      <c r="E567" s="30" t="s">
        <v>10</v>
      </c>
      <c r="F567" s="190">
        <v>2789.39</v>
      </c>
      <c r="G567" s="30" t="s">
        <v>335</v>
      </c>
      <c r="H567" s="30"/>
    </row>
    <row r="568" spans="1:15" x14ac:dyDescent="0.25">
      <c r="A568" s="30" t="s">
        <v>441</v>
      </c>
      <c r="B568" s="30" t="s">
        <v>333</v>
      </c>
      <c r="C568" s="30">
        <v>5</v>
      </c>
      <c r="D568" s="190">
        <v>86500.453999999998</v>
      </c>
      <c r="E568" s="30" t="s">
        <v>10</v>
      </c>
      <c r="F568" s="190">
        <v>3305.6280000000002</v>
      </c>
      <c r="G568" s="30" t="s">
        <v>335</v>
      </c>
      <c r="H568" s="30"/>
    </row>
    <row r="569" spans="1:15" x14ac:dyDescent="0.25">
      <c r="A569" s="30" t="s">
        <v>442</v>
      </c>
      <c r="B569" s="30" t="s">
        <v>333</v>
      </c>
      <c r="C569" s="30">
        <v>5</v>
      </c>
      <c r="D569" s="190">
        <v>53486.131000000001</v>
      </c>
      <c r="E569" s="30" t="s">
        <v>10</v>
      </c>
      <c r="F569" s="190">
        <v>17700.939999999999</v>
      </c>
      <c r="G569" s="30" t="s">
        <v>335</v>
      </c>
      <c r="H569" s="30"/>
    </row>
    <row r="570" spans="1:15" x14ac:dyDescent="0.25">
      <c r="A570" s="30" t="s">
        <v>443</v>
      </c>
      <c r="B570" s="30" t="s">
        <v>333</v>
      </c>
      <c r="C570" s="30">
        <v>5</v>
      </c>
      <c r="D570" s="190">
        <v>3788.6320000000001</v>
      </c>
      <c r="E570" s="30" t="s">
        <v>10</v>
      </c>
      <c r="F570" s="190">
        <v>151.821</v>
      </c>
      <c r="G570" s="30" t="s">
        <v>335</v>
      </c>
      <c r="H570" s="30"/>
    </row>
    <row r="571" spans="1:15" x14ac:dyDescent="0.25">
      <c r="A571" s="30" t="s">
        <v>444</v>
      </c>
      <c r="B571" s="30" t="s">
        <v>333</v>
      </c>
      <c r="C571" s="30">
        <v>5</v>
      </c>
      <c r="D571" s="190">
        <v>5873.0860000000002</v>
      </c>
      <c r="E571" s="30" t="s">
        <v>10</v>
      </c>
      <c r="F571" s="190">
        <v>91.472999999999999</v>
      </c>
      <c r="G571" s="30" t="s">
        <v>335</v>
      </c>
      <c r="H571" s="30"/>
    </row>
    <row r="572" spans="1:15" x14ac:dyDescent="0.25">
      <c r="A572" s="30" t="s">
        <v>445</v>
      </c>
      <c r="B572" s="30" t="s">
        <v>333</v>
      </c>
      <c r="C572" s="30">
        <v>5</v>
      </c>
      <c r="D572" s="190">
        <v>5783.7340000000004</v>
      </c>
      <c r="E572" s="30" t="s">
        <v>10</v>
      </c>
      <c r="F572" s="190">
        <v>1887.018</v>
      </c>
      <c r="G572" s="30" t="s">
        <v>335</v>
      </c>
      <c r="H572" s="30"/>
    </row>
    <row r="574" spans="1:15" x14ac:dyDescent="0.25">
      <c r="A574" s="30" t="s">
        <v>446</v>
      </c>
      <c r="B574" s="30" t="s">
        <v>332</v>
      </c>
      <c r="C574" s="30" t="s">
        <v>333</v>
      </c>
      <c r="D574" s="190" t="s">
        <v>334</v>
      </c>
      <c r="E574" s="30"/>
      <c r="F574" s="190"/>
      <c r="G574" s="30"/>
      <c r="H574" s="30"/>
    </row>
    <row r="575" spans="1:15" ht="20" thickBot="1" x14ac:dyDescent="0.3">
      <c r="A575" s="30" t="s">
        <v>2</v>
      </c>
      <c r="B575" s="30" t="s">
        <v>3</v>
      </c>
      <c r="C575" s="30" t="s">
        <v>4</v>
      </c>
      <c r="D575" s="190" t="s">
        <v>5</v>
      </c>
      <c r="E575" s="30" t="s">
        <v>6</v>
      </c>
      <c r="F575" s="190" t="s">
        <v>7</v>
      </c>
      <c r="G575" s="30"/>
      <c r="H575" s="30"/>
    </row>
    <row r="576" spans="1:15" x14ac:dyDescent="0.25">
      <c r="A576" s="30" t="s">
        <v>447</v>
      </c>
      <c r="B576" s="30" t="s">
        <v>333</v>
      </c>
      <c r="C576" s="30">
        <v>5</v>
      </c>
      <c r="D576" s="190">
        <v>2066660.649</v>
      </c>
      <c r="E576" s="30" t="s">
        <v>10</v>
      </c>
      <c r="F576" s="190">
        <v>144558.372</v>
      </c>
      <c r="G576" s="30" t="s">
        <v>335</v>
      </c>
      <c r="H576" s="30"/>
      <c r="J576" s="5" t="s">
        <v>480</v>
      </c>
      <c r="K576" s="72" t="s">
        <v>340</v>
      </c>
      <c r="L576" s="72" t="s">
        <v>341</v>
      </c>
      <c r="M576" s="17" t="s">
        <v>162</v>
      </c>
      <c r="N576" s="72" t="s">
        <v>342</v>
      </c>
      <c r="O576" s="21" t="s">
        <v>162</v>
      </c>
    </row>
    <row r="577" spans="1:15" x14ac:dyDescent="0.25">
      <c r="A577" s="30" t="s">
        <v>448</v>
      </c>
      <c r="B577" s="30" t="s">
        <v>333</v>
      </c>
      <c r="C577" s="30">
        <v>5</v>
      </c>
      <c r="D577" s="190">
        <v>2655565.645</v>
      </c>
      <c r="E577" s="30" t="s">
        <v>10</v>
      </c>
      <c r="F577" s="190">
        <v>178534.99400000001</v>
      </c>
      <c r="G577" s="30" t="s">
        <v>335</v>
      </c>
      <c r="H577" s="30"/>
      <c r="J577" s="6">
        <v>100000</v>
      </c>
      <c r="K577" s="119">
        <f>D576</f>
        <v>2066660.649</v>
      </c>
      <c r="L577" s="119">
        <f>D577</f>
        <v>2655565.645</v>
      </c>
      <c r="M577" s="18">
        <f>(K577/L577-1)</f>
        <v>-0.22176254505657311</v>
      </c>
      <c r="N577" s="73">
        <f>D578</f>
        <v>2606047.7259999998</v>
      </c>
      <c r="O577" s="22">
        <f>(K577/N577-1)</f>
        <v>-0.20697513388517275</v>
      </c>
    </row>
    <row r="578" spans="1:15" x14ac:dyDescent="0.25">
      <c r="A578" s="30" t="s">
        <v>449</v>
      </c>
      <c r="B578" s="30" t="s">
        <v>333</v>
      </c>
      <c r="C578" s="30">
        <v>5</v>
      </c>
      <c r="D578" s="190">
        <v>2606047.7259999998</v>
      </c>
      <c r="E578" s="30" t="s">
        <v>10</v>
      </c>
      <c r="F578" s="190">
        <v>1232860.4820000001</v>
      </c>
      <c r="G578" s="30" t="s">
        <v>335</v>
      </c>
      <c r="H578" s="30"/>
      <c r="J578" s="6">
        <v>50000</v>
      </c>
      <c r="K578" s="119">
        <f>D579</f>
        <v>1031356.613</v>
      </c>
      <c r="L578" s="119">
        <f>D580</f>
        <v>1280464.889</v>
      </c>
      <c r="M578" s="18">
        <f t="shared" ref="M578:M581" si="24">(K578/L578-1)</f>
        <v>-0.19454518287849742</v>
      </c>
      <c r="N578" s="73">
        <f>D581</f>
        <v>1155269.2560000001</v>
      </c>
      <c r="O578" s="22">
        <f t="shared" ref="O578:O581" si="25">(K578/N578-1)</f>
        <v>-0.10725866922922778</v>
      </c>
    </row>
    <row r="579" spans="1:15" x14ac:dyDescent="0.25">
      <c r="A579" s="30" t="s">
        <v>450</v>
      </c>
      <c r="B579" s="30" t="s">
        <v>333</v>
      </c>
      <c r="C579" s="30">
        <v>5</v>
      </c>
      <c r="D579" s="190">
        <v>1031356.613</v>
      </c>
      <c r="E579" s="30" t="s">
        <v>10</v>
      </c>
      <c r="F579" s="190">
        <v>75752.131999999998</v>
      </c>
      <c r="G579" s="30" t="s">
        <v>335</v>
      </c>
      <c r="H579" s="30"/>
      <c r="J579" s="6">
        <v>10000</v>
      </c>
      <c r="K579" s="119">
        <f>D582</f>
        <v>211068.098</v>
      </c>
      <c r="L579" s="119">
        <f>D583</f>
        <v>257656.91699999999</v>
      </c>
      <c r="M579" s="18">
        <f t="shared" si="24"/>
        <v>-0.18081726484369909</v>
      </c>
      <c r="N579" s="73">
        <f>D584</f>
        <v>261006.10800000001</v>
      </c>
      <c r="O579" s="22">
        <f t="shared" si="25"/>
        <v>-0.19132889411155085</v>
      </c>
    </row>
    <row r="580" spans="1:15" x14ac:dyDescent="0.25">
      <c r="A580" s="30" t="s">
        <v>451</v>
      </c>
      <c r="B580" s="30" t="s">
        <v>333</v>
      </c>
      <c r="C580" s="30">
        <v>5</v>
      </c>
      <c r="D580" s="190">
        <v>1280464.889</v>
      </c>
      <c r="E580" s="30" t="s">
        <v>10</v>
      </c>
      <c r="F580" s="190">
        <v>39322.324000000001</v>
      </c>
      <c r="G580" s="30" t="s">
        <v>335</v>
      </c>
      <c r="H580" s="30"/>
      <c r="J580" s="6">
        <v>1000</v>
      </c>
      <c r="K580" s="119">
        <f>D585</f>
        <v>27543.673999999999</v>
      </c>
      <c r="L580" s="119">
        <f>D586</f>
        <v>27575.659</v>
      </c>
      <c r="M580" s="18">
        <f t="shared" si="24"/>
        <v>-1.1598997507186182E-3</v>
      </c>
      <c r="N580" s="73">
        <f>D587</f>
        <v>26612.974999999999</v>
      </c>
      <c r="O580" s="22">
        <f t="shared" si="25"/>
        <v>3.4971625682585383E-2</v>
      </c>
    </row>
    <row r="581" spans="1:15" ht="20" thickBot="1" x14ac:dyDescent="0.3">
      <c r="A581" s="30" t="s">
        <v>452</v>
      </c>
      <c r="B581" s="30" t="s">
        <v>333</v>
      </c>
      <c r="C581" s="30">
        <v>5</v>
      </c>
      <c r="D581" s="190">
        <v>1155269.2560000001</v>
      </c>
      <c r="E581" s="30" t="s">
        <v>10</v>
      </c>
      <c r="F581" s="190">
        <v>399293.06900000002</v>
      </c>
      <c r="G581" s="30" t="s">
        <v>335</v>
      </c>
      <c r="H581" s="30"/>
      <c r="J581" s="7">
        <v>100</v>
      </c>
      <c r="K581" s="120">
        <f>D588</f>
        <v>2075.6170000000002</v>
      </c>
      <c r="L581" s="120">
        <f>D589</f>
        <v>2171.6010000000001</v>
      </c>
      <c r="M581" s="19">
        <f t="shared" si="24"/>
        <v>-4.4199648093733557E-2</v>
      </c>
      <c r="N581" s="74">
        <f>D590</f>
        <v>2981.58</v>
      </c>
      <c r="O581" s="23">
        <f t="shared" si="25"/>
        <v>-0.30385332608885218</v>
      </c>
    </row>
    <row r="582" spans="1:15" x14ac:dyDescent="0.25">
      <c r="A582" s="30" t="s">
        <v>453</v>
      </c>
      <c r="B582" s="30" t="s">
        <v>333</v>
      </c>
      <c r="C582" s="30">
        <v>5</v>
      </c>
      <c r="D582" s="190">
        <v>211068.098</v>
      </c>
      <c r="E582" s="30" t="s">
        <v>10</v>
      </c>
      <c r="F582" s="190">
        <v>3698.7069999999999</v>
      </c>
      <c r="G582" s="30" t="s">
        <v>335</v>
      </c>
      <c r="H582" s="30"/>
    </row>
    <row r="583" spans="1:15" x14ac:dyDescent="0.25">
      <c r="A583" s="30" t="s">
        <v>454</v>
      </c>
      <c r="B583" s="30" t="s">
        <v>333</v>
      </c>
      <c r="C583" s="30">
        <v>5</v>
      </c>
      <c r="D583" s="190">
        <v>257656.91699999999</v>
      </c>
      <c r="E583" s="30" t="s">
        <v>10</v>
      </c>
      <c r="F583" s="190">
        <v>7716.1580000000004</v>
      </c>
      <c r="G583" s="30" t="s">
        <v>335</v>
      </c>
      <c r="H583" s="30"/>
    </row>
    <row r="584" spans="1:15" x14ac:dyDescent="0.25">
      <c r="A584" s="30" t="s">
        <v>455</v>
      </c>
      <c r="B584" s="30" t="s">
        <v>333</v>
      </c>
      <c r="C584" s="30">
        <v>5</v>
      </c>
      <c r="D584" s="190">
        <v>261006.10800000001</v>
      </c>
      <c r="E584" s="30" t="s">
        <v>10</v>
      </c>
      <c r="F584" s="190">
        <v>144975.872</v>
      </c>
      <c r="G584" s="30" t="s">
        <v>335</v>
      </c>
      <c r="H584" s="30"/>
    </row>
    <row r="585" spans="1:15" x14ac:dyDescent="0.25">
      <c r="A585" s="30" t="s">
        <v>456</v>
      </c>
      <c r="B585" s="30" t="s">
        <v>333</v>
      </c>
      <c r="C585" s="30">
        <v>5</v>
      </c>
      <c r="D585" s="190">
        <v>27543.673999999999</v>
      </c>
      <c r="E585" s="30" t="s">
        <v>10</v>
      </c>
      <c r="F585" s="190">
        <v>1442.827</v>
      </c>
      <c r="G585" s="30" t="s">
        <v>335</v>
      </c>
      <c r="H585" s="30"/>
    </row>
    <row r="586" spans="1:15" x14ac:dyDescent="0.25">
      <c r="A586" s="30" t="s">
        <v>457</v>
      </c>
      <c r="B586" s="30" t="s">
        <v>333</v>
      </c>
      <c r="C586" s="30">
        <v>5</v>
      </c>
      <c r="D586" s="190">
        <v>27575.659</v>
      </c>
      <c r="E586" s="30" t="s">
        <v>10</v>
      </c>
      <c r="F586" s="190">
        <v>781.09699999999998</v>
      </c>
      <c r="G586" s="30" t="s">
        <v>335</v>
      </c>
      <c r="H586" s="30"/>
    </row>
    <row r="587" spans="1:15" x14ac:dyDescent="0.25">
      <c r="A587" s="30" t="s">
        <v>458</v>
      </c>
      <c r="B587" s="30" t="s">
        <v>333</v>
      </c>
      <c r="C587" s="30">
        <v>5</v>
      </c>
      <c r="D587" s="190">
        <v>26612.974999999999</v>
      </c>
      <c r="E587" s="30" t="s">
        <v>10</v>
      </c>
      <c r="F587" s="190">
        <v>7382.8909999999996</v>
      </c>
      <c r="G587" s="30" t="s">
        <v>335</v>
      </c>
      <c r="H587" s="30"/>
    </row>
    <row r="588" spans="1:15" x14ac:dyDescent="0.25">
      <c r="A588" s="30" t="s">
        <v>459</v>
      </c>
      <c r="B588" s="30" t="s">
        <v>333</v>
      </c>
      <c r="C588" s="30">
        <v>5</v>
      </c>
      <c r="D588" s="190">
        <v>2075.6170000000002</v>
      </c>
      <c r="E588" s="30" t="s">
        <v>10</v>
      </c>
      <c r="F588" s="190">
        <v>48.222999999999999</v>
      </c>
      <c r="G588" s="30" t="s">
        <v>335</v>
      </c>
      <c r="H588" s="30"/>
    </row>
    <row r="589" spans="1:15" x14ac:dyDescent="0.25">
      <c r="A589" s="30" t="s">
        <v>460</v>
      </c>
      <c r="B589" s="30" t="s">
        <v>333</v>
      </c>
      <c r="C589" s="30">
        <v>5</v>
      </c>
      <c r="D589" s="190">
        <v>2171.6010000000001</v>
      </c>
      <c r="E589" s="30" t="s">
        <v>10</v>
      </c>
      <c r="F589" s="190">
        <v>35.115000000000002</v>
      </c>
      <c r="G589" s="30" t="s">
        <v>335</v>
      </c>
      <c r="H589" s="30"/>
    </row>
    <row r="590" spans="1:15" x14ac:dyDescent="0.25">
      <c r="A590" s="30" t="s">
        <v>461</v>
      </c>
      <c r="B590" s="30" t="s">
        <v>333</v>
      </c>
      <c r="C590" s="30">
        <v>5</v>
      </c>
      <c r="D590" s="190">
        <v>2981.58</v>
      </c>
      <c r="E590" s="30" t="s">
        <v>10</v>
      </c>
      <c r="F590" s="190">
        <v>2031.4690000000001</v>
      </c>
      <c r="G590" s="30" t="s">
        <v>335</v>
      </c>
      <c r="H590" s="30"/>
    </row>
    <row r="591" spans="1:15" x14ac:dyDescent="0.25">
      <c r="A591" s="30"/>
      <c r="B591" s="30"/>
      <c r="C591" s="30"/>
      <c r="D591" s="190"/>
      <c r="E591" s="30"/>
      <c r="F591" s="190"/>
      <c r="G591" s="30"/>
      <c r="H591" s="30"/>
    </row>
    <row r="592" spans="1:15" x14ac:dyDescent="0.25">
      <c r="A592" s="30" t="s">
        <v>462</v>
      </c>
      <c r="B592" s="30" t="s">
        <v>332</v>
      </c>
      <c r="C592" s="30" t="s">
        <v>333</v>
      </c>
      <c r="D592" s="190" t="s">
        <v>334</v>
      </c>
      <c r="E592" s="30"/>
      <c r="F592" s="190"/>
      <c r="G592" s="30"/>
      <c r="H592" s="30"/>
    </row>
    <row r="593" spans="1:15" ht="20" thickBot="1" x14ac:dyDescent="0.3">
      <c r="A593" s="30" t="s">
        <v>2</v>
      </c>
      <c r="B593" s="30" t="s">
        <v>3</v>
      </c>
      <c r="C593" s="30" t="s">
        <v>4</v>
      </c>
      <c r="D593" s="190" t="s">
        <v>5</v>
      </c>
      <c r="E593" s="30" t="s">
        <v>6</v>
      </c>
      <c r="F593" s="190" t="s">
        <v>7</v>
      </c>
      <c r="G593" s="30"/>
      <c r="H593" s="30"/>
    </row>
    <row r="594" spans="1:15" x14ac:dyDescent="0.25">
      <c r="A594" s="30" t="s">
        <v>463</v>
      </c>
      <c r="B594" s="30" t="s">
        <v>333</v>
      </c>
      <c r="C594" s="30">
        <v>5</v>
      </c>
      <c r="D594" s="190">
        <v>1344749.6969999999</v>
      </c>
      <c r="E594" s="30" t="s">
        <v>10</v>
      </c>
      <c r="F594" s="190">
        <v>23084.918000000001</v>
      </c>
      <c r="G594" s="30" t="s">
        <v>335</v>
      </c>
      <c r="H594" s="30"/>
      <c r="J594" s="5" t="s">
        <v>479</v>
      </c>
      <c r="K594" s="72" t="s">
        <v>340</v>
      </c>
      <c r="L594" s="72" t="s">
        <v>341</v>
      </c>
      <c r="M594" s="17" t="s">
        <v>162</v>
      </c>
      <c r="N594" s="72" t="s">
        <v>342</v>
      </c>
      <c r="O594" s="21" t="s">
        <v>162</v>
      </c>
    </row>
    <row r="595" spans="1:15" x14ac:dyDescent="0.25">
      <c r="A595" s="30" t="s">
        <v>464</v>
      </c>
      <c r="B595" s="30" t="s">
        <v>333</v>
      </c>
      <c r="C595" s="30">
        <v>5</v>
      </c>
      <c r="D595" s="190">
        <v>1280058.304</v>
      </c>
      <c r="E595" s="30" t="s">
        <v>10</v>
      </c>
      <c r="F595" s="190">
        <v>43108.034</v>
      </c>
      <c r="G595" s="30" t="s">
        <v>335</v>
      </c>
      <c r="H595" s="30"/>
      <c r="J595" s="6">
        <v>100000</v>
      </c>
      <c r="K595" s="119">
        <f>D594</f>
        <v>1344749.6969999999</v>
      </c>
      <c r="L595" s="119">
        <f>D595</f>
        <v>1280058.304</v>
      </c>
      <c r="M595" s="18">
        <f>(K595/L595-1)</f>
        <v>5.0537848782237882E-2</v>
      </c>
      <c r="N595" s="73">
        <f>D596</f>
        <v>1151328.3089999999</v>
      </c>
      <c r="O595" s="22">
        <f>(K595/N595-1)</f>
        <v>0.16799846445884614</v>
      </c>
    </row>
    <row r="596" spans="1:15" x14ac:dyDescent="0.25">
      <c r="A596" s="30" t="s">
        <v>465</v>
      </c>
      <c r="B596" s="30" t="s">
        <v>333</v>
      </c>
      <c r="C596" s="30">
        <v>5</v>
      </c>
      <c r="D596" s="190">
        <v>1151328.3089999999</v>
      </c>
      <c r="E596" s="30" t="s">
        <v>10</v>
      </c>
      <c r="F596" s="190">
        <v>164023.05799999999</v>
      </c>
      <c r="G596" s="30" t="s">
        <v>335</v>
      </c>
      <c r="H596" s="30"/>
      <c r="J596" s="6">
        <v>50000</v>
      </c>
      <c r="K596" s="119">
        <f>D597</f>
        <v>650903.71900000004</v>
      </c>
      <c r="L596" s="119">
        <f>D598</f>
        <v>638810.23899999994</v>
      </c>
      <c r="M596" s="18">
        <f t="shared" ref="M596:M599" si="26">(K596/L596-1)</f>
        <v>1.8931255733989794E-2</v>
      </c>
      <c r="N596" s="73">
        <f>D599</f>
        <v>650080.86800000002</v>
      </c>
      <c r="O596" s="22">
        <f t="shared" ref="O596:O599" si="27">(K596/N596-1)</f>
        <v>1.2657671383740077E-3</v>
      </c>
    </row>
    <row r="597" spans="1:15" x14ac:dyDescent="0.25">
      <c r="A597" s="30" t="s">
        <v>466</v>
      </c>
      <c r="B597" s="30" t="s">
        <v>333</v>
      </c>
      <c r="C597" s="30">
        <v>5</v>
      </c>
      <c r="D597" s="190">
        <v>650903.71900000004</v>
      </c>
      <c r="E597" s="30" t="s">
        <v>10</v>
      </c>
      <c r="F597" s="190">
        <v>15308.63</v>
      </c>
      <c r="G597" s="30" t="s">
        <v>335</v>
      </c>
      <c r="H597" s="30"/>
      <c r="J597" s="6">
        <v>10000</v>
      </c>
      <c r="K597" s="119">
        <f>D600</f>
        <v>135486.25899999999</v>
      </c>
      <c r="L597" s="119">
        <f>D601</f>
        <v>123974.466</v>
      </c>
      <c r="M597" s="18">
        <f t="shared" si="26"/>
        <v>9.2856161203388465E-2</v>
      </c>
      <c r="N597" s="73">
        <f>D602</f>
        <v>152453.63099999999</v>
      </c>
      <c r="O597" s="22">
        <f t="shared" si="27"/>
        <v>-0.111295296075959</v>
      </c>
    </row>
    <row r="598" spans="1:15" x14ac:dyDescent="0.25">
      <c r="A598" s="30" t="s">
        <v>467</v>
      </c>
      <c r="B598" s="30" t="s">
        <v>333</v>
      </c>
      <c r="C598" s="30">
        <v>5</v>
      </c>
      <c r="D598" s="190">
        <v>638810.23899999994</v>
      </c>
      <c r="E598" s="30" t="s">
        <v>10</v>
      </c>
      <c r="F598" s="190">
        <v>36159.339999999997</v>
      </c>
      <c r="G598" s="30" t="s">
        <v>335</v>
      </c>
      <c r="H598" s="30"/>
      <c r="J598" s="6">
        <v>1000</v>
      </c>
      <c r="K598" s="119">
        <f>D603</f>
        <v>17470.877</v>
      </c>
      <c r="L598" s="119">
        <f>D604</f>
        <v>14537.762000000001</v>
      </c>
      <c r="M598" s="18">
        <f t="shared" si="26"/>
        <v>0.20175835867996739</v>
      </c>
      <c r="N598" s="73">
        <f>D605</f>
        <v>16602.764999999999</v>
      </c>
      <c r="O598" s="22">
        <f t="shared" si="27"/>
        <v>5.2287194331787523E-2</v>
      </c>
    </row>
    <row r="599" spans="1:15" ht="20" thickBot="1" x14ac:dyDescent="0.3">
      <c r="A599" s="30" t="s">
        <v>468</v>
      </c>
      <c r="B599" s="30" t="s">
        <v>333</v>
      </c>
      <c r="C599" s="30">
        <v>5</v>
      </c>
      <c r="D599" s="190">
        <v>650080.86800000002</v>
      </c>
      <c r="E599" s="30" t="s">
        <v>10</v>
      </c>
      <c r="F599" s="190">
        <v>438331.99300000002</v>
      </c>
      <c r="G599" s="30" t="s">
        <v>335</v>
      </c>
      <c r="H599" s="30"/>
      <c r="J599" s="7">
        <v>100</v>
      </c>
      <c r="K599" s="120">
        <f>D606</f>
        <v>1324.2439999999999</v>
      </c>
      <c r="L599" s="120">
        <f>D607</f>
        <v>1163.7950000000001</v>
      </c>
      <c r="M599" s="19">
        <f t="shared" si="26"/>
        <v>0.13786706421663597</v>
      </c>
      <c r="N599" s="74">
        <f>D608</f>
        <v>1475.91</v>
      </c>
      <c r="O599" s="23">
        <f t="shared" si="27"/>
        <v>-0.10276100846257574</v>
      </c>
    </row>
    <row r="600" spans="1:15" x14ac:dyDescent="0.25">
      <c r="A600" s="30" t="s">
        <v>469</v>
      </c>
      <c r="B600" s="30" t="s">
        <v>333</v>
      </c>
      <c r="C600" s="30">
        <v>5</v>
      </c>
      <c r="D600" s="190">
        <v>135486.25899999999</v>
      </c>
      <c r="E600" s="30" t="s">
        <v>10</v>
      </c>
      <c r="F600" s="190">
        <v>4750.7079999999996</v>
      </c>
      <c r="G600" s="30" t="s">
        <v>335</v>
      </c>
      <c r="H600" s="30"/>
    </row>
    <row r="601" spans="1:15" x14ac:dyDescent="0.25">
      <c r="A601" s="30" t="s">
        <v>470</v>
      </c>
      <c r="B601" s="30" t="s">
        <v>333</v>
      </c>
      <c r="C601" s="30">
        <v>5</v>
      </c>
      <c r="D601" s="190">
        <v>123974.466</v>
      </c>
      <c r="E601" s="30" t="s">
        <v>10</v>
      </c>
      <c r="F601" s="190">
        <v>5787.6030000000001</v>
      </c>
      <c r="G601" s="30" t="s">
        <v>335</v>
      </c>
      <c r="H601" s="30"/>
    </row>
    <row r="602" spans="1:15" x14ac:dyDescent="0.25">
      <c r="A602" s="30" t="s">
        <v>471</v>
      </c>
      <c r="B602" s="30" t="s">
        <v>333</v>
      </c>
      <c r="C602" s="30">
        <v>5</v>
      </c>
      <c r="D602" s="190">
        <v>152453.63099999999</v>
      </c>
      <c r="E602" s="30" t="s">
        <v>10</v>
      </c>
      <c r="F602" s="190">
        <v>60317.370999999999</v>
      </c>
      <c r="G602" s="30" t="s">
        <v>335</v>
      </c>
      <c r="H602" s="30"/>
    </row>
    <row r="603" spans="1:15" x14ac:dyDescent="0.25">
      <c r="A603" s="30" t="s">
        <v>472</v>
      </c>
      <c r="B603" s="30" t="s">
        <v>333</v>
      </c>
      <c r="C603" s="30">
        <v>5</v>
      </c>
      <c r="D603" s="190">
        <v>17470.877</v>
      </c>
      <c r="E603" s="30" t="s">
        <v>10</v>
      </c>
      <c r="F603" s="190">
        <v>242.3</v>
      </c>
      <c r="G603" s="30" t="s">
        <v>335</v>
      </c>
      <c r="H603" s="30"/>
    </row>
    <row r="604" spans="1:15" x14ac:dyDescent="0.25">
      <c r="A604" s="30" t="s">
        <v>473</v>
      </c>
      <c r="B604" s="30" t="s">
        <v>333</v>
      </c>
      <c r="C604" s="30">
        <v>5</v>
      </c>
      <c r="D604" s="190">
        <v>14537.762000000001</v>
      </c>
      <c r="E604" s="30" t="s">
        <v>10</v>
      </c>
      <c r="F604" s="190">
        <v>453.87900000000002</v>
      </c>
      <c r="G604" s="30" t="s">
        <v>335</v>
      </c>
      <c r="H604" s="30"/>
    </row>
    <row r="605" spans="1:15" x14ac:dyDescent="0.25">
      <c r="A605" s="30" t="s">
        <v>474</v>
      </c>
      <c r="B605" s="30" t="s">
        <v>333</v>
      </c>
      <c r="C605" s="30">
        <v>5</v>
      </c>
      <c r="D605" s="190">
        <v>16602.764999999999</v>
      </c>
      <c r="E605" s="30" t="s">
        <v>10</v>
      </c>
      <c r="F605" s="190">
        <v>6072.6059999999998</v>
      </c>
      <c r="G605" s="30" t="s">
        <v>335</v>
      </c>
      <c r="H605" s="30"/>
    </row>
    <row r="606" spans="1:15" x14ac:dyDescent="0.25">
      <c r="A606" s="30" t="s">
        <v>475</v>
      </c>
      <c r="B606" s="30" t="s">
        <v>333</v>
      </c>
      <c r="C606" s="30">
        <v>5</v>
      </c>
      <c r="D606" s="190">
        <v>1324.2439999999999</v>
      </c>
      <c r="E606" s="30" t="s">
        <v>10</v>
      </c>
      <c r="F606" s="190">
        <v>20.695</v>
      </c>
      <c r="G606" s="30" t="s">
        <v>335</v>
      </c>
      <c r="H606" s="30"/>
    </row>
    <row r="607" spans="1:15" x14ac:dyDescent="0.25">
      <c r="A607" s="30" t="s">
        <v>476</v>
      </c>
      <c r="B607" s="30" t="s">
        <v>333</v>
      </c>
      <c r="C607" s="30">
        <v>5</v>
      </c>
      <c r="D607" s="190">
        <v>1163.7950000000001</v>
      </c>
      <c r="E607" s="30" t="s">
        <v>10</v>
      </c>
      <c r="F607" s="190">
        <v>19.007999999999999</v>
      </c>
      <c r="G607" s="30" t="s">
        <v>335</v>
      </c>
      <c r="H607" s="30"/>
    </row>
    <row r="608" spans="1:15" x14ac:dyDescent="0.25">
      <c r="A608" s="30" t="s">
        <v>477</v>
      </c>
      <c r="B608" s="30" t="s">
        <v>333</v>
      </c>
      <c r="C608" s="30">
        <v>5</v>
      </c>
      <c r="D608" s="190">
        <v>1475.91</v>
      </c>
      <c r="E608" s="30" t="s">
        <v>10</v>
      </c>
      <c r="F608" s="190">
        <v>879.35799999999995</v>
      </c>
      <c r="G608" s="30" t="s">
        <v>335</v>
      </c>
      <c r="H608" s="30"/>
    </row>
    <row r="610" spans="1:15" x14ac:dyDescent="0.25">
      <c r="A610" s="30" t="s">
        <v>430</v>
      </c>
      <c r="B610" s="30" t="s">
        <v>332</v>
      </c>
      <c r="C610" s="30" t="s">
        <v>333</v>
      </c>
      <c r="D610" s="190" t="s">
        <v>334</v>
      </c>
      <c r="E610" s="30" t="s">
        <v>488</v>
      </c>
      <c r="F610" s="190"/>
      <c r="G610" s="30"/>
      <c r="H610" s="30"/>
    </row>
    <row r="611" spans="1:15" ht="20" thickBot="1" x14ac:dyDescent="0.3">
      <c r="A611" s="30" t="s">
        <v>2</v>
      </c>
      <c r="B611" s="30" t="s">
        <v>3</v>
      </c>
      <c r="C611" s="30" t="s">
        <v>4</v>
      </c>
      <c r="D611" s="190" t="s">
        <v>5</v>
      </c>
      <c r="E611" s="30" t="s">
        <v>6</v>
      </c>
      <c r="F611" s="190" t="s">
        <v>7</v>
      </c>
      <c r="G611" s="30"/>
      <c r="H611" s="30"/>
    </row>
    <row r="612" spans="1:15" x14ac:dyDescent="0.25">
      <c r="A612" s="30" t="s">
        <v>431</v>
      </c>
      <c r="B612" s="30" t="s">
        <v>333</v>
      </c>
      <c r="C612" s="30">
        <v>5</v>
      </c>
      <c r="D612" s="190">
        <v>3900501.5550000002</v>
      </c>
      <c r="E612" s="30" t="s">
        <v>10</v>
      </c>
      <c r="F612" s="190">
        <v>201585.446</v>
      </c>
      <c r="G612" s="30" t="s">
        <v>335</v>
      </c>
      <c r="H612" s="30"/>
      <c r="J612" s="5" t="s">
        <v>491</v>
      </c>
      <c r="K612" s="72" t="s">
        <v>340</v>
      </c>
      <c r="L612" s="72" t="s">
        <v>341</v>
      </c>
      <c r="M612" s="17" t="s">
        <v>162</v>
      </c>
      <c r="N612" s="72" t="s">
        <v>342</v>
      </c>
      <c r="O612" s="21" t="s">
        <v>162</v>
      </c>
    </row>
    <row r="613" spans="1:15" x14ac:dyDescent="0.25">
      <c r="A613" s="30" t="s">
        <v>432</v>
      </c>
      <c r="B613" s="30" t="s">
        <v>333</v>
      </c>
      <c r="C613" s="30">
        <v>5</v>
      </c>
      <c r="D613" s="190">
        <v>8415999.5539999995</v>
      </c>
      <c r="E613" s="30" t="s">
        <v>10</v>
      </c>
      <c r="F613" s="190">
        <v>647746.32200000004</v>
      </c>
      <c r="G613" s="30" t="s">
        <v>335</v>
      </c>
      <c r="H613" s="30"/>
      <c r="J613" s="6">
        <v>100000</v>
      </c>
      <c r="K613" s="119">
        <f>D612</f>
        <v>3900501.5550000002</v>
      </c>
      <c r="L613" s="119">
        <f>D613</f>
        <v>8415999.5539999995</v>
      </c>
      <c r="M613" s="18">
        <f>(K613/L613-1)</f>
        <v>-0.53653733820052907</v>
      </c>
      <c r="N613" s="73">
        <f>D614</f>
        <v>5801397.0060000001</v>
      </c>
      <c r="O613" s="22">
        <f>(K613/N613-1)</f>
        <v>-0.32766167339246566</v>
      </c>
    </row>
    <row r="614" spans="1:15" x14ac:dyDescent="0.25">
      <c r="A614" s="30" t="s">
        <v>433</v>
      </c>
      <c r="B614" s="30" t="s">
        <v>333</v>
      </c>
      <c r="C614" s="30">
        <v>5</v>
      </c>
      <c r="D614" s="190">
        <v>5801397.0060000001</v>
      </c>
      <c r="E614" s="30" t="s">
        <v>10</v>
      </c>
      <c r="F614" s="190">
        <v>183607.076</v>
      </c>
      <c r="G614" s="30" t="s">
        <v>335</v>
      </c>
      <c r="H614" s="30"/>
      <c r="J614" s="6">
        <v>50000</v>
      </c>
      <c r="K614" s="119">
        <f>D615</f>
        <v>1911323.682</v>
      </c>
      <c r="L614" s="119">
        <f>D616</f>
        <v>4002967.733</v>
      </c>
      <c r="M614" s="18">
        <f t="shared" ref="M614:M615" si="28">(K614/L614-1)</f>
        <v>-0.52252333531362993</v>
      </c>
      <c r="N614" s="73">
        <f>D617</f>
        <v>2936179.4610000001</v>
      </c>
      <c r="O614" s="22">
        <f t="shared" ref="O614:O615" si="29">(K614/N614-1)</f>
        <v>-0.34904398474708898</v>
      </c>
    </row>
    <row r="615" spans="1:15" ht="20" thickBot="1" x14ac:dyDescent="0.3">
      <c r="A615" s="30" t="s">
        <v>434</v>
      </c>
      <c r="B615" s="30" t="s">
        <v>333</v>
      </c>
      <c r="C615" s="30">
        <v>5</v>
      </c>
      <c r="D615" s="190">
        <v>1911323.682</v>
      </c>
      <c r="E615" s="30" t="s">
        <v>10</v>
      </c>
      <c r="F615" s="190">
        <v>53106.103999999999</v>
      </c>
      <c r="G615" s="30" t="s">
        <v>335</v>
      </c>
      <c r="H615" s="30"/>
      <c r="J615" s="7">
        <v>10000</v>
      </c>
      <c r="K615" s="120">
        <f>D618</f>
        <v>393516.95799999998</v>
      </c>
      <c r="L615" s="120">
        <f>D619</f>
        <v>804940.18599999999</v>
      </c>
      <c r="M615" s="19">
        <f t="shared" si="28"/>
        <v>-0.51112273328592395</v>
      </c>
      <c r="N615" s="74">
        <f>D620</f>
        <v>572101.01</v>
      </c>
      <c r="O615" s="23">
        <f t="shared" si="29"/>
        <v>-0.31215475742649013</v>
      </c>
    </row>
    <row r="616" spans="1:15" x14ac:dyDescent="0.25">
      <c r="A616" s="30" t="s">
        <v>435</v>
      </c>
      <c r="B616" s="30" t="s">
        <v>333</v>
      </c>
      <c r="C616" s="30">
        <v>5</v>
      </c>
      <c r="D616" s="190">
        <v>4002967.733</v>
      </c>
      <c r="E616" s="30" t="s">
        <v>10</v>
      </c>
      <c r="F616" s="190">
        <v>137483.959</v>
      </c>
      <c r="G616" s="30" t="s">
        <v>335</v>
      </c>
      <c r="H616" s="30"/>
      <c r="J616" s="24"/>
    </row>
    <row r="617" spans="1:15" x14ac:dyDescent="0.25">
      <c r="A617" s="30" t="s">
        <v>436</v>
      </c>
      <c r="B617" s="30" t="s">
        <v>333</v>
      </c>
      <c r="C617" s="30">
        <v>5</v>
      </c>
      <c r="D617" s="190">
        <v>2936179.4610000001</v>
      </c>
      <c r="E617" s="30" t="s">
        <v>10</v>
      </c>
      <c r="F617" s="190">
        <v>177270.72500000001</v>
      </c>
      <c r="G617" s="30" t="s">
        <v>335</v>
      </c>
      <c r="H617" s="30"/>
      <c r="J617" s="24"/>
    </row>
    <row r="618" spans="1:15" x14ac:dyDescent="0.25">
      <c r="A618" s="30" t="s">
        <v>437</v>
      </c>
      <c r="B618" s="30" t="s">
        <v>333</v>
      </c>
      <c r="C618" s="30">
        <v>5</v>
      </c>
      <c r="D618" s="190">
        <v>393516.95799999998</v>
      </c>
      <c r="E618" s="30" t="s">
        <v>10</v>
      </c>
      <c r="F618" s="190">
        <v>10001.311</v>
      </c>
      <c r="G618" s="30" t="s">
        <v>335</v>
      </c>
      <c r="H618" s="30"/>
    </row>
    <row r="619" spans="1:15" x14ac:dyDescent="0.25">
      <c r="A619" s="30" t="s">
        <v>438</v>
      </c>
      <c r="B619" s="30" t="s">
        <v>333</v>
      </c>
      <c r="C619" s="30">
        <v>5</v>
      </c>
      <c r="D619" s="190">
        <v>804940.18599999999</v>
      </c>
      <c r="E619" s="30" t="s">
        <v>10</v>
      </c>
      <c r="F619" s="190">
        <v>42098.49</v>
      </c>
      <c r="G619" s="30" t="s">
        <v>335</v>
      </c>
      <c r="H619" s="30"/>
    </row>
    <row r="620" spans="1:15" x14ac:dyDescent="0.25">
      <c r="A620" s="30" t="s">
        <v>439</v>
      </c>
      <c r="B620" s="30" t="s">
        <v>333</v>
      </c>
      <c r="C620" s="30">
        <v>5</v>
      </c>
      <c r="D620" s="190">
        <v>572101.01</v>
      </c>
      <c r="E620" s="30" t="s">
        <v>10</v>
      </c>
      <c r="F620" s="190">
        <v>55012.341999999997</v>
      </c>
      <c r="G620" s="30" t="s">
        <v>335</v>
      </c>
      <c r="H620" s="30"/>
    </row>
    <row r="621" spans="1:15" x14ac:dyDescent="0.25">
      <c r="A621" s="30"/>
      <c r="B621" s="30"/>
      <c r="C621" s="30"/>
      <c r="D621" s="190"/>
      <c r="E621" s="30"/>
      <c r="F621" s="190"/>
      <c r="G621" s="30"/>
      <c r="H621" s="30"/>
    </row>
    <row r="622" spans="1:15" x14ac:dyDescent="0.25">
      <c r="A622" s="30" t="s">
        <v>462</v>
      </c>
      <c r="B622" s="30" t="s">
        <v>332</v>
      </c>
      <c r="C622" s="30" t="s">
        <v>333</v>
      </c>
      <c r="D622" s="190" t="s">
        <v>334</v>
      </c>
      <c r="E622" s="30" t="s">
        <v>488</v>
      </c>
      <c r="F622" s="190"/>
      <c r="G622" s="30"/>
      <c r="H622" s="30"/>
    </row>
    <row r="623" spans="1:15" ht="20" thickBot="1" x14ac:dyDescent="0.3">
      <c r="A623" s="30" t="s">
        <v>2</v>
      </c>
      <c r="B623" s="30" t="s">
        <v>3</v>
      </c>
      <c r="C623" s="30" t="s">
        <v>4</v>
      </c>
      <c r="D623" s="190" t="s">
        <v>5</v>
      </c>
      <c r="E623" s="30" t="s">
        <v>6</v>
      </c>
      <c r="F623" s="190" t="s">
        <v>7</v>
      </c>
      <c r="G623" s="30"/>
      <c r="H623" s="30"/>
    </row>
    <row r="624" spans="1:15" x14ac:dyDescent="0.25">
      <c r="A624" s="30" t="s">
        <v>463</v>
      </c>
      <c r="B624" s="30" t="s">
        <v>333</v>
      </c>
      <c r="C624" s="30">
        <v>5</v>
      </c>
      <c r="D624" s="190">
        <v>1358780.7009999999</v>
      </c>
      <c r="E624" s="30" t="s">
        <v>10</v>
      </c>
      <c r="F624" s="190">
        <v>63215.262999999999</v>
      </c>
      <c r="G624" s="30" t="s">
        <v>335</v>
      </c>
      <c r="H624" s="30"/>
      <c r="J624" s="5" t="s">
        <v>492</v>
      </c>
      <c r="K624" s="72" t="s">
        <v>340</v>
      </c>
      <c r="L624" s="72" t="s">
        <v>341</v>
      </c>
      <c r="M624" s="17" t="s">
        <v>162</v>
      </c>
      <c r="N624" s="72" t="s">
        <v>342</v>
      </c>
      <c r="O624" s="21" t="s">
        <v>162</v>
      </c>
    </row>
    <row r="625" spans="1:15" x14ac:dyDescent="0.25">
      <c r="A625" s="30" t="s">
        <v>464</v>
      </c>
      <c r="B625" s="30" t="s">
        <v>333</v>
      </c>
      <c r="C625" s="30">
        <v>5</v>
      </c>
      <c r="D625" s="190">
        <v>1405862.68</v>
      </c>
      <c r="E625" s="30" t="s">
        <v>10</v>
      </c>
      <c r="F625" s="190">
        <v>212839.05</v>
      </c>
      <c r="G625" s="30" t="s">
        <v>335</v>
      </c>
      <c r="H625" s="30"/>
      <c r="J625" s="6">
        <v>100000</v>
      </c>
      <c r="K625" s="119">
        <f>D624</f>
        <v>1358780.7009999999</v>
      </c>
      <c r="L625" s="119">
        <f>D625</f>
        <v>1405862.68</v>
      </c>
      <c r="M625" s="18">
        <f>(K625/L625-1)</f>
        <v>-3.3489742397884825E-2</v>
      </c>
      <c r="N625" s="73">
        <f>D626</f>
        <v>1594337.257</v>
      </c>
      <c r="O625" s="22">
        <f>(K625/N625-1)</f>
        <v>-0.14774575138715462</v>
      </c>
    </row>
    <row r="626" spans="1:15" x14ac:dyDescent="0.25">
      <c r="A626" s="30" t="s">
        <v>465</v>
      </c>
      <c r="B626" s="30" t="s">
        <v>333</v>
      </c>
      <c r="C626" s="30">
        <v>5</v>
      </c>
      <c r="D626" s="190">
        <v>1594337.257</v>
      </c>
      <c r="E626" s="30" t="s">
        <v>10</v>
      </c>
      <c r="F626" s="190">
        <v>719162.06299999997</v>
      </c>
      <c r="G626" s="30" t="s">
        <v>335</v>
      </c>
      <c r="H626" s="30"/>
      <c r="J626" s="6">
        <v>50000</v>
      </c>
      <c r="K626" s="119">
        <f>D627</f>
        <v>673295.59600000002</v>
      </c>
      <c r="L626" s="119">
        <f>D628</f>
        <v>724743.47400000005</v>
      </c>
      <c r="M626" s="18">
        <f t="shared" ref="M626:M627" si="30">(K626/L626-1)</f>
        <v>-7.0987707852061321E-2</v>
      </c>
      <c r="N626" s="73">
        <f>D629</f>
        <v>880771.11199999996</v>
      </c>
      <c r="O626" s="22">
        <f t="shared" ref="O626:O627" si="31">(K626/N626-1)</f>
        <v>-0.23556121808863317</v>
      </c>
    </row>
    <row r="627" spans="1:15" ht="20" thickBot="1" x14ac:dyDescent="0.3">
      <c r="A627" s="30" t="s">
        <v>466</v>
      </c>
      <c r="B627" s="30" t="s">
        <v>333</v>
      </c>
      <c r="C627" s="30">
        <v>5</v>
      </c>
      <c r="D627" s="190">
        <v>673295.59600000002</v>
      </c>
      <c r="E627" s="30" t="s">
        <v>10</v>
      </c>
      <c r="F627" s="190">
        <v>39893.75</v>
      </c>
      <c r="G627" s="30" t="s">
        <v>335</v>
      </c>
      <c r="H627" s="30"/>
      <c r="J627" s="7">
        <v>10000</v>
      </c>
      <c r="K627" s="120">
        <f>D630</f>
        <v>138469.356</v>
      </c>
      <c r="L627" s="120">
        <f>D631</f>
        <v>139784.008</v>
      </c>
      <c r="M627" s="19">
        <f t="shared" si="30"/>
        <v>-9.4048812794093051E-3</v>
      </c>
      <c r="N627" s="74">
        <f>D632</f>
        <v>146744.19899999999</v>
      </c>
      <c r="O627" s="23">
        <f t="shared" si="31"/>
        <v>-5.6389574895563621E-2</v>
      </c>
    </row>
    <row r="628" spans="1:15" x14ac:dyDescent="0.25">
      <c r="A628" s="30" t="s">
        <v>467</v>
      </c>
      <c r="B628" s="30" t="s">
        <v>333</v>
      </c>
      <c r="C628" s="30">
        <v>5</v>
      </c>
      <c r="D628" s="190">
        <v>724743.47400000005</v>
      </c>
      <c r="E628" s="30" t="s">
        <v>10</v>
      </c>
      <c r="F628" s="190">
        <v>159587.353</v>
      </c>
      <c r="G628" s="30" t="s">
        <v>335</v>
      </c>
      <c r="H628" s="30"/>
      <c r="J628" s="24"/>
    </row>
    <row r="629" spans="1:15" x14ac:dyDescent="0.25">
      <c r="A629" s="30" t="s">
        <v>468</v>
      </c>
      <c r="B629" s="30" t="s">
        <v>333</v>
      </c>
      <c r="C629" s="30">
        <v>5</v>
      </c>
      <c r="D629" s="190">
        <v>880771.11199999996</v>
      </c>
      <c r="E629" s="30" t="s">
        <v>10</v>
      </c>
      <c r="F629" s="190">
        <v>34672.137999999999</v>
      </c>
      <c r="G629" s="30" t="s">
        <v>335</v>
      </c>
      <c r="H629" s="30"/>
      <c r="J629" s="24"/>
    </row>
    <row r="630" spans="1:15" x14ac:dyDescent="0.25">
      <c r="A630" s="30" t="s">
        <v>469</v>
      </c>
      <c r="B630" s="30" t="s">
        <v>333</v>
      </c>
      <c r="C630" s="30">
        <v>5</v>
      </c>
      <c r="D630" s="190">
        <v>138469.356</v>
      </c>
      <c r="E630" s="30" t="s">
        <v>10</v>
      </c>
      <c r="F630" s="190">
        <v>3703.8090000000002</v>
      </c>
      <c r="G630" s="30" t="s">
        <v>335</v>
      </c>
      <c r="H630" s="30"/>
    </row>
    <row r="631" spans="1:15" x14ac:dyDescent="0.25">
      <c r="A631" s="30" t="s">
        <v>470</v>
      </c>
      <c r="B631" s="30" t="s">
        <v>333</v>
      </c>
      <c r="C631" s="30">
        <v>5</v>
      </c>
      <c r="D631" s="190">
        <v>139784.008</v>
      </c>
      <c r="E631" s="30" t="s">
        <v>10</v>
      </c>
      <c r="F631" s="190">
        <v>15839.887000000001</v>
      </c>
      <c r="G631" s="30" t="s">
        <v>335</v>
      </c>
      <c r="H631" s="30"/>
    </row>
    <row r="632" spans="1:15" x14ac:dyDescent="0.25">
      <c r="A632" s="30" t="s">
        <v>471</v>
      </c>
      <c r="B632" s="30" t="s">
        <v>333</v>
      </c>
      <c r="C632" s="30">
        <v>5</v>
      </c>
      <c r="D632" s="190">
        <v>146744.19899999999</v>
      </c>
      <c r="E632" s="30" t="s">
        <v>10</v>
      </c>
      <c r="F632" s="190">
        <v>31446.623</v>
      </c>
      <c r="G632" s="30" t="s">
        <v>335</v>
      </c>
      <c r="H632" s="30"/>
    </row>
    <row r="633" spans="1:15" x14ac:dyDescent="0.25">
      <c r="A633" s="30"/>
      <c r="B633" s="30"/>
      <c r="C633" s="30"/>
      <c r="D633" s="190"/>
      <c r="E633" s="30"/>
      <c r="F633" s="190"/>
      <c r="G633" s="30"/>
      <c r="H633" s="30"/>
    </row>
    <row r="634" spans="1:15" x14ac:dyDescent="0.25">
      <c r="A634" s="30" t="s">
        <v>446</v>
      </c>
      <c r="B634" s="30" t="s">
        <v>332</v>
      </c>
      <c r="C634" s="30" t="s">
        <v>333</v>
      </c>
      <c r="D634" s="190" t="s">
        <v>334</v>
      </c>
      <c r="E634" s="30" t="s">
        <v>488</v>
      </c>
      <c r="F634" s="190"/>
      <c r="G634" s="30"/>
      <c r="H634" s="30"/>
    </row>
    <row r="635" spans="1:15" ht="20" thickBot="1" x14ac:dyDescent="0.3">
      <c r="A635" s="30" t="s">
        <v>2</v>
      </c>
      <c r="B635" s="30" t="s">
        <v>3</v>
      </c>
      <c r="C635" s="30" t="s">
        <v>4</v>
      </c>
      <c r="D635" s="190" t="s">
        <v>5</v>
      </c>
      <c r="E635" s="30" t="s">
        <v>6</v>
      </c>
      <c r="F635" s="190" t="s">
        <v>7</v>
      </c>
      <c r="G635" s="30"/>
      <c r="H635" s="30"/>
    </row>
    <row r="636" spans="1:15" x14ac:dyDescent="0.25">
      <c r="A636" s="30" t="s">
        <v>447</v>
      </c>
      <c r="B636" s="30" t="s">
        <v>333</v>
      </c>
      <c r="C636" s="30">
        <v>5</v>
      </c>
      <c r="D636" s="190">
        <v>2078002.7679999999</v>
      </c>
      <c r="E636" s="30" t="s">
        <v>10</v>
      </c>
      <c r="F636" s="190">
        <v>96161.793999999994</v>
      </c>
      <c r="G636" s="30" t="s">
        <v>335</v>
      </c>
      <c r="H636" s="30"/>
      <c r="J636" s="5" t="s">
        <v>493</v>
      </c>
      <c r="K636" s="72" t="s">
        <v>340</v>
      </c>
      <c r="L636" s="72" t="s">
        <v>341</v>
      </c>
      <c r="M636" s="17" t="s">
        <v>162</v>
      </c>
      <c r="N636" s="72" t="s">
        <v>342</v>
      </c>
      <c r="O636" s="21" t="s">
        <v>162</v>
      </c>
    </row>
    <row r="637" spans="1:15" x14ac:dyDescent="0.25">
      <c r="A637" s="30" t="s">
        <v>448</v>
      </c>
      <c r="B637" s="30" t="s">
        <v>333</v>
      </c>
      <c r="C637" s="30">
        <v>5</v>
      </c>
      <c r="D637" s="190">
        <v>2624675.415</v>
      </c>
      <c r="E637" s="30" t="s">
        <v>10</v>
      </c>
      <c r="F637" s="190">
        <v>172556.421</v>
      </c>
      <c r="G637" s="30" t="s">
        <v>335</v>
      </c>
      <c r="H637" s="30"/>
      <c r="J637" s="6">
        <v>100000</v>
      </c>
      <c r="K637" s="119">
        <f>D636</f>
        <v>2078002.7679999999</v>
      </c>
      <c r="L637" s="119">
        <f>D637</f>
        <v>2624675.415</v>
      </c>
      <c r="M637" s="18">
        <f>(K637/L637-1)</f>
        <v>-0.20828200084314052</v>
      </c>
      <c r="N637" s="73">
        <f>D638</f>
        <v>2976831.3059999999</v>
      </c>
      <c r="O637" s="22">
        <f>(K637/N637-1)</f>
        <v>-0.30194137510861019</v>
      </c>
    </row>
    <row r="638" spans="1:15" x14ac:dyDescent="0.25">
      <c r="A638" s="30" t="s">
        <v>449</v>
      </c>
      <c r="B638" s="30" t="s">
        <v>333</v>
      </c>
      <c r="C638" s="30">
        <v>5</v>
      </c>
      <c r="D638" s="190">
        <v>2976831.3059999999</v>
      </c>
      <c r="E638" s="30" t="s">
        <v>10</v>
      </c>
      <c r="F638" s="190">
        <v>141932.47700000001</v>
      </c>
      <c r="G638" s="30" t="s">
        <v>335</v>
      </c>
      <c r="H638" s="30"/>
      <c r="J638" s="6">
        <v>50000</v>
      </c>
      <c r="K638" s="119">
        <f>D639</f>
        <v>1031962.123</v>
      </c>
      <c r="L638" s="119">
        <f>D640</f>
        <v>1329783.23</v>
      </c>
      <c r="M638" s="18">
        <f t="shared" ref="M638:M639" si="32">(K638/L638-1)</f>
        <v>-0.22396214682298254</v>
      </c>
      <c r="N638" s="73">
        <f>D641</f>
        <v>1359940.9950000001</v>
      </c>
      <c r="O638" s="22">
        <f t="shared" ref="O638:O639" si="33">(K638/N638-1)</f>
        <v>-0.24117139876351767</v>
      </c>
    </row>
    <row r="639" spans="1:15" ht="20" thickBot="1" x14ac:dyDescent="0.3">
      <c r="A639" s="30" t="s">
        <v>450</v>
      </c>
      <c r="B639" s="30" t="s">
        <v>333</v>
      </c>
      <c r="C639" s="30">
        <v>5</v>
      </c>
      <c r="D639" s="190">
        <v>1031962.123</v>
      </c>
      <c r="E639" s="30" t="s">
        <v>10</v>
      </c>
      <c r="F639" s="190">
        <v>28713.654999999999</v>
      </c>
      <c r="G639" s="30" t="s">
        <v>335</v>
      </c>
      <c r="H639" s="30"/>
      <c r="J639" s="7">
        <v>10000</v>
      </c>
      <c r="K639" s="120">
        <f>D642</f>
        <v>227574.174</v>
      </c>
      <c r="L639" s="120">
        <f>D643</f>
        <v>258485.27799999999</v>
      </c>
      <c r="M639" s="19">
        <f t="shared" si="32"/>
        <v>-0.11958554947179623</v>
      </c>
      <c r="N639" s="74">
        <f>D644</f>
        <v>289650.245</v>
      </c>
      <c r="O639" s="23">
        <f t="shared" si="33"/>
        <v>-0.21431389087898056</v>
      </c>
    </row>
    <row r="640" spans="1:15" x14ac:dyDescent="0.25">
      <c r="A640" s="30" t="s">
        <v>451</v>
      </c>
      <c r="B640" s="30" t="s">
        <v>333</v>
      </c>
      <c r="C640" s="30">
        <v>5</v>
      </c>
      <c r="D640" s="190">
        <v>1329783.23</v>
      </c>
      <c r="E640" s="30" t="s">
        <v>10</v>
      </c>
      <c r="F640" s="190">
        <v>454163.315</v>
      </c>
      <c r="G640" s="30" t="s">
        <v>335</v>
      </c>
      <c r="H640" s="30"/>
      <c r="J640" s="24"/>
    </row>
    <row r="641" spans="1:15" x14ac:dyDescent="0.25">
      <c r="A641" s="30" t="s">
        <v>452</v>
      </c>
      <c r="B641" s="30" t="s">
        <v>333</v>
      </c>
      <c r="C641" s="30">
        <v>5</v>
      </c>
      <c r="D641" s="190">
        <v>1359940.9950000001</v>
      </c>
      <c r="E641" s="30" t="s">
        <v>10</v>
      </c>
      <c r="F641" s="190">
        <v>282380.266</v>
      </c>
      <c r="G641" s="30" t="s">
        <v>335</v>
      </c>
      <c r="H641" s="30"/>
      <c r="J641" s="24"/>
    </row>
    <row r="642" spans="1:15" x14ac:dyDescent="0.25">
      <c r="A642" s="30" t="s">
        <v>453</v>
      </c>
      <c r="B642" s="30" t="s">
        <v>333</v>
      </c>
      <c r="C642" s="30">
        <v>5</v>
      </c>
      <c r="D642" s="190">
        <v>227574.174</v>
      </c>
      <c r="E642" s="30" t="s">
        <v>10</v>
      </c>
      <c r="F642" s="190">
        <v>104567.841</v>
      </c>
      <c r="G642" s="30" t="s">
        <v>335</v>
      </c>
      <c r="H642" s="30"/>
    </row>
    <row r="643" spans="1:15" x14ac:dyDescent="0.25">
      <c r="A643" s="30" t="s">
        <v>454</v>
      </c>
      <c r="B643" s="30" t="s">
        <v>333</v>
      </c>
      <c r="C643" s="30">
        <v>5</v>
      </c>
      <c r="D643" s="190">
        <v>258485.27799999999</v>
      </c>
      <c r="E643" s="30" t="s">
        <v>10</v>
      </c>
      <c r="F643" s="190">
        <v>6908.8739999999998</v>
      </c>
      <c r="G643" s="30" t="s">
        <v>335</v>
      </c>
      <c r="H643" s="30"/>
    </row>
    <row r="644" spans="1:15" x14ac:dyDescent="0.25">
      <c r="A644" s="30" t="s">
        <v>455</v>
      </c>
      <c r="B644" s="30" t="s">
        <v>333</v>
      </c>
      <c r="C644" s="30">
        <v>5</v>
      </c>
      <c r="D644" s="190">
        <v>289650.245</v>
      </c>
      <c r="E644" s="30" t="s">
        <v>10</v>
      </c>
      <c r="F644" s="190">
        <v>4892.5990000000002</v>
      </c>
      <c r="G644" s="30" t="s">
        <v>335</v>
      </c>
      <c r="H644" s="30"/>
    </row>
    <row r="646" spans="1:15" x14ac:dyDescent="0.25">
      <c r="A646" s="30" t="s">
        <v>489</v>
      </c>
      <c r="B646" s="30" t="s">
        <v>332</v>
      </c>
      <c r="C646" s="30" t="s">
        <v>333</v>
      </c>
      <c r="D646" s="190" t="s">
        <v>334</v>
      </c>
      <c r="E646" s="30" t="s">
        <v>488</v>
      </c>
      <c r="F646" s="190"/>
      <c r="G646" s="30"/>
      <c r="H646" s="30"/>
    </row>
    <row r="647" spans="1:15" ht="20" thickBot="1" x14ac:dyDescent="0.3">
      <c r="A647" s="30" t="s">
        <v>2</v>
      </c>
      <c r="B647" s="30" t="s">
        <v>3</v>
      </c>
      <c r="C647" s="30" t="s">
        <v>4</v>
      </c>
      <c r="D647" s="190" t="s">
        <v>5</v>
      </c>
      <c r="E647" s="30" t="s">
        <v>6</v>
      </c>
      <c r="F647" s="190" t="s">
        <v>7</v>
      </c>
      <c r="G647" s="30"/>
      <c r="H647" s="30"/>
    </row>
    <row r="648" spans="1:15" x14ac:dyDescent="0.25">
      <c r="A648" s="30" t="s">
        <v>71</v>
      </c>
      <c r="B648" s="30" t="s">
        <v>333</v>
      </c>
      <c r="C648" s="30">
        <v>5</v>
      </c>
      <c r="D648" s="190">
        <v>570343.45700000005</v>
      </c>
      <c r="E648" s="30" t="s">
        <v>10</v>
      </c>
      <c r="F648" s="190">
        <v>66419.366999999998</v>
      </c>
      <c r="G648" s="30" t="s">
        <v>335</v>
      </c>
      <c r="H648" s="30"/>
      <c r="J648" s="5" t="s">
        <v>496</v>
      </c>
      <c r="K648" s="72" t="s">
        <v>340</v>
      </c>
      <c r="L648" s="72" t="s">
        <v>341</v>
      </c>
      <c r="M648" s="17" t="s">
        <v>162</v>
      </c>
      <c r="N648" s="72" t="s">
        <v>342</v>
      </c>
      <c r="O648" s="21" t="s">
        <v>162</v>
      </c>
    </row>
    <row r="649" spans="1:15" x14ac:dyDescent="0.25">
      <c r="A649" s="30" t="s">
        <v>72</v>
      </c>
      <c r="B649" s="30" t="s">
        <v>333</v>
      </c>
      <c r="C649" s="30">
        <v>5</v>
      </c>
      <c r="D649" s="190">
        <v>192851.40100000001</v>
      </c>
      <c r="E649" s="30" t="s">
        <v>10</v>
      </c>
      <c r="F649" s="190">
        <v>7219.1279999999997</v>
      </c>
      <c r="G649" s="30" t="s">
        <v>335</v>
      </c>
      <c r="H649" s="30"/>
      <c r="J649" s="6">
        <v>100000</v>
      </c>
      <c r="K649" s="119">
        <f>D648</f>
        <v>570343.45700000005</v>
      </c>
      <c r="L649" s="119">
        <f>D649</f>
        <v>192851.40100000001</v>
      </c>
      <c r="M649" s="18">
        <f>(K649/L649-1)</f>
        <v>1.9574244938982841</v>
      </c>
      <c r="N649" s="73">
        <f>D650</f>
        <v>848690.87100000004</v>
      </c>
      <c r="O649" s="22">
        <f>(K649/N649-1)</f>
        <v>-0.32797267357433368</v>
      </c>
    </row>
    <row r="650" spans="1:15" x14ac:dyDescent="0.25">
      <c r="A650" s="30" t="s">
        <v>73</v>
      </c>
      <c r="B650" s="30" t="s">
        <v>333</v>
      </c>
      <c r="C650" s="30">
        <v>5</v>
      </c>
      <c r="D650" s="190">
        <v>848690.87100000004</v>
      </c>
      <c r="E650" s="30" t="s">
        <v>10</v>
      </c>
      <c r="F650" s="190">
        <v>45562.89</v>
      </c>
      <c r="G650" s="30" t="s">
        <v>335</v>
      </c>
      <c r="H650" s="30"/>
      <c r="J650" s="6">
        <v>50000</v>
      </c>
      <c r="K650" s="119">
        <f>D651</f>
        <v>267558.04399999999</v>
      </c>
      <c r="L650" s="119">
        <f>D652</f>
        <v>71196.312999999995</v>
      </c>
      <c r="M650" s="18">
        <f t="shared" ref="M650:M651" si="34">(K650/L650-1)</f>
        <v>2.758032301476061</v>
      </c>
      <c r="N650" s="73">
        <f>D653</f>
        <v>407930.69300000003</v>
      </c>
      <c r="O650" s="22">
        <f t="shared" ref="O650:O651" si="35">(K650/N650-1)</f>
        <v>-0.34410906413457842</v>
      </c>
    </row>
    <row r="651" spans="1:15" ht="20" thickBot="1" x14ac:dyDescent="0.3">
      <c r="A651" s="30" t="s">
        <v>74</v>
      </c>
      <c r="B651" s="30" t="s">
        <v>333</v>
      </c>
      <c r="C651" s="30">
        <v>5</v>
      </c>
      <c r="D651" s="190">
        <v>267558.04399999999</v>
      </c>
      <c r="E651" s="30" t="s">
        <v>10</v>
      </c>
      <c r="F651" s="190">
        <v>1437.6579999999999</v>
      </c>
      <c r="G651" s="30" t="s">
        <v>335</v>
      </c>
      <c r="H651" s="30"/>
      <c r="J651" s="7">
        <v>10000</v>
      </c>
      <c r="K651" s="120">
        <f>D654</f>
        <v>39775.75</v>
      </c>
      <c r="L651" s="120">
        <f>D655</f>
        <v>11462.843999999999</v>
      </c>
      <c r="M651" s="19">
        <f t="shared" si="34"/>
        <v>2.4699721988714147</v>
      </c>
      <c r="N651" s="74">
        <f>D656</f>
        <v>27804.48</v>
      </c>
      <c r="O651" s="23">
        <f t="shared" si="35"/>
        <v>0.43055183912808292</v>
      </c>
    </row>
    <row r="652" spans="1:15" x14ac:dyDescent="0.25">
      <c r="A652" s="30" t="s">
        <v>75</v>
      </c>
      <c r="B652" s="30" t="s">
        <v>333</v>
      </c>
      <c r="C652" s="30">
        <v>5</v>
      </c>
      <c r="D652" s="190">
        <v>71196.312999999995</v>
      </c>
      <c r="E652" s="30" t="s">
        <v>10</v>
      </c>
      <c r="F652" s="190">
        <v>2137.96</v>
      </c>
      <c r="G652" s="30" t="s">
        <v>335</v>
      </c>
      <c r="H652" s="30"/>
    </row>
    <row r="653" spans="1:15" x14ac:dyDescent="0.25">
      <c r="A653" s="30" t="s">
        <v>76</v>
      </c>
      <c r="B653" s="30" t="s">
        <v>333</v>
      </c>
      <c r="C653" s="30">
        <v>5</v>
      </c>
      <c r="D653" s="190">
        <v>407930.69300000003</v>
      </c>
      <c r="E653" s="30" t="s">
        <v>10</v>
      </c>
      <c r="F653" s="190">
        <v>6810.9459999999999</v>
      </c>
      <c r="G653" s="30" t="s">
        <v>335</v>
      </c>
      <c r="H653" s="30"/>
    </row>
    <row r="654" spans="1:15" x14ac:dyDescent="0.25">
      <c r="A654" s="30" t="s">
        <v>77</v>
      </c>
      <c r="B654" s="30" t="s">
        <v>333</v>
      </c>
      <c r="C654" s="30">
        <v>5</v>
      </c>
      <c r="D654" s="190">
        <v>39775.75</v>
      </c>
      <c r="E654" s="30" t="s">
        <v>10</v>
      </c>
      <c r="F654" s="190">
        <v>68.613</v>
      </c>
      <c r="G654" s="30" t="s">
        <v>335</v>
      </c>
      <c r="H654" s="30"/>
    </row>
    <row r="655" spans="1:15" x14ac:dyDescent="0.25">
      <c r="A655" s="30" t="s">
        <v>78</v>
      </c>
      <c r="B655" s="30" t="s">
        <v>333</v>
      </c>
      <c r="C655" s="30">
        <v>5</v>
      </c>
      <c r="D655" s="190">
        <v>11462.843999999999</v>
      </c>
      <c r="E655" s="30" t="s">
        <v>10</v>
      </c>
      <c r="F655" s="190">
        <v>641.86199999999997</v>
      </c>
      <c r="G655" s="30" t="s">
        <v>335</v>
      </c>
      <c r="H655" s="30"/>
    </row>
    <row r="656" spans="1:15" x14ac:dyDescent="0.25">
      <c r="A656" s="30" t="s">
        <v>79</v>
      </c>
      <c r="B656" s="30" t="s">
        <v>333</v>
      </c>
      <c r="C656" s="30">
        <v>5</v>
      </c>
      <c r="D656" s="190">
        <v>27804.48</v>
      </c>
      <c r="E656" s="30" t="s">
        <v>10</v>
      </c>
      <c r="F656" s="190">
        <v>594.61099999999999</v>
      </c>
      <c r="G656" s="30" t="s">
        <v>335</v>
      </c>
      <c r="H656" s="30"/>
    </row>
    <row r="657" spans="1:17" x14ac:dyDescent="0.25">
      <c r="A657" s="30"/>
      <c r="B657" s="30"/>
      <c r="C657" s="30"/>
      <c r="D657" s="190"/>
      <c r="E657" s="30"/>
      <c r="F657" s="190"/>
      <c r="G657" s="30"/>
      <c r="H657" s="30"/>
    </row>
    <row r="658" spans="1:17" x14ac:dyDescent="0.25">
      <c r="A658" s="30" t="s">
        <v>490</v>
      </c>
      <c r="B658" s="30" t="s">
        <v>332</v>
      </c>
      <c r="C658" s="30" t="s">
        <v>333</v>
      </c>
      <c r="D658" s="190" t="s">
        <v>334</v>
      </c>
      <c r="E658" s="30" t="s">
        <v>488</v>
      </c>
      <c r="F658" s="190"/>
      <c r="G658" s="30"/>
      <c r="H658" s="30"/>
    </row>
    <row r="659" spans="1:17" ht="20" thickBot="1" x14ac:dyDescent="0.3">
      <c r="A659" s="30" t="s">
        <v>2</v>
      </c>
      <c r="B659" s="30" t="s">
        <v>3</v>
      </c>
      <c r="C659" s="30" t="s">
        <v>4</v>
      </c>
      <c r="D659" s="190" t="s">
        <v>5</v>
      </c>
      <c r="E659" s="30" t="s">
        <v>6</v>
      </c>
      <c r="F659" s="190" t="s">
        <v>7</v>
      </c>
      <c r="G659" s="30"/>
      <c r="H659" s="30"/>
    </row>
    <row r="660" spans="1:17" x14ac:dyDescent="0.25">
      <c r="A660" s="30" t="s">
        <v>86</v>
      </c>
      <c r="B660" s="30" t="s">
        <v>333</v>
      </c>
      <c r="C660" s="30">
        <v>5</v>
      </c>
      <c r="D660" s="190">
        <v>949184.951</v>
      </c>
      <c r="E660" s="30" t="s">
        <v>10</v>
      </c>
      <c r="F660" s="190">
        <v>40265.786</v>
      </c>
      <c r="G660" s="30" t="s">
        <v>335</v>
      </c>
      <c r="H660" s="30"/>
      <c r="J660" s="5" t="s">
        <v>497</v>
      </c>
      <c r="K660" s="72" t="s">
        <v>340</v>
      </c>
      <c r="L660" s="72" t="s">
        <v>341</v>
      </c>
      <c r="M660" s="17" t="s">
        <v>162</v>
      </c>
      <c r="N660" s="72" t="s">
        <v>342</v>
      </c>
      <c r="O660" s="21" t="s">
        <v>162</v>
      </c>
    </row>
    <row r="661" spans="1:17" x14ac:dyDescent="0.25">
      <c r="A661" s="30" t="s">
        <v>87</v>
      </c>
      <c r="B661" s="30" t="s">
        <v>333</v>
      </c>
      <c r="C661" s="30">
        <v>5</v>
      </c>
      <c r="D661" s="190">
        <v>537792.924</v>
      </c>
      <c r="E661" s="30" t="s">
        <v>10</v>
      </c>
      <c r="F661" s="190">
        <v>125247.27800000001</v>
      </c>
      <c r="G661" s="30" t="s">
        <v>335</v>
      </c>
      <c r="H661" s="30"/>
      <c r="J661" s="6">
        <v>100000</v>
      </c>
      <c r="K661" s="119">
        <f>D660</f>
        <v>949184.951</v>
      </c>
      <c r="L661" s="119">
        <f>D661</f>
        <v>537792.924</v>
      </c>
      <c r="M661" s="18">
        <f>(K661/L661-1)</f>
        <v>0.76496362938386309</v>
      </c>
      <c r="N661" s="73">
        <f>D662</f>
        <v>603442.99300000002</v>
      </c>
      <c r="O661" s="22">
        <f>(K661/N661-1)</f>
        <v>0.57294883197028024</v>
      </c>
    </row>
    <row r="662" spans="1:17" x14ac:dyDescent="0.25">
      <c r="A662" s="30" t="s">
        <v>88</v>
      </c>
      <c r="B662" s="30" t="s">
        <v>333</v>
      </c>
      <c r="C662" s="30">
        <v>5</v>
      </c>
      <c r="D662" s="190">
        <v>603442.99300000002</v>
      </c>
      <c r="E662" s="30" t="s">
        <v>10</v>
      </c>
      <c r="F662" s="190">
        <v>10663.281000000001</v>
      </c>
      <c r="G662" s="30" t="s">
        <v>335</v>
      </c>
      <c r="H662" s="30"/>
      <c r="J662" s="6">
        <v>50000</v>
      </c>
      <c r="K662" s="119">
        <f>D663</f>
        <v>460536.283</v>
      </c>
      <c r="L662" s="119">
        <f>D664</f>
        <v>238248.05900000001</v>
      </c>
      <c r="M662" s="18">
        <f t="shared" ref="M662:M663" si="36">(K662/L662-1)</f>
        <v>0.93301168929984857</v>
      </c>
      <c r="N662" s="73">
        <f>D665</f>
        <v>301145.04300000001</v>
      </c>
      <c r="O662" s="22">
        <f t="shared" ref="O662:O663" si="37">(K662/N662-1)</f>
        <v>0.52928395703328901</v>
      </c>
    </row>
    <row r="663" spans="1:17" ht="20" thickBot="1" x14ac:dyDescent="0.3">
      <c r="A663" s="30" t="s">
        <v>89</v>
      </c>
      <c r="B663" s="30" t="s">
        <v>333</v>
      </c>
      <c r="C663" s="30">
        <v>5</v>
      </c>
      <c r="D663" s="190">
        <v>460536.283</v>
      </c>
      <c r="E663" s="30" t="s">
        <v>10</v>
      </c>
      <c r="F663" s="190">
        <v>1921.258</v>
      </c>
      <c r="G663" s="30" t="s">
        <v>335</v>
      </c>
      <c r="H663" s="30"/>
      <c r="J663" s="7">
        <v>10000</v>
      </c>
      <c r="K663" s="120">
        <f>D666</f>
        <v>83967.028000000006</v>
      </c>
      <c r="L663" s="120">
        <f>D667</f>
        <v>42892.828999999998</v>
      </c>
      <c r="M663" s="19">
        <f t="shared" si="36"/>
        <v>0.95760060498690835</v>
      </c>
      <c r="N663" s="74">
        <f>D668</f>
        <v>56592.186000000002</v>
      </c>
      <c r="O663" s="23">
        <f t="shared" si="37"/>
        <v>0.483721233175195</v>
      </c>
    </row>
    <row r="664" spans="1:17" x14ac:dyDescent="0.25">
      <c r="A664" s="30" t="s">
        <v>90</v>
      </c>
      <c r="B664" s="30" t="s">
        <v>333</v>
      </c>
      <c r="C664" s="30">
        <v>5</v>
      </c>
      <c r="D664" s="190">
        <v>238248.05900000001</v>
      </c>
      <c r="E664" s="30" t="s">
        <v>10</v>
      </c>
      <c r="F664" s="190">
        <v>27858.611000000001</v>
      </c>
      <c r="G664" s="30" t="s">
        <v>335</v>
      </c>
      <c r="H664" s="30"/>
    </row>
    <row r="665" spans="1:17" x14ac:dyDescent="0.25">
      <c r="A665" s="30" t="s">
        <v>91</v>
      </c>
      <c r="B665" s="30" t="s">
        <v>333</v>
      </c>
      <c r="C665" s="30">
        <v>5</v>
      </c>
      <c r="D665" s="190">
        <v>301145.04300000001</v>
      </c>
      <c r="E665" s="30" t="s">
        <v>10</v>
      </c>
      <c r="F665" s="190">
        <v>2597.2750000000001</v>
      </c>
      <c r="G665" s="30" t="s">
        <v>335</v>
      </c>
      <c r="H665" s="30"/>
    </row>
    <row r="666" spans="1:17" x14ac:dyDescent="0.25">
      <c r="A666" s="30" t="s">
        <v>92</v>
      </c>
      <c r="B666" s="30" t="s">
        <v>333</v>
      </c>
      <c r="C666" s="30">
        <v>5</v>
      </c>
      <c r="D666" s="190">
        <v>83967.028000000006</v>
      </c>
      <c r="E666" s="30" t="s">
        <v>10</v>
      </c>
      <c r="F666" s="190">
        <v>327.29300000000001</v>
      </c>
      <c r="G666" s="30" t="s">
        <v>335</v>
      </c>
      <c r="H666" s="30"/>
    </row>
    <row r="667" spans="1:17" x14ac:dyDescent="0.25">
      <c r="A667" s="30" t="s">
        <v>93</v>
      </c>
      <c r="B667" s="30" t="s">
        <v>333</v>
      </c>
      <c r="C667" s="30">
        <v>5</v>
      </c>
      <c r="D667" s="190">
        <v>42892.828999999998</v>
      </c>
      <c r="E667" s="30" t="s">
        <v>10</v>
      </c>
      <c r="F667" s="190">
        <v>3788.491</v>
      </c>
      <c r="G667" s="30" t="s">
        <v>335</v>
      </c>
      <c r="H667" s="30"/>
    </row>
    <row r="668" spans="1:17" x14ac:dyDescent="0.25">
      <c r="A668" s="30" t="s">
        <v>94</v>
      </c>
      <c r="B668" s="30" t="s">
        <v>333</v>
      </c>
      <c r="C668" s="30">
        <v>5</v>
      </c>
      <c r="D668" s="190">
        <v>56592.186000000002</v>
      </c>
      <c r="E668" s="30" t="s">
        <v>10</v>
      </c>
      <c r="F668" s="190">
        <v>2185.3159999999998</v>
      </c>
      <c r="G668" s="30" t="s">
        <v>335</v>
      </c>
      <c r="H668" s="30"/>
    </row>
    <row r="669" spans="1:17" x14ac:dyDescent="0.25">
      <c r="A669" s="30"/>
      <c r="B669" s="30"/>
      <c r="C669" s="30"/>
      <c r="D669" s="190"/>
      <c r="E669" s="30"/>
      <c r="F669" s="190"/>
      <c r="G669" s="30"/>
      <c r="H669" s="30"/>
    </row>
    <row r="670" spans="1:17" x14ac:dyDescent="0.25">
      <c r="A670" s="30" t="s">
        <v>494</v>
      </c>
      <c r="B670" s="30" t="s">
        <v>332</v>
      </c>
      <c r="C670" s="30" t="s">
        <v>333</v>
      </c>
      <c r="D670" s="190" t="s">
        <v>334</v>
      </c>
      <c r="E670" s="30" t="s">
        <v>488</v>
      </c>
      <c r="F670" s="190"/>
      <c r="G670" s="30"/>
      <c r="H670" s="30"/>
    </row>
    <row r="671" spans="1:17" ht="20" thickBot="1" x14ac:dyDescent="0.3">
      <c r="A671" s="30" t="s">
        <v>2</v>
      </c>
      <c r="B671" s="30" t="s">
        <v>3</v>
      </c>
      <c r="C671" s="30" t="s">
        <v>4</v>
      </c>
      <c r="D671" s="190" t="s">
        <v>5</v>
      </c>
      <c r="E671" s="30" t="s">
        <v>6</v>
      </c>
      <c r="F671" s="190" t="s">
        <v>7</v>
      </c>
      <c r="G671" s="30"/>
      <c r="H671" s="30"/>
    </row>
    <row r="672" spans="1:17" x14ac:dyDescent="0.25">
      <c r="A672" s="30" t="s">
        <v>101</v>
      </c>
      <c r="B672" s="30" t="s">
        <v>333</v>
      </c>
      <c r="C672" s="30">
        <v>5</v>
      </c>
      <c r="D672" s="190">
        <v>1395340.0390000001</v>
      </c>
      <c r="E672" s="30" t="s">
        <v>10</v>
      </c>
      <c r="F672" s="190">
        <v>91909.576000000001</v>
      </c>
      <c r="G672" s="30" t="s">
        <v>335</v>
      </c>
      <c r="H672" s="30"/>
      <c r="J672" s="5" t="s">
        <v>169</v>
      </c>
      <c r="K672" s="72" t="s">
        <v>344</v>
      </c>
      <c r="L672" s="72" t="s">
        <v>341</v>
      </c>
      <c r="M672" s="17" t="s">
        <v>162</v>
      </c>
      <c r="N672" s="72" t="s">
        <v>343</v>
      </c>
      <c r="O672" s="21" t="s">
        <v>162</v>
      </c>
      <c r="P672" s="72" t="s">
        <v>342</v>
      </c>
      <c r="Q672" s="21" t="s">
        <v>162</v>
      </c>
    </row>
    <row r="673" spans="1:17" x14ac:dyDescent="0.25">
      <c r="A673" s="30" t="s">
        <v>102</v>
      </c>
      <c r="B673" s="30" t="s">
        <v>333</v>
      </c>
      <c r="C673" s="30">
        <v>5</v>
      </c>
      <c r="D673" s="190">
        <v>1848596.554</v>
      </c>
      <c r="E673" s="30" t="s">
        <v>10</v>
      </c>
      <c r="F673" s="190">
        <v>86547.331000000006</v>
      </c>
      <c r="G673" s="30" t="s">
        <v>335</v>
      </c>
      <c r="H673" s="30"/>
      <c r="J673" s="6">
        <v>100000</v>
      </c>
      <c r="K673" s="119">
        <f>D672</f>
        <v>1395340.0390000001</v>
      </c>
      <c r="L673" s="119">
        <f>D673</f>
        <v>1848596.554</v>
      </c>
      <c r="M673" s="18">
        <f>(K673/L673-1)</f>
        <v>-0.24518952716818698</v>
      </c>
      <c r="N673" s="73">
        <f>D674</f>
        <v>1543834.3659999999</v>
      </c>
      <c r="O673" s="22">
        <f>(K673/N673-1)</f>
        <v>-9.6185400629953177E-2</v>
      </c>
      <c r="P673" s="73">
        <f>D675</f>
        <v>1798689.1129999999</v>
      </c>
      <c r="Q673" s="22">
        <f>(K673/P673-1)</f>
        <v>-0.22424613074310629</v>
      </c>
    </row>
    <row r="674" spans="1:17" x14ac:dyDescent="0.25">
      <c r="A674" s="30" t="s">
        <v>103</v>
      </c>
      <c r="B674" s="30" t="s">
        <v>333</v>
      </c>
      <c r="C674" s="30">
        <v>5</v>
      </c>
      <c r="D674" s="190">
        <v>1543834.3659999999</v>
      </c>
      <c r="E674" s="30" t="s">
        <v>10</v>
      </c>
      <c r="F674" s="190">
        <v>156977.15900000001</v>
      </c>
      <c r="G674" s="30" t="s">
        <v>335</v>
      </c>
      <c r="H674" s="30"/>
      <c r="J674" s="6">
        <v>50000</v>
      </c>
      <c r="K674" s="119">
        <f>D676</f>
        <v>661868.03700000001</v>
      </c>
      <c r="L674" s="119">
        <f>D677</f>
        <v>868593.96</v>
      </c>
      <c r="M674" s="18">
        <f t="shared" ref="M674:M675" si="38">(K674/L674-1)</f>
        <v>-0.23800064531878617</v>
      </c>
      <c r="N674" s="73">
        <f>D678</f>
        <v>727996.5</v>
      </c>
      <c r="O674" s="22">
        <f t="shared" ref="O674:O675" si="39">(K674/N674-1)</f>
        <v>-9.0836237536856324E-2</v>
      </c>
      <c r="P674" s="73">
        <f>D679</f>
        <v>839194.87199999997</v>
      </c>
      <c r="Q674" s="22">
        <f t="shared" ref="Q674:Q675" si="40">(K674/P674-1)</f>
        <v>-0.21130590869482813</v>
      </c>
    </row>
    <row r="675" spans="1:17" ht="20" thickBot="1" x14ac:dyDescent="0.3">
      <c r="A675" s="30" t="s">
        <v>104</v>
      </c>
      <c r="B675" s="30" t="s">
        <v>333</v>
      </c>
      <c r="C675" s="30">
        <v>5</v>
      </c>
      <c r="D675" s="190">
        <v>1798689.1129999999</v>
      </c>
      <c r="E675" s="30" t="s">
        <v>10</v>
      </c>
      <c r="F675" s="190">
        <v>87719.978000000003</v>
      </c>
      <c r="G675" s="30" t="s">
        <v>335</v>
      </c>
      <c r="H675" s="30"/>
      <c r="J675" s="7">
        <v>10000</v>
      </c>
      <c r="K675" s="120">
        <f>D680</f>
        <v>134714.36600000001</v>
      </c>
      <c r="L675" s="120">
        <f>D681</f>
        <v>166713.83499999999</v>
      </c>
      <c r="M675" s="19">
        <f t="shared" si="38"/>
        <v>-0.19194249235523841</v>
      </c>
      <c r="N675" s="74">
        <f>D682</f>
        <v>146770.31299999999</v>
      </c>
      <c r="O675" s="23">
        <f t="shared" si="39"/>
        <v>-8.2141590854275748E-2</v>
      </c>
      <c r="P675" s="74">
        <f>D683</f>
        <v>172674.31700000001</v>
      </c>
      <c r="Q675" s="23">
        <f t="shared" si="40"/>
        <v>-0.2198355358197247</v>
      </c>
    </row>
    <row r="676" spans="1:17" x14ac:dyDescent="0.25">
      <c r="A676" s="30" t="s">
        <v>117</v>
      </c>
      <c r="B676" s="30" t="s">
        <v>333</v>
      </c>
      <c r="C676" s="30">
        <v>5</v>
      </c>
      <c r="D676" s="190">
        <v>661868.03700000001</v>
      </c>
      <c r="E676" s="30" t="s">
        <v>10</v>
      </c>
      <c r="F676" s="190">
        <v>8480.3449999999993</v>
      </c>
      <c r="G676" s="30" t="s">
        <v>335</v>
      </c>
      <c r="H676" s="30"/>
      <c r="J676" s="24"/>
    </row>
    <row r="677" spans="1:17" x14ac:dyDescent="0.25">
      <c r="A677" s="30" t="s">
        <v>118</v>
      </c>
      <c r="B677" s="30" t="s">
        <v>333</v>
      </c>
      <c r="C677" s="30">
        <v>5</v>
      </c>
      <c r="D677" s="190">
        <v>868593.96</v>
      </c>
      <c r="E677" s="30" t="s">
        <v>10</v>
      </c>
      <c r="F677" s="190">
        <v>5643.2169999999996</v>
      </c>
      <c r="G677" s="30" t="s">
        <v>335</v>
      </c>
      <c r="H677" s="30"/>
      <c r="J677" s="24"/>
    </row>
    <row r="678" spans="1:17" x14ac:dyDescent="0.25">
      <c r="A678" s="30" t="s">
        <v>119</v>
      </c>
      <c r="B678" s="30" t="s">
        <v>333</v>
      </c>
      <c r="C678" s="30">
        <v>5</v>
      </c>
      <c r="D678" s="190">
        <v>727996.5</v>
      </c>
      <c r="E678" s="30" t="s">
        <v>10</v>
      </c>
      <c r="F678" s="190">
        <v>76586.661999999997</v>
      </c>
      <c r="G678" s="30" t="s">
        <v>335</v>
      </c>
      <c r="H678" s="30"/>
    </row>
    <row r="679" spans="1:17" x14ac:dyDescent="0.25">
      <c r="A679" s="30" t="s">
        <v>120</v>
      </c>
      <c r="B679" s="30" t="s">
        <v>333</v>
      </c>
      <c r="C679" s="30">
        <v>5</v>
      </c>
      <c r="D679" s="190">
        <v>839194.87199999997</v>
      </c>
      <c r="E679" s="30" t="s">
        <v>10</v>
      </c>
      <c r="F679" s="190">
        <v>25300.069</v>
      </c>
      <c r="G679" s="30" t="s">
        <v>335</v>
      </c>
      <c r="H679" s="30"/>
    </row>
    <row r="680" spans="1:17" x14ac:dyDescent="0.25">
      <c r="A680" s="30" t="s">
        <v>105</v>
      </c>
      <c r="B680" s="30" t="s">
        <v>333</v>
      </c>
      <c r="C680" s="30">
        <v>5</v>
      </c>
      <c r="D680" s="190">
        <v>134714.36600000001</v>
      </c>
      <c r="E680" s="30" t="s">
        <v>10</v>
      </c>
      <c r="F680" s="190">
        <v>5659.1750000000002</v>
      </c>
      <c r="G680" s="30" t="s">
        <v>335</v>
      </c>
      <c r="H680" s="30"/>
    </row>
    <row r="681" spans="1:17" x14ac:dyDescent="0.25">
      <c r="A681" s="30" t="s">
        <v>106</v>
      </c>
      <c r="B681" s="30" t="s">
        <v>333</v>
      </c>
      <c r="C681" s="30">
        <v>5</v>
      </c>
      <c r="D681" s="190">
        <v>166713.83499999999</v>
      </c>
      <c r="E681" s="30" t="s">
        <v>10</v>
      </c>
      <c r="F681" s="190">
        <v>2284.5790000000002</v>
      </c>
      <c r="G681" s="30" t="s">
        <v>335</v>
      </c>
      <c r="H681" s="30"/>
    </row>
    <row r="682" spans="1:17" x14ac:dyDescent="0.25">
      <c r="A682" s="30" t="s">
        <v>107</v>
      </c>
      <c r="B682" s="30" t="s">
        <v>333</v>
      </c>
      <c r="C682" s="30">
        <v>5</v>
      </c>
      <c r="D682" s="190">
        <v>146770.31299999999</v>
      </c>
      <c r="E682" s="30" t="s">
        <v>10</v>
      </c>
      <c r="F682" s="190">
        <v>1216.9670000000001</v>
      </c>
      <c r="G682" s="30" t="s">
        <v>335</v>
      </c>
      <c r="H682" s="30"/>
    </row>
    <row r="683" spans="1:17" x14ac:dyDescent="0.25">
      <c r="A683" s="30" t="s">
        <v>108</v>
      </c>
      <c r="B683" s="30" t="s">
        <v>333</v>
      </c>
      <c r="C683" s="30">
        <v>5</v>
      </c>
      <c r="D683" s="190">
        <v>172674.31700000001</v>
      </c>
      <c r="E683" s="30" t="s">
        <v>10</v>
      </c>
      <c r="F683" s="190">
        <v>570.33399999999995</v>
      </c>
      <c r="G683" s="30" t="s">
        <v>335</v>
      </c>
      <c r="H683" s="30"/>
    </row>
    <row r="684" spans="1:17" x14ac:dyDescent="0.25">
      <c r="A684" s="30"/>
      <c r="B684" s="30"/>
      <c r="C684" s="30"/>
      <c r="D684" s="190"/>
      <c r="E684" s="30"/>
      <c r="F684" s="190"/>
      <c r="G684" s="30"/>
      <c r="H684" s="30"/>
    </row>
    <row r="685" spans="1:17" x14ac:dyDescent="0.25">
      <c r="A685" s="30" t="s">
        <v>495</v>
      </c>
      <c r="B685" s="30" t="s">
        <v>332</v>
      </c>
      <c r="C685" s="30" t="s">
        <v>333</v>
      </c>
      <c r="D685" s="190" t="s">
        <v>334</v>
      </c>
      <c r="E685" s="30" t="s">
        <v>488</v>
      </c>
      <c r="F685" s="190"/>
      <c r="G685" s="30"/>
      <c r="H685" s="30"/>
    </row>
    <row r="686" spans="1:17" ht="20" thickBot="1" x14ac:dyDescent="0.3">
      <c r="A686" s="30" t="s">
        <v>2</v>
      </c>
      <c r="B686" s="30" t="s">
        <v>3</v>
      </c>
      <c r="C686" s="30" t="s">
        <v>4</v>
      </c>
      <c r="D686" s="190" t="s">
        <v>5</v>
      </c>
      <c r="E686" s="30" t="s">
        <v>6</v>
      </c>
      <c r="F686" s="190" t="s">
        <v>7</v>
      </c>
      <c r="G686" s="30"/>
      <c r="H686" s="30"/>
    </row>
    <row r="687" spans="1:17" x14ac:dyDescent="0.25">
      <c r="A687" s="30" t="s">
        <v>121</v>
      </c>
      <c r="B687" s="30" t="s">
        <v>333</v>
      </c>
      <c r="C687" s="30">
        <v>5</v>
      </c>
      <c r="D687" s="190">
        <v>3194209.91</v>
      </c>
      <c r="E687" s="30" t="s">
        <v>10</v>
      </c>
      <c r="F687" s="190">
        <v>189423.40400000001</v>
      </c>
      <c r="G687" s="30" t="s">
        <v>335</v>
      </c>
      <c r="H687" s="30"/>
      <c r="J687" s="5" t="s">
        <v>170</v>
      </c>
      <c r="K687" s="72" t="s">
        <v>344</v>
      </c>
      <c r="L687" s="72" t="s">
        <v>341</v>
      </c>
      <c r="M687" s="17" t="s">
        <v>162</v>
      </c>
      <c r="N687" s="72" t="s">
        <v>343</v>
      </c>
      <c r="O687" s="21" t="s">
        <v>162</v>
      </c>
      <c r="P687" s="72" t="s">
        <v>342</v>
      </c>
      <c r="Q687" s="21" t="s">
        <v>162</v>
      </c>
    </row>
    <row r="688" spans="1:17" x14ac:dyDescent="0.25">
      <c r="A688" s="30" t="s">
        <v>122</v>
      </c>
      <c r="B688" s="30" t="s">
        <v>333</v>
      </c>
      <c r="C688" s="30">
        <v>5</v>
      </c>
      <c r="D688" s="190">
        <v>3881232.5890000002</v>
      </c>
      <c r="E688" s="30" t="s">
        <v>10</v>
      </c>
      <c r="F688" s="190">
        <v>10779.596</v>
      </c>
      <c r="G688" s="30" t="s">
        <v>335</v>
      </c>
      <c r="H688" s="30"/>
      <c r="J688" s="6">
        <v>100000</v>
      </c>
      <c r="K688" s="119">
        <f>D687</f>
        <v>3194209.91</v>
      </c>
      <c r="L688" s="119">
        <f>D688</f>
        <v>3881232.5890000002</v>
      </c>
      <c r="M688" s="18">
        <f>(K688/L688-1)</f>
        <v>-0.17701146819882063</v>
      </c>
      <c r="N688" s="73">
        <f>D689</f>
        <v>2920765.8990000002</v>
      </c>
      <c r="O688" s="22">
        <f>(K688/N688-1)</f>
        <v>9.3620653094320438E-2</v>
      </c>
      <c r="P688" s="73">
        <f>D690</f>
        <v>3219066.54</v>
      </c>
      <c r="Q688" s="22">
        <f>(K688/P688-1)</f>
        <v>-7.7216887849730353E-3</v>
      </c>
    </row>
    <row r="689" spans="1:17" x14ac:dyDescent="0.25">
      <c r="A689" s="30" t="s">
        <v>123</v>
      </c>
      <c r="B689" s="30" t="s">
        <v>333</v>
      </c>
      <c r="C689" s="30">
        <v>5</v>
      </c>
      <c r="D689" s="190">
        <v>2920765.8990000002</v>
      </c>
      <c r="E689" s="30" t="s">
        <v>10</v>
      </c>
      <c r="F689" s="190">
        <v>349355.85600000003</v>
      </c>
      <c r="G689" s="30" t="s">
        <v>335</v>
      </c>
      <c r="H689" s="30"/>
      <c r="J689" s="6">
        <v>50000</v>
      </c>
      <c r="K689" s="119">
        <f>D691</f>
        <v>1584401.9890000001</v>
      </c>
      <c r="L689" s="119">
        <f>D692</f>
        <v>1822604.496</v>
      </c>
      <c r="M689" s="18">
        <f t="shared" ref="M689:M690" si="41">(K689/L689-1)</f>
        <v>-0.13069347053777924</v>
      </c>
      <c r="N689" s="73">
        <f>D693</f>
        <v>1346701.9169999999</v>
      </c>
      <c r="O689" s="22">
        <f t="shared" ref="O689:O690" si="42">(K689/N689-1)</f>
        <v>0.17650533425356385</v>
      </c>
      <c r="P689" s="73">
        <f>D694</f>
        <v>1543673.605</v>
      </c>
      <c r="Q689" s="22">
        <f t="shared" ref="Q689:Q690" si="43">(K689/P689-1)</f>
        <v>2.6384064525091233E-2</v>
      </c>
    </row>
    <row r="690" spans="1:17" ht="20" thickBot="1" x14ac:dyDescent="0.3">
      <c r="A690" s="30" t="s">
        <v>124</v>
      </c>
      <c r="B690" s="30" t="s">
        <v>333</v>
      </c>
      <c r="C690" s="30">
        <v>5</v>
      </c>
      <c r="D690" s="190">
        <v>3219066.54</v>
      </c>
      <c r="E690" s="30" t="s">
        <v>10</v>
      </c>
      <c r="F690" s="190">
        <v>287446.28499999997</v>
      </c>
      <c r="G690" s="30" t="s">
        <v>335</v>
      </c>
      <c r="H690" s="30"/>
      <c r="J690" s="7">
        <v>10000</v>
      </c>
      <c r="K690" s="120">
        <f>D695</f>
        <v>255826.04699999999</v>
      </c>
      <c r="L690" s="120">
        <f>D696</f>
        <v>296813.5</v>
      </c>
      <c r="M690" s="19">
        <f t="shared" si="41"/>
        <v>-0.13809160634539874</v>
      </c>
      <c r="N690" s="74">
        <f>D697</f>
        <v>219397.65</v>
      </c>
      <c r="O690" s="23">
        <f t="shared" si="42"/>
        <v>0.16603822784792821</v>
      </c>
      <c r="P690" s="74">
        <f>D698</f>
        <v>242021.073</v>
      </c>
      <c r="Q690" s="23">
        <f t="shared" si="43"/>
        <v>5.7040380115990885E-2</v>
      </c>
    </row>
    <row r="691" spans="1:17" x14ac:dyDescent="0.25">
      <c r="A691" s="30" t="s">
        <v>137</v>
      </c>
      <c r="B691" s="30" t="s">
        <v>333</v>
      </c>
      <c r="C691" s="30">
        <v>5</v>
      </c>
      <c r="D691" s="190">
        <v>1584401.9890000001</v>
      </c>
      <c r="E691" s="30" t="s">
        <v>10</v>
      </c>
      <c r="F691" s="190">
        <v>73003.520999999993</v>
      </c>
      <c r="G691" s="30" t="s">
        <v>335</v>
      </c>
      <c r="H691" s="30"/>
    </row>
    <row r="692" spans="1:17" x14ac:dyDescent="0.25">
      <c r="A692" s="30" t="s">
        <v>138</v>
      </c>
      <c r="B692" s="30" t="s">
        <v>333</v>
      </c>
      <c r="C692" s="30">
        <v>5</v>
      </c>
      <c r="D692" s="190">
        <v>1822604.496</v>
      </c>
      <c r="E692" s="30" t="s">
        <v>10</v>
      </c>
      <c r="F692" s="190">
        <v>3764.7159999999999</v>
      </c>
      <c r="G692" s="30" t="s">
        <v>335</v>
      </c>
      <c r="H692" s="30"/>
    </row>
    <row r="693" spans="1:17" x14ac:dyDescent="0.25">
      <c r="A693" s="30" t="s">
        <v>139</v>
      </c>
      <c r="B693" s="30" t="s">
        <v>333</v>
      </c>
      <c r="C693" s="30">
        <v>5</v>
      </c>
      <c r="D693" s="190">
        <v>1346701.9169999999</v>
      </c>
      <c r="E693" s="30" t="s">
        <v>10</v>
      </c>
      <c r="F693" s="190">
        <v>1596.53</v>
      </c>
      <c r="G693" s="30" t="s">
        <v>335</v>
      </c>
      <c r="H693" s="30"/>
    </row>
    <row r="694" spans="1:17" x14ac:dyDescent="0.25">
      <c r="A694" s="30" t="s">
        <v>140</v>
      </c>
      <c r="B694" s="30" t="s">
        <v>333</v>
      </c>
      <c r="C694" s="30">
        <v>5</v>
      </c>
      <c r="D694" s="190">
        <v>1543673.605</v>
      </c>
      <c r="E694" s="30" t="s">
        <v>10</v>
      </c>
      <c r="F694" s="190">
        <v>88255.152000000002</v>
      </c>
      <c r="G694" s="30" t="s">
        <v>335</v>
      </c>
      <c r="H694" s="30"/>
    </row>
    <row r="695" spans="1:17" x14ac:dyDescent="0.25">
      <c r="A695" s="30" t="s">
        <v>125</v>
      </c>
      <c r="B695" s="30" t="s">
        <v>333</v>
      </c>
      <c r="C695" s="30">
        <v>5</v>
      </c>
      <c r="D695" s="190">
        <v>255826.04699999999</v>
      </c>
      <c r="E695" s="30" t="s">
        <v>10</v>
      </c>
      <c r="F695" s="190">
        <v>1996.8679999999999</v>
      </c>
      <c r="G695" s="30" t="s">
        <v>335</v>
      </c>
      <c r="H695" s="30"/>
    </row>
    <row r="696" spans="1:17" x14ac:dyDescent="0.25">
      <c r="A696" s="30" t="s">
        <v>126</v>
      </c>
      <c r="B696" s="30" t="s">
        <v>333</v>
      </c>
      <c r="C696" s="30">
        <v>5</v>
      </c>
      <c r="D696" s="190">
        <v>296813.5</v>
      </c>
      <c r="E696" s="30" t="s">
        <v>10</v>
      </c>
      <c r="F696" s="190">
        <v>1538.92</v>
      </c>
      <c r="G696" s="30" t="s">
        <v>335</v>
      </c>
      <c r="H696" s="30"/>
    </row>
    <row r="697" spans="1:17" x14ac:dyDescent="0.25">
      <c r="A697" s="30" t="s">
        <v>127</v>
      </c>
      <c r="B697" s="30" t="s">
        <v>333</v>
      </c>
      <c r="C697" s="30">
        <v>5</v>
      </c>
      <c r="D697" s="190">
        <v>219397.65</v>
      </c>
      <c r="E697" s="30" t="s">
        <v>10</v>
      </c>
      <c r="F697" s="190">
        <v>2481.7179999999998</v>
      </c>
      <c r="G697" s="30" t="s">
        <v>335</v>
      </c>
      <c r="H697" s="30"/>
    </row>
    <row r="698" spans="1:17" x14ac:dyDescent="0.25">
      <c r="A698" s="30" t="s">
        <v>128</v>
      </c>
      <c r="B698" s="30" t="s">
        <v>333</v>
      </c>
      <c r="C698" s="30">
        <v>5</v>
      </c>
      <c r="D698" s="190">
        <v>242021.073</v>
      </c>
      <c r="E698" s="30" t="s">
        <v>10</v>
      </c>
      <c r="F698" s="190">
        <v>752.21500000000003</v>
      </c>
      <c r="G698" s="30" t="s">
        <v>335</v>
      </c>
      <c r="H698" s="30"/>
    </row>
    <row r="700" spans="1:17" x14ac:dyDescent="0.25">
      <c r="A700" s="30" t="s">
        <v>430</v>
      </c>
      <c r="B700" s="30" t="s">
        <v>332</v>
      </c>
      <c r="C700" s="30" t="s">
        <v>333</v>
      </c>
      <c r="D700" s="190" t="s">
        <v>334</v>
      </c>
      <c r="E700" s="30" t="s">
        <v>488</v>
      </c>
      <c r="F700" s="190"/>
      <c r="G700" s="30"/>
      <c r="H700" s="30"/>
    </row>
    <row r="701" spans="1:17" ht="20" thickBot="1" x14ac:dyDescent="0.3">
      <c r="A701" s="30" t="s">
        <v>2</v>
      </c>
      <c r="B701" s="30" t="s">
        <v>3</v>
      </c>
      <c r="C701" s="30" t="s">
        <v>4</v>
      </c>
      <c r="D701" s="190" t="s">
        <v>5</v>
      </c>
      <c r="E701" s="30" t="s">
        <v>6</v>
      </c>
      <c r="F701" s="190" t="s">
        <v>7</v>
      </c>
      <c r="G701" s="30"/>
      <c r="H701" s="30"/>
    </row>
    <row r="702" spans="1:17" x14ac:dyDescent="0.25">
      <c r="A702" s="30" t="s">
        <v>431</v>
      </c>
      <c r="B702" s="30" t="s">
        <v>333</v>
      </c>
      <c r="C702" s="30">
        <v>5</v>
      </c>
      <c r="D702" s="190">
        <v>3750098.1159999999</v>
      </c>
      <c r="E702" s="30" t="s">
        <v>10</v>
      </c>
      <c r="F702" s="190">
        <v>156194.55100000001</v>
      </c>
      <c r="G702" s="30" t="s">
        <v>335</v>
      </c>
      <c r="H702" s="30"/>
      <c r="J702" s="5" t="s">
        <v>491</v>
      </c>
      <c r="K702" s="72" t="s">
        <v>340</v>
      </c>
      <c r="L702" s="72" t="s">
        <v>341</v>
      </c>
      <c r="M702" s="17" t="s">
        <v>162</v>
      </c>
      <c r="N702" s="72" t="s">
        <v>342</v>
      </c>
      <c r="O702" s="21" t="s">
        <v>162</v>
      </c>
    </row>
    <row r="703" spans="1:17" x14ac:dyDescent="0.25">
      <c r="A703" s="30" t="s">
        <v>432</v>
      </c>
      <c r="B703" s="30" t="s">
        <v>333</v>
      </c>
      <c r="C703" s="30">
        <v>5</v>
      </c>
      <c r="D703" s="190">
        <v>8659506.4460000005</v>
      </c>
      <c r="E703" s="30" t="s">
        <v>10</v>
      </c>
      <c r="F703" s="190">
        <v>1783454.6170000001</v>
      </c>
      <c r="G703" s="30" t="s">
        <v>335</v>
      </c>
      <c r="H703" s="30"/>
      <c r="J703" s="6">
        <v>100000</v>
      </c>
      <c r="K703" s="119">
        <f>D702</f>
        <v>3750098.1159999999</v>
      </c>
      <c r="L703" s="119">
        <f>D703</f>
        <v>8659506.4460000005</v>
      </c>
      <c r="M703" s="18">
        <f>(K703/L703-1)</f>
        <v>-0.56693858485061288</v>
      </c>
      <c r="N703" s="73">
        <f>D704</f>
        <v>5709915.6409999998</v>
      </c>
      <c r="O703" s="22">
        <f>(K703/N703-1)</f>
        <v>-0.34323055684527937</v>
      </c>
    </row>
    <row r="704" spans="1:17" x14ac:dyDescent="0.25">
      <c r="A704" s="30" t="s">
        <v>433</v>
      </c>
      <c r="B704" s="30" t="s">
        <v>333</v>
      </c>
      <c r="C704" s="30">
        <v>5</v>
      </c>
      <c r="D704" s="190">
        <v>5709915.6409999998</v>
      </c>
      <c r="E704" s="30" t="s">
        <v>10</v>
      </c>
      <c r="F704" s="190">
        <v>18326.843000000001</v>
      </c>
      <c r="G704" s="30" t="s">
        <v>335</v>
      </c>
      <c r="H704" s="30"/>
      <c r="J704" s="6">
        <v>50000</v>
      </c>
      <c r="K704" s="119">
        <f>D705</f>
        <v>379511.89600000001</v>
      </c>
      <c r="L704" s="119">
        <f>D706</f>
        <v>847008.674</v>
      </c>
      <c r="M704" s="18">
        <f t="shared" ref="M704:M705" si="44">(K704/L704-1)</f>
        <v>-0.55193859561348479</v>
      </c>
      <c r="N704" s="73">
        <f>D707</f>
        <v>570500.10800000001</v>
      </c>
      <c r="O704" s="22">
        <f t="shared" ref="O704:O705" si="45">(K704/N704-1)</f>
        <v>-0.33477331436368452</v>
      </c>
    </row>
    <row r="705" spans="1:15" ht="20" thickBot="1" x14ac:dyDescent="0.3">
      <c r="A705" s="30" t="s">
        <v>437</v>
      </c>
      <c r="B705" s="30" t="s">
        <v>333</v>
      </c>
      <c r="C705" s="30">
        <v>5</v>
      </c>
      <c r="D705" s="190">
        <v>379511.89600000001</v>
      </c>
      <c r="E705" s="30" t="s">
        <v>10</v>
      </c>
      <c r="F705" s="190">
        <v>1448.769</v>
      </c>
      <c r="G705" s="30" t="s">
        <v>335</v>
      </c>
      <c r="H705" s="30"/>
      <c r="J705" s="7">
        <v>10000</v>
      </c>
      <c r="K705" s="120">
        <f>D708</f>
        <v>1895120.76</v>
      </c>
      <c r="L705" s="120">
        <f>D709</f>
        <v>4188807.7820000001</v>
      </c>
      <c r="M705" s="19">
        <f t="shared" si="44"/>
        <v>-0.54757514342299318</v>
      </c>
      <c r="N705" s="74">
        <f>D710</f>
        <v>2871317.5</v>
      </c>
      <c r="O705" s="23">
        <f t="shared" si="45"/>
        <v>-0.33998216498175493</v>
      </c>
    </row>
    <row r="706" spans="1:15" x14ac:dyDescent="0.25">
      <c r="A706" s="30" t="s">
        <v>438</v>
      </c>
      <c r="B706" s="30" t="s">
        <v>333</v>
      </c>
      <c r="C706" s="30">
        <v>5</v>
      </c>
      <c r="D706" s="190">
        <v>847008.674</v>
      </c>
      <c r="E706" s="30" t="s">
        <v>10</v>
      </c>
      <c r="F706" s="190">
        <v>51205.038999999997</v>
      </c>
      <c r="G706" s="30" t="s">
        <v>335</v>
      </c>
      <c r="H706" s="30"/>
    </row>
    <row r="707" spans="1:15" x14ac:dyDescent="0.25">
      <c r="A707" s="30" t="s">
        <v>439</v>
      </c>
      <c r="B707" s="30" t="s">
        <v>333</v>
      </c>
      <c r="C707" s="30">
        <v>5</v>
      </c>
      <c r="D707" s="190">
        <v>570500.10800000001</v>
      </c>
      <c r="E707" s="30" t="s">
        <v>10</v>
      </c>
      <c r="F707" s="190">
        <v>33799.497000000003</v>
      </c>
      <c r="G707" s="30" t="s">
        <v>335</v>
      </c>
      <c r="H707" s="30"/>
    </row>
    <row r="708" spans="1:15" x14ac:dyDescent="0.25">
      <c r="A708" s="30" t="s">
        <v>434</v>
      </c>
      <c r="B708" s="30" t="s">
        <v>333</v>
      </c>
      <c r="C708" s="30">
        <v>5</v>
      </c>
      <c r="D708" s="190">
        <v>1895120.76</v>
      </c>
      <c r="E708" s="30" t="s">
        <v>10</v>
      </c>
      <c r="F708" s="190">
        <v>59244.809000000001</v>
      </c>
      <c r="G708" s="30" t="s">
        <v>335</v>
      </c>
      <c r="H708" s="30"/>
    </row>
    <row r="709" spans="1:15" x14ac:dyDescent="0.25">
      <c r="A709" s="30" t="s">
        <v>435</v>
      </c>
      <c r="B709" s="30" t="s">
        <v>333</v>
      </c>
      <c r="C709" s="30">
        <v>5</v>
      </c>
      <c r="D709" s="190">
        <v>4188807.7820000001</v>
      </c>
      <c r="E709" s="30" t="s">
        <v>10</v>
      </c>
      <c r="F709" s="190">
        <v>76567.697</v>
      </c>
      <c r="G709" s="30" t="s">
        <v>335</v>
      </c>
      <c r="H709" s="30"/>
    </row>
    <row r="710" spans="1:15" x14ac:dyDescent="0.25">
      <c r="A710" s="30" t="s">
        <v>436</v>
      </c>
      <c r="B710" s="30" t="s">
        <v>333</v>
      </c>
      <c r="C710" s="30">
        <v>5</v>
      </c>
      <c r="D710" s="190">
        <v>2871317.5</v>
      </c>
      <c r="E710" s="30" t="s">
        <v>10</v>
      </c>
      <c r="F710" s="190">
        <v>130808.897</v>
      </c>
      <c r="G710" s="30" t="s">
        <v>335</v>
      </c>
      <c r="H710" s="30"/>
    </row>
    <row r="711" spans="1:15" x14ac:dyDescent="0.25">
      <c r="A711" s="30"/>
      <c r="B711" s="30"/>
      <c r="C711" s="30"/>
      <c r="D711" s="190"/>
      <c r="E711" s="30"/>
      <c r="F711" s="190"/>
      <c r="G711" s="30"/>
      <c r="H711" s="30"/>
    </row>
    <row r="712" spans="1:15" x14ac:dyDescent="0.25">
      <c r="A712" s="30" t="s">
        <v>446</v>
      </c>
      <c r="B712" s="30" t="s">
        <v>332</v>
      </c>
      <c r="C712" s="30" t="s">
        <v>333</v>
      </c>
      <c r="D712" s="190" t="s">
        <v>334</v>
      </c>
      <c r="E712" s="30" t="s">
        <v>488</v>
      </c>
      <c r="F712" s="190"/>
      <c r="G712" s="30"/>
      <c r="H712" s="30"/>
    </row>
    <row r="713" spans="1:15" ht="20" thickBot="1" x14ac:dyDescent="0.3">
      <c r="A713" s="30" t="s">
        <v>2</v>
      </c>
      <c r="B713" s="30" t="s">
        <v>3</v>
      </c>
      <c r="C713" s="30" t="s">
        <v>4</v>
      </c>
      <c r="D713" s="190" t="s">
        <v>5</v>
      </c>
      <c r="E713" s="30" t="s">
        <v>6</v>
      </c>
      <c r="F713" s="190" t="s">
        <v>7</v>
      </c>
      <c r="G713" s="30"/>
      <c r="H713" s="30"/>
    </row>
    <row r="714" spans="1:15" x14ac:dyDescent="0.25">
      <c r="A714" s="30" t="s">
        <v>447</v>
      </c>
      <c r="B714" s="30" t="s">
        <v>333</v>
      </c>
      <c r="C714" s="30">
        <v>5</v>
      </c>
      <c r="D714" s="190">
        <v>2029236.6640000001</v>
      </c>
      <c r="E714" s="30" t="s">
        <v>10</v>
      </c>
      <c r="F714" s="190">
        <v>32864.544999999998</v>
      </c>
      <c r="G714" s="30" t="s">
        <v>335</v>
      </c>
      <c r="H714" s="30"/>
      <c r="J714" s="5" t="s">
        <v>493</v>
      </c>
      <c r="K714" s="72" t="s">
        <v>340</v>
      </c>
      <c r="L714" s="72" t="s">
        <v>341</v>
      </c>
      <c r="M714" s="17" t="s">
        <v>162</v>
      </c>
      <c r="N714" s="72" t="s">
        <v>342</v>
      </c>
      <c r="O714" s="21" t="s">
        <v>162</v>
      </c>
    </row>
    <row r="715" spans="1:15" x14ac:dyDescent="0.25">
      <c r="A715" s="30" t="s">
        <v>448</v>
      </c>
      <c r="B715" s="30" t="s">
        <v>333</v>
      </c>
      <c r="C715" s="30">
        <v>5</v>
      </c>
      <c r="D715" s="190">
        <v>2534740.798</v>
      </c>
      <c r="E715" s="30" t="s">
        <v>10</v>
      </c>
      <c r="F715" s="190">
        <v>62421.798000000003</v>
      </c>
      <c r="G715" s="30" t="s">
        <v>335</v>
      </c>
      <c r="H715" s="30"/>
      <c r="J715" s="6">
        <v>100000</v>
      </c>
      <c r="K715" s="119">
        <f>D714</f>
        <v>2029236.6640000001</v>
      </c>
      <c r="L715" s="119">
        <f>D715</f>
        <v>2534740.798</v>
      </c>
      <c r="M715" s="18">
        <f>(K715/L715-1)</f>
        <v>-0.19943030640405535</v>
      </c>
      <c r="N715" s="73">
        <f>D716</f>
        <v>2878028.8760000002</v>
      </c>
      <c r="O715" s="22">
        <f>(K715/N715-1)</f>
        <v>-0.29492136756448584</v>
      </c>
    </row>
    <row r="716" spans="1:15" x14ac:dyDescent="0.25">
      <c r="A716" s="30" t="s">
        <v>449</v>
      </c>
      <c r="B716" s="30" t="s">
        <v>333</v>
      </c>
      <c r="C716" s="30">
        <v>5</v>
      </c>
      <c r="D716" s="190">
        <v>2878028.8760000002</v>
      </c>
      <c r="E716" s="30" t="s">
        <v>10</v>
      </c>
      <c r="F716" s="190">
        <v>11308.607</v>
      </c>
      <c r="G716" s="30" t="s">
        <v>335</v>
      </c>
      <c r="H716" s="30"/>
      <c r="J716" s="6">
        <v>50000</v>
      </c>
      <c r="K716" s="119">
        <f>D717</f>
        <v>1012753.562</v>
      </c>
      <c r="L716" s="119">
        <f>D718</f>
        <v>1211099.378</v>
      </c>
      <c r="M716" s="18">
        <f t="shared" ref="M716:M717" si="46">(K716/L716-1)</f>
        <v>-0.16377336129719322</v>
      </c>
      <c r="N716" s="73">
        <f>D719</f>
        <v>1294894.3219999999</v>
      </c>
      <c r="O716" s="22">
        <f t="shared" ref="O716:O717" si="47">(K716/N716-1)</f>
        <v>-0.21788709333764456</v>
      </c>
    </row>
    <row r="717" spans="1:15" ht="20" thickBot="1" x14ac:dyDescent="0.3">
      <c r="A717" s="30" t="s">
        <v>450</v>
      </c>
      <c r="B717" s="30" t="s">
        <v>333</v>
      </c>
      <c r="C717" s="30">
        <v>5</v>
      </c>
      <c r="D717" s="190">
        <v>1012753.562</v>
      </c>
      <c r="E717" s="30" t="s">
        <v>10</v>
      </c>
      <c r="F717" s="190">
        <v>3192.239</v>
      </c>
      <c r="G717" s="30" t="s">
        <v>335</v>
      </c>
      <c r="H717" s="30"/>
      <c r="J717" s="7">
        <v>10000</v>
      </c>
      <c r="K717" s="120">
        <f>D720</f>
        <v>206215.61900000001</v>
      </c>
      <c r="L717" s="120">
        <f>D721</f>
        <v>245862.16399999999</v>
      </c>
      <c r="M717" s="19">
        <f t="shared" si="46"/>
        <v>-0.16125516978692167</v>
      </c>
      <c r="N717" s="74">
        <f>D722</f>
        <v>281422.31199999998</v>
      </c>
      <c r="O717" s="23">
        <f t="shared" si="47"/>
        <v>-0.26723784786474203</v>
      </c>
    </row>
    <row r="718" spans="1:15" x14ac:dyDescent="0.25">
      <c r="A718" s="30" t="s">
        <v>451</v>
      </c>
      <c r="B718" s="30" t="s">
        <v>333</v>
      </c>
      <c r="C718" s="30">
        <v>5</v>
      </c>
      <c r="D718" s="190">
        <v>1211099.378</v>
      </c>
      <c r="E718" s="30" t="s">
        <v>10</v>
      </c>
      <c r="F718" s="190">
        <v>174361.78200000001</v>
      </c>
      <c r="G718" s="30" t="s">
        <v>335</v>
      </c>
      <c r="H718" s="30"/>
    </row>
    <row r="719" spans="1:15" x14ac:dyDescent="0.25">
      <c r="A719" s="30" t="s">
        <v>452</v>
      </c>
      <c r="B719" s="30" t="s">
        <v>333</v>
      </c>
      <c r="C719" s="30">
        <v>5</v>
      </c>
      <c r="D719" s="190">
        <v>1294894.3219999999</v>
      </c>
      <c r="E719" s="30" t="s">
        <v>10</v>
      </c>
      <c r="F719" s="190">
        <v>92427.481</v>
      </c>
      <c r="G719" s="30" t="s">
        <v>335</v>
      </c>
      <c r="H719" s="30"/>
    </row>
    <row r="720" spans="1:15" x14ac:dyDescent="0.25">
      <c r="A720" s="30" t="s">
        <v>453</v>
      </c>
      <c r="B720" s="30" t="s">
        <v>333</v>
      </c>
      <c r="C720" s="30">
        <v>5</v>
      </c>
      <c r="D720" s="190">
        <v>206215.61900000001</v>
      </c>
      <c r="E720" s="30" t="s">
        <v>10</v>
      </c>
      <c r="F720" s="190">
        <v>7409.0060000000003</v>
      </c>
      <c r="G720" s="30" t="s">
        <v>335</v>
      </c>
      <c r="H720" s="30"/>
    </row>
    <row r="721" spans="1:15" x14ac:dyDescent="0.25">
      <c r="A721" s="30" t="s">
        <v>454</v>
      </c>
      <c r="B721" s="30" t="s">
        <v>333</v>
      </c>
      <c r="C721" s="30">
        <v>5</v>
      </c>
      <c r="D721" s="190">
        <v>245862.16399999999</v>
      </c>
      <c r="E721" s="30" t="s">
        <v>10</v>
      </c>
      <c r="F721" s="190">
        <v>8748.01</v>
      </c>
      <c r="G721" s="30" t="s">
        <v>335</v>
      </c>
      <c r="H721" s="30"/>
    </row>
    <row r="722" spans="1:15" x14ac:dyDescent="0.25">
      <c r="A722" s="30" t="s">
        <v>455</v>
      </c>
      <c r="B722" s="30" t="s">
        <v>333</v>
      </c>
      <c r="C722" s="30">
        <v>5</v>
      </c>
      <c r="D722" s="190">
        <v>281422.31199999998</v>
      </c>
      <c r="E722" s="30" t="s">
        <v>10</v>
      </c>
      <c r="F722" s="190">
        <v>426.18200000000002</v>
      </c>
      <c r="G722" s="30" t="s">
        <v>335</v>
      </c>
      <c r="H722" s="30"/>
    </row>
    <row r="723" spans="1:15" x14ac:dyDescent="0.25">
      <c r="A723" s="30"/>
      <c r="B723" s="30"/>
      <c r="C723" s="30"/>
      <c r="D723" s="190"/>
      <c r="E723" s="30"/>
      <c r="F723" s="190"/>
      <c r="G723" s="30"/>
      <c r="H723" s="30"/>
    </row>
    <row r="724" spans="1:15" x14ac:dyDescent="0.25">
      <c r="A724" s="30" t="s">
        <v>462</v>
      </c>
      <c r="B724" s="30" t="s">
        <v>332</v>
      </c>
      <c r="C724" s="30" t="s">
        <v>333</v>
      </c>
      <c r="D724" s="190" t="s">
        <v>334</v>
      </c>
      <c r="E724" s="30" t="s">
        <v>488</v>
      </c>
      <c r="F724" s="190"/>
      <c r="G724" s="30"/>
      <c r="H724" s="30"/>
    </row>
    <row r="725" spans="1:15" ht="20" thickBot="1" x14ac:dyDescent="0.3">
      <c r="A725" s="30" t="s">
        <v>2</v>
      </c>
      <c r="B725" s="30" t="s">
        <v>3</v>
      </c>
      <c r="C725" s="30" t="s">
        <v>4</v>
      </c>
      <c r="D725" s="190" t="s">
        <v>5</v>
      </c>
      <c r="E725" s="30" t="s">
        <v>6</v>
      </c>
      <c r="F725" s="190" t="s">
        <v>7</v>
      </c>
      <c r="G725" s="30"/>
      <c r="H725" s="30"/>
    </row>
    <row r="726" spans="1:15" x14ac:dyDescent="0.25">
      <c r="A726" s="30" t="s">
        <v>463</v>
      </c>
      <c r="B726" s="30" t="s">
        <v>333</v>
      </c>
      <c r="C726" s="30">
        <v>5</v>
      </c>
      <c r="D726" s="190">
        <v>1320651.99</v>
      </c>
      <c r="E726" s="30" t="s">
        <v>10</v>
      </c>
      <c r="F726" s="190">
        <v>5756.8159999999998</v>
      </c>
      <c r="G726" s="30" t="s">
        <v>335</v>
      </c>
      <c r="H726" s="30"/>
      <c r="J726" s="5" t="s">
        <v>492</v>
      </c>
      <c r="K726" s="72" t="s">
        <v>340</v>
      </c>
      <c r="L726" s="72" t="s">
        <v>341</v>
      </c>
      <c r="M726" s="17" t="s">
        <v>162</v>
      </c>
      <c r="N726" s="72" t="s">
        <v>342</v>
      </c>
      <c r="O726" s="21" t="s">
        <v>162</v>
      </c>
    </row>
    <row r="727" spans="1:15" x14ac:dyDescent="0.25">
      <c r="A727" s="30" t="s">
        <v>464</v>
      </c>
      <c r="B727" s="30" t="s">
        <v>333</v>
      </c>
      <c r="C727" s="30">
        <v>5</v>
      </c>
      <c r="D727" s="190">
        <v>1331828.3629999999</v>
      </c>
      <c r="E727" s="30" t="s">
        <v>10</v>
      </c>
      <c r="F727" s="190">
        <v>20343.625</v>
      </c>
      <c r="G727" s="30" t="s">
        <v>335</v>
      </c>
      <c r="H727" s="30"/>
      <c r="J727" s="6">
        <v>100000</v>
      </c>
      <c r="K727" s="119">
        <f>D726</f>
        <v>1320651.99</v>
      </c>
      <c r="L727" s="119">
        <f>D727</f>
        <v>1331828.3629999999</v>
      </c>
      <c r="M727" s="18">
        <f>(K727/L727-1)</f>
        <v>-8.3917517530747165E-3</v>
      </c>
      <c r="N727" s="73">
        <f>D728</f>
        <v>1435833.0009999999</v>
      </c>
      <c r="O727" s="22">
        <f>(K727/N727-1)</f>
        <v>-8.0218946715795658E-2</v>
      </c>
    </row>
    <row r="728" spans="1:15" x14ac:dyDescent="0.25">
      <c r="A728" s="30" t="s">
        <v>465</v>
      </c>
      <c r="B728" s="30" t="s">
        <v>333</v>
      </c>
      <c r="C728" s="30">
        <v>5</v>
      </c>
      <c r="D728" s="190">
        <v>1435833.0009999999</v>
      </c>
      <c r="E728" s="30" t="s">
        <v>10</v>
      </c>
      <c r="F728" s="190">
        <v>335476.723</v>
      </c>
      <c r="G728" s="30" t="s">
        <v>335</v>
      </c>
      <c r="H728" s="30"/>
      <c r="J728" s="6">
        <v>50000</v>
      </c>
      <c r="K728" s="119">
        <f>D729</f>
        <v>657858.24899999995</v>
      </c>
      <c r="L728" s="119">
        <f>D730</f>
        <v>700273.56599999999</v>
      </c>
      <c r="M728" s="18">
        <f t="shared" ref="M728:M729" si="48">(K728/L728-1)</f>
        <v>-6.0569638865962894E-2</v>
      </c>
      <c r="N728" s="73">
        <f>D731</f>
        <v>823899.95</v>
      </c>
      <c r="O728" s="22">
        <f t="shared" ref="O728:O729" si="49">(K728/N728-1)</f>
        <v>-0.20153138861095943</v>
      </c>
    </row>
    <row r="729" spans="1:15" ht="20" thickBot="1" x14ac:dyDescent="0.3">
      <c r="A729" s="30" t="s">
        <v>466</v>
      </c>
      <c r="B729" s="30" t="s">
        <v>333</v>
      </c>
      <c r="C729" s="30">
        <v>5</v>
      </c>
      <c r="D729" s="190">
        <v>657858.24899999995</v>
      </c>
      <c r="E729" s="30" t="s">
        <v>10</v>
      </c>
      <c r="F729" s="190">
        <v>58241.063000000002</v>
      </c>
      <c r="G729" s="30" t="s">
        <v>335</v>
      </c>
      <c r="H729" s="30"/>
      <c r="J729" s="7">
        <v>10000</v>
      </c>
      <c r="K729" s="120">
        <f>D732</f>
        <v>135736.75200000001</v>
      </c>
      <c r="L729" s="120">
        <f>D733</f>
        <v>133996.19</v>
      </c>
      <c r="M729" s="19">
        <f t="shared" si="48"/>
        <v>1.2989637988960689E-2</v>
      </c>
      <c r="N729" s="74">
        <f>D734</f>
        <v>143158.60399999999</v>
      </c>
      <c r="O729" s="23">
        <f t="shared" si="49"/>
        <v>-5.184356226329212E-2</v>
      </c>
    </row>
    <row r="730" spans="1:15" x14ac:dyDescent="0.25">
      <c r="A730" s="30" t="s">
        <v>467</v>
      </c>
      <c r="B730" s="30" t="s">
        <v>333</v>
      </c>
      <c r="C730" s="30">
        <v>5</v>
      </c>
      <c r="D730" s="190">
        <v>700273.56599999999</v>
      </c>
      <c r="E730" s="30" t="s">
        <v>10</v>
      </c>
      <c r="F730" s="190">
        <v>91336.960999999996</v>
      </c>
      <c r="G730" s="30" t="s">
        <v>335</v>
      </c>
      <c r="H730" s="30"/>
    </row>
    <row r="731" spans="1:15" x14ac:dyDescent="0.25">
      <c r="A731" s="30" t="s">
        <v>468</v>
      </c>
      <c r="B731" s="30" t="s">
        <v>333</v>
      </c>
      <c r="C731" s="30">
        <v>5</v>
      </c>
      <c r="D731" s="190">
        <v>823899.95</v>
      </c>
      <c r="E731" s="30" t="s">
        <v>10</v>
      </c>
      <c r="F731" s="190">
        <v>373573.68400000001</v>
      </c>
      <c r="G731" s="30" t="s">
        <v>335</v>
      </c>
      <c r="H731" s="30"/>
    </row>
    <row r="732" spans="1:15" x14ac:dyDescent="0.25">
      <c r="A732" s="30" t="s">
        <v>469</v>
      </c>
      <c r="B732" s="30" t="s">
        <v>333</v>
      </c>
      <c r="C732" s="30">
        <v>5</v>
      </c>
      <c r="D732" s="190">
        <v>135736.75200000001</v>
      </c>
      <c r="E732" s="30" t="s">
        <v>10</v>
      </c>
      <c r="F732" s="190">
        <v>1411.027</v>
      </c>
      <c r="G732" s="30" t="s">
        <v>335</v>
      </c>
      <c r="H732" s="30"/>
    </row>
    <row r="733" spans="1:15" x14ac:dyDescent="0.25">
      <c r="A733" s="30" t="s">
        <v>470</v>
      </c>
      <c r="B733" s="30" t="s">
        <v>333</v>
      </c>
      <c r="C733" s="30">
        <v>5</v>
      </c>
      <c r="D733" s="190">
        <v>133996.19</v>
      </c>
      <c r="E733" s="30" t="s">
        <v>10</v>
      </c>
      <c r="F733" s="190">
        <v>8719.3109999999997</v>
      </c>
      <c r="G733" s="30" t="s">
        <v>335</v>
      </c>
      <c r="H733" s="30"/>
    </row>
    <row r="734" spans="1:15" x14ac:dyDescent="0.25">
      <c r="A734" s="30" t="s">
        <v>471</v>
      </c>
      <c r="B734" s="30" t="s">
        <v>333</v>
      </c>
      <c r="C734" s="30">
        <v>5</v>
      </c>
      <c r="D734" s="190">
        <v>143158.60399999999</v>
      </c>
      <c r="E734" s="30" t="s">
        <v>10</v>
      </c>
      <c r="F734" s="190">
        <v>31157.901999999998</v>
      </c>
      <c r="G734" s="30" t="s">
        <v>335</v>
      </c>
      <c r="H734" s="30"/>
    </row>
    <row r="736" spans="1:15" x14ac:dyDescent="0.25">
      <c r="A736" s="30" t="s">
        <v>499</v>
      </c>
      <c r="B736" s="30" t="s">
        <v>332</v>
      </c>
      <c r="C736" s="30" t="s">
        <v>333</v>
      </c>
      <c r="D736" s="190" t="s">
        <v>334</v>
      </c>
      <c r="E736" s="30" t="s">
        <v>488</v>
      </c>
      <c r="F736" s="190"/>
      <c r="G736" s="30"/>
      <c r="H736" s="30"/>
    </row>
    <row r="737" spans="1:17" ht="20" thickBot="1" x14ac:dyDescent="0.3">
      <c r="A737" s="30" t="s">
        <v>2</v>
      </c>
      <c r="B737" s="30" t="s">
        <v>3</v>
      </c>
      <c r="C737" s="30" t="s">
        <v>4</v>
      </c>
      <c r="D737" s="190" t="s">
        <v>5</v>
      </c>
      <c r="E737" s="30" t="s">
        <v>6</v>
      </c>
      <c r="F737" s="190" t="s">
        <v>7</v>
      </c>
      <c r="G737" s="30"/>
      <c r="H737" s="30"/>
    </row>
    <row r="738" spans="1:17" x14ac:dyDescent="0.25">
      <c r="A738" s="30" t="s">
        <v>141</v>
      </c>
      <c r="B738" s="30" t="s">
        <v>333</v>
      </c>
      <c r="C738" s="30">
        <v>5</v>
      </c>
      <c r="D738" s="190">
        <v>9158364.0480000004</v>
      </c>
      <c r="E738" s="30" t="s">
        <v>10</v>
      </c>
      <c r="F738" s="190">
        <v>188050.65599999999</v>
      </c>
      <c r="G738" s="30" t="s">
        <v>335</v>
      </c>
      <c r="H738" s="30"/>
      <c r="J738" s="5" t="s">
        <v>500</v>
      </c>
      <c r="K738" s="72" t="s">
        <v>344</v>
      </c>
      <c r="L738" s="72" t="s">
        <v>341</v>
      </c>
      <c r="M738" s="17" t="s">
        <v>162</v>
      </c>
      <c r="N738" s="72" t="s">
        <v>343</v>
      </c>
      <c r="O738" s="21" t="s">
        <v>162</v>
      </c>
      <c r="P738" s="72" t="s">
        <v>342</v>
      </c>
      <c r="Q738" s="21" t="s">
        <v>162</v>
      </c>
    </row>
    <row r="739" spans="1:17" x14ac:dyDescent="0.25">
      <c r="A739" s="30" t="s">
        <v>142</v>
      </c>
      <c r="B739" s="30" t="s">
        <v>333</v>
      </c>
      <c r="C739" s="30">
        <v>5</v>
      </c>
      <c r="D739" s="190">
        <v>7563129.5489999996</v>
      </c>
      <c r="E739" s="30" t="s">
        <v>10</v>
      </c>
      <c r="F739" s="190">
        <v>1258249.9410000001</v>
      </c>
      <c r="G739" s="30" t="s">
        <v>335</v>
      </c>
      <c r="H739" s="30"/>
      <c r="J739" s="6">
        <v>100000</v>
      </c>
      <c r="K739" s="119">
        <f>D738</f>
        <v>9158364.0480000004</v>
      </c>
      <c r="L739" s="119">
        <f>D739</f>
        <v>7563129.5489999996</v>
      </c>
      <c r="M739" s="18">
        <f>(K739/L739-1)</f>
        <v>0.21092254055213466</v>
      </c>
      <c r="N739" s="73">
        <f>D740</f>
        <v>4743967.432</v>
      </c>
      <c r="O739" s="22">
        <f>(K739/N739-1)</f>
        <v>0.93052844044060889</v>
      </c>
      <c r="P739" s="73">
        <f>D741</f>
        <v>12086044.186000001</v>
      </c>
      <c r="Q739" s="22">
        <f>(K739/P739-1)</f>
        <v>-0.2422364251647624</v>
      </c>
    </row>
    <row r="740" spans="1:17" x14ac:dyDescent="0.25">
      <c r="A740" s="30" t="s">
        <v>143</v>
      </c>
      <c r="B740" s="30" t="s">
        <v>333</v>
      </c>
      <c r="C740" s="30">
        <v>5</v>
      </c>
      <c r="D740" s="190">
        <v>4743967.432</v>
      </c>
      <c r="E740" s="30" t="s">
        <v>10</v>
      </c>
      <c r="F740" s="190">
        <v>346874.027</v>
      </c>
      <c r="G740" s="30" t="s">
        <v>335</v>
      </c>
      <c r="H740" s="30"/>
      <c r="J740" s="6">
        <v>50000</v>
      </c>
      <c r="K740" s="119">
        <f>D742</f>
        <v>3856425.8560000001</v>
      </c>
      <c r="L740" s="119">
        <f>D743</f>
        <v>3004127.554</v>
      </c>
      <c r="M740" s="18">
        <f t="shared" ref="M740:M741" si="50">(K740/L740-1)</f>
        <v>0.28370909246685083</v>
      </c>
      <c r="N740" s="73">
        <f>D744</f>
        <v>1766415.7239999999</v>
      </c>
      <c r="O740" s="22">
        <f t="shared" ref="O740:O741" si="51">(K740/N740-1)</f>
        <v>1.1831926672772304</v>
      </c>
      <c r="P740" s="73">
        <f>D745</f>
        <v>4756980.9119999995</v>
      </c>
      <c r="Q740" s="22">
        <f t="shared" ref="Q740:Q741" si="52">(K740/P740-1)</f>
        <v>-0.18931231229628265</v>
      </c>
    </row>
    <row r="741" spans="1:17" ht="20" thickBot="1" x14ac:dyDescent="0.3">
      <c r="A741" s="30" t="s">
        <v>144</v>
      </c>
      <c r="B741" s="30" t="s">
        <v>333</v>
      </c>
      <c r="C741" s="30">
        <v>5</v>
      </c>
      <c r="D741" s="190">
        <v>12086044.186000001</v>
      </c>
      <c r="E741" s="30" t="s">
        <v>10</v>
      </c>
      <c r="F741" s="190">
        <v>815122.64300000004</v>
      </c>
      <c r="G741" s="30" t="s">
        <v>335</v>
      </c>
      <c r="H741" s="30"/>
      <c r="J741" s="7">
        <v>10000</v>
      </c>
      <c r="K741" s="120">
        <f>D746</f>
        <v>480180.88199999998</v>
      </c>
      <c r="L741" s="120">
        <f>D747</f>
        <v>569624.94299999997</v>
      </c>
      <c r="M741" s="19">
        <f t="shared" si="50"/>
        <v>-0.15702272539002915</v>
      </c>
      <c r="N741" s="74">
        <f>D748</f>
        <v>355455.28200000001</v>
      </c>
      <c r="O741" s="23">
        <f t="shared" si="51"/>
        <v>0.35088970769605821</v>
      </c>
      <c r="P741" s="74">
        <f>D749</f>
        <v>1210999.28</v>
      </c>
      <c r="Q741" s="23">
        <f t="shared" si="52"/>
        <v>-0.6034837592967025</v>
      </c>
    </row>
    <row r="742" spans="1:17" x14ac:dyDescent="0.25">
      <c r="A742" s="30" t="s">
        <v>157</v>
      </c>
      <c r="B742" s="30" t="s">
        <v>333</v>
      </c>
      <c r="C742" s="30">
        <v>5</v>
      </c>
      <c r="D742" s="190">
        <v>3856425.8560000001</v>
      </c>
      <c r="E742" s="30" t="s">
        <v>10</v>
      </c>
      <c r="F742" s="190">
        <v>84514.084000000003</v>
      </c>
      <c r="G742" s="30" t="s">
        <v>335</v>
      </c>
      <c r="H742" s="30"/>
    </row>
    <row r="743" spans="1:17" x14ac:dyDescent="0.25">
      <c r="A743" s="30" t="s">
        <v>158</v>
      </c>
      <c r="B743" s="30" t="s">
        <v>333</v>
      </c>
      <c r="C743" s="30">
        <v>5</v>
      </c>
      <c r="D743" s="190">
        <v>3004127.554</v>
      </c>
      <c r="E743" s="30" t="s">
        <v>10</v>
      </c>
      <c r="F743" s="190">
        <v>68122.188999999998</v>
      </c>
      <c r="G743" s="30" t="s">
        <v>335</v>
      </c>
      <c r="H743" s="30"/>
    </row>
    <row r="744" spans="1:17" x14ac:dyDescent="0.25">
      <c r="A744" s="30" t="s">
        <v>159</v>
      </c>
      <c r="B744" s="30" t="s">
        <v>333</v>
      </c>
      <c r="C744" s="30">
        <v>5</v>
      </c>
      <c r="D744" s="190">
        <v>1766415.7239999999</v>
      </c>
      <c r="E744" s="30" t="s">
        <v>10</v>
      </c>
      <c r="F744" s="190">
        <v>65438.409</v>
      </c>
      <c r="G744" s="30" t="s">
        <v>335</v>
      </c>
      <c r="H744" s="30"/>
    </row>
    <row r="745" spans="1:17" x14ac:dyDescent="0.25">
      <c r="A745" s="30" t="s">
        <v>160</v>
      </c>
      <c r="B745" s="30" t="s">
        <v>333</v>
      </c>
      <c r="C745" s="30">
        <v>5</v>
      </c>
      <c r="D745" s="190">
        <v>4756980.9119999995</v>
      </c>
      <c r="E745" s="30" t="s">
        <v>10</v>
      </c>
      <c r="F745" s="190">
        <v>297487.30599999998</v>
      </c>
      <c r="G745" s="30" t="s">
        <v>335</v>
      </c>
      <c r="H745" s="30"/>
    </row>
    <row r="746" spans="1:17" x14ac:dyDescent="0.25">
      <c r="A746" s="30" t="s">
        <v>145</v>
      </c>
      <c r="B746" s="30" t="s">
        <v>333</v>
      </c>
      <c r="C746" s="30">
        <v>5</v>
      </c>
      <c r="D746" s="190">
        <v>480180.88199999998</v>
      </c>
      <c r="E746" s="30" t="s">
        <v>10</v>
      </c>
      <c r="F746" s="190">
        <v>7542.9219999999996</v>
      </c>
      <c r="G746" s="30" t="s">
        <v>335</v>
      </c>
      <c r="H746" s="30"/>
    </row>
    <row r="747" spans="1:17" x14ac:dyDescent="0.25">
      <c r="A747" s="30" t="s">
        <v>146</v>
      </c>
      <c r="B747" s="30" t="s">
        <v>333</v>
      </c>
      <c r="C747" s="30">
        <v>5</v>
      </c>
      <c r="D747" s="190">
        <v>569624.94299999997</v>
      </c>
      <c r="E747" s="30" t="s">
        <v>10</v>
      </c>
      <c r="F747" s="190">
        <v>162062.17300000001</v>
      </c>
      <c r="G747" s="30" t="s">
        <v>335</v>
      </c>
      <c r="H747" s="30"/>
    </row>
    <row r="748" spans="1:17" x14ac:dyDescent="0.25">
      <c r="A748" s="30" t="s">
        <v>147</v>
      </c>
      <c r="B748" s="30" t="s">
        <v>333</v>
      </c>
      <c r="C748" s="30">
        <v>5</v>
      </c>
      <c r="D748" s="190">
        <v>355455.28200000001</v>
      </c>
      <c r="E748" s="30" t="s">
        <v>10</v>
      </c>
      <c r="F748" s="190">
        <v>20274.490000000002</v>
      </c>
      <c r="G748" s="30" t="s">
        <v>335</v>
      </c>
      <c r="H748" s="30"/>
    </row>
    <row r="749" spans="1:17" x14ac:dyDescent="0.25">
      <c r="A749" s="30" t="s">
        <v>148</v>
      </c>
      <c r="B749" s="30" t="s">
        <v>333</v>
      </c>
      <c r="C749" s="30">
        <v>5</v>
      </c>
      <c r="D749" s="190">
        <v>1210999.28</v>
      </c>
      <c r="E749" s="30" t="s">
        <v>10</v>
      </c>
      <c r="F749" s="190">
        <v>54329.572999999997</v>
      </c>
      <c r="G749" s="30" t="s">
        <v>335</v>
      </c>
      <c r="H749" s="30"/>
    </row>
    <row r="751" spans="1:17" x14ac:dyDescent="0.25">
      <c r="A751" s="30" t="s">
        <v>489</v>
      </c>
      <c r="B751" s="30" t="s">
        <v>332</v>
      </c>
      <c r="C751" s="30" t="s">
        <v>333</v>
      </c>
      <c r="D751" s="190" t="s">
        <v>334</v>
      </c>
      <c r="E751" s="30" t="s">
        <v>488</v>
      </c>
      <c r="F751" s="190"/>
      <c r="G751" s="30"/>
      <c r="H751" s="30"/>
    </row>
    <row r="752" spans="1:17" ht="20" thickBot="1" x14ac:dyDescent="0.3">
      <c r="A752" s="30" t="s">
        <v>2</v>
      </c>
      <c r="B752" s="30" t="s">
        <v>3</v>
      </c>
      <c r="C752" s="30" t="s">
        <v>4</v>
      </c>
      <c r="D752" s="190" t="s">
        <v>5</v>
      </c>
      <c r="E752" s="30" t="s">
        <v>6</v>
      </c>
      <c r="F752" s="190" t="s">
        <v>7</v>
      </c>
      <c r="G752" s="30"/>
      <c r="H752" s="30"/>
    </row>
    <row r="753" spans="1:17" x14ac:dyDescent="0.25">
      <c r="A753" s="30" t="s">
        <v>71</v>
      </c>
      <c r="B753" s="30" t="s">
        <v>333</v>
      </c>
      <c r="C753" s="30">
        <v>5</v>
      </c>
      <c r="D753" s="190">
        <v>461460.31099999999</v>
      </c>
      <c r="E753" s="30" t="s">
        <v>10</v>
      </c>
      <c r="F753" s="190">
        <v>26530.597000000002</v>
      </c>
      <c r="G753" s="30" t="s">
        <v>335</v>
      </c>
      <c r="H753" s="30"/>
      <c r="J753" s="5" t="s">
        <v>496</v>
      </c>
      <c r="K753" s="72" t="s">
        <v>340</v>
      </c>
      <c r="L753" s="72" t="s">
        <v>341</v>
      </c>
      <c r="M753" s="17" t="s">
        <v>162</v>
      </c>
      <c r="N753" s="72" t="s">
        <v>342</v>
      </c>
      <c r="O753" s="21" t="s">
        <v>162</v>
      </c>
      <c r="P753" s="78" t="s">
        <v>501</v>
      </c>
      <c r="Q753" s="44"/>
    </row>
    <row r="754" spans="1:17" x14ac:dyDescent="0.25">
      <c r="A754" s="30" t="s">
        <v>72</v>
      </c>
      <c r="B754" s="30" t="s">
        <v>333</v>
      </c>
      <c r="C754" s="30">
        <v>5</v>
      </c>
      <c r="D754" s="190">
        <v>191662.24</v>
      </c>
      <c r="E754" s="30" t="s">
        <v>10</v>
      </c>
      <c r="F754" s="190">
        <v>4848.1090000000004</v>
      </c>
      <c r="G754" s="30" t="s">
        <v>335</v>
      </c>
      <c r="H754" s="30"/>
      <c r="J754" s="6">
        <v>100000</v>
      </c>
      <c r="K754" s="119">
        <f>D753</f>
        <v>461460.31099999999</v>
      </c>
      <c r="L754" s="119">
        <f>D754</f>
        <v>191662.24</v>
      </c>
      <c r="M754" s="18">
        <f>(K754/L754-1)</f>
        <v>1.4076746207286317</v>
      </c>
      <c r="N754" s="73">
        <f>D755</f>
        <v>837678.17</v>
      </c>
      <c r="O754" s="22">
        <f>(K754/N754-1)</f>
        <v>-0.44911980814779984</v>
      </c>
    </row>
    <row r="755" spans="1:17" x14ac:dyDescent="0.25">
      <c r="A755" s="30" t="s">
        <v>73</v>
      </c>
      <c r="B755" s="30" t="s">
        <v>333</v>
      </c>
      <c r="C755" s="30">
        <v>5</v>
      </c>
      <c r="D755" s="190">
        <v>837678.17</v>
      </c>
      <c r="E755" s="30" t="s">
        <v>10</v>
      </c>
      <c r="F755" s="190">
        <v>15870.666999999999</v>
      </c>
      <c r="G755" s="30" t="s">
        <v>335</v>
      </c>
      <c r="H755" s="30"/>
      <c r="J755" s="6">
        <v>50000</v>
      </c>
      <c r="K755" s="119">
        <f>D756</f>
        <v>206322.568</v>
      </c>
      <c r="L755" s="119">
        <f>D757</f>
        <v>68441.070999999996</v>
      </c>
      <c r="M755" s="18">
        <f t="shared" ref="M755:M756" si="53">(K755/L755-1)</f>
        <v>2.0146016855872992</v>
      </c>
      <c r="N755" s="73">
        <f>D758</f>
        <v>407713.37699999998</v>
      </c>
      <c r="O755" s="22">
        <f t="shared" ref="O755:O756" si="54">(K755/N755-1)</f>
        <v>-0.49395192888164663</v>
      </c>
    </row>
    <row r="756" spans="1:17" ht="20" thickBot="1" x14ac:dyDescent="0.3">
      <c r="A756" s="30" t="s">
        <v>74</v>
      </c>
      <c r="B756" s="30" t="s">
        <v>333</v>
      </c>
      <c r="C756" s="30">
        <v>5</v>
      </c>
      <c r="D756" s="190">
        <v>206322.568</v>
      </c>
      <c r="E756" s="30" t="s">
        <v>10</v>
      </c>
      <c r="F756" s="190">
        <v>3176.4259999999999</v>
      </c>
      <c r="G756" s="30" t="s">
        <v>335</v>
      </c>
      <c r="H756" s="30"/>
      <c r="J756" s="7">
        <v>10000</v>
      </c>
      <c r="K756" s="120">
        <f>D759</f>
        <v>47702.442999999999</v>
      </c>
      <c r="L756" s="120">
        <f>D760</f>
        <v>11423.53</v>
      </c>
      <c r="M756" s="19">
        <f t="shared" si="53"/>
        <v>3.1758058148400714</v>
      </c>
      <c r="N756" s="74">
        <f>D761</f>
        <v>28341.623</v>
      </c>
      <c r="O756" s="23">
        <f t="shared" si="54"/>
        <v>0.68312319305072977</v>
      </c>
    </row>
    <row r="757" spans="1:17" x14ac:dyDescent="0.25">
      <c r="A757" s="30" t="s">
        <v>75</v>
      </c>
      <c r="B757" s="30" t="s">
        <v>333</v>
      </c>
      <c r="C757" s="30">
        <v>5</v>
      </c>
      <c r="D757" s="190">
        <v>68441.070999999996</v>
      </c>
      <c r="E757" s="30" t="s">
        <v>10</v>
      </c>
      <c r="F757" s="190">
        <v>1291.8389999999999</v>
      </c>
      <c r="G757" s="30" t="s">
        <v>335</v>
      </c>
      <c r="H757" s="30"/>
      <c r="J757" s="24"/>
    </row>
    <row r="758" spans="1:17" x14ac:dyDescent="0.25">
      <c r="A758" s="30" t="s">
        <v>76</v>
      </c>
      <c r="B758" s="30" t="s">
        <v>333</v>
      </c>
      <c r="C758" s="30">
        <v>5</v>
      </c>
      <c r="D758" s="190">
        <v>407713.37699999998</v>
      </c>
      <c r="E758" s="30" t="s">
        <v>10</v>
      </c>
      <c r="F758" s="190">
        <v>1510.2909999999999</v>
      </c>
      <c r="G758" s="30" t="s">
        <v>335</v>
      </c>
      <c r="H758" s="30"/>
      <c r="J758" s="24"/>
    </row>
    <row r="759" spans="1:17" x14ac:dyDescent="0.25">
      <c r="A759" s="30" t="s">
        <v>77</v>
      </c>
      <c r="B759" s="30" t="s">
        <v>333</v>
      </c>
      <c r="C759" s="30">
        <v>5</v>
      </c>
      <c r="D759" s="190">
        <v>47702.442999999999</v>
      </c>
      <c r="E759" s="30" t="s">
        <v>10</v>
      </c>
      <c r="F759" s="190">
        <v>2930.1280000000002</v>
      </c>
      <c r="G759" s="30" t="s">
        <v>335</v>
      </c>
      <c r="H759" s="30"/>
    </row>
    <row r="760" spans="1:17" x14ac:dyDescent="0.25">
      <c r="A760" s="30" t="s">
        <v>78</v>
      </c>
      <c r="B760" s="30" t="s">
        <v>333</v>
      </c>
      <c r="C760" s="30">
        <v>5</v>
      </c>
      <c r="D760" s="190">
        <v>11423.53</v>
      </c>
      <c r="E760" s="30" t="s">
        <v>10</v>
      </c>
      <c r="F760" s="190">
        <v>179.69499999999999</v>
      </c>
      <c r="G760" s="30" t="s">
        <v>335</v>
      </c>
      <c r="H760" s="30"/>
    </row>
    <row r="761" spans="1:17" x14ac:dyDescent="0.25">
      <c r="A761" s="30" t="s">
        <v>79</v>
      </c>
      <c r="B761" s="30" t="s">
        <v>333</v>
      </c>
      <c r="C761" s="30">
        <v>5</v>
      </c>
      <c r="D761" s="190">
        <v>28341.623</v>
      </c>
      <c r="E761" s="30" t="s">
        <v>10</v>
      </c>
      <c r="F761" s="190">
        <v>3554.6610000000001</v>
      </c>
      <c r="G761" s="30" t="s">
        <v>335</v>
      </c>
      <c r="H761" s="30"/>
    </row>
    <row r="763" spans="1:17" x14ac:dyDescent="0.25">
      <c r="A763" s="30" t="s">
        <v>490</v>
      </c>
      <c r="B763" s="30" t="s">
        <v>332</v>
      </c>
      <c r="C763" s="30" t="s">
        <v>333</v>
      </c>
      <c r="D763" s="190" t="s">
        <v>334</v>
      </c>
      <c r="E763" s="30" t="s">
        <v>488</v>
      </c>
      <c r="F763" s="190"/>
      <c r="G763" s="30"/>
      <c r="H763" s="30"/>
    </row>
    <row r="764" spans="1:17" ht="20" thickBot="1" x14ac:dyDescent="0.3">
      <c r="A764" s="30" t="s">
        <v>2</v>
      </c>
      <c r="B764" s="30" t="s">
        <v>3</v>
      </c>
      <c r="C764" s="30" t="s">
        <v>4</v>
      </c>
      <c r="D764" s="190" t="s">
        <v>5</v>
      </c>
      <c r="E764" s="30" t="s">
        <v>6</v>
      </c>
      <c r="F764" s="190" t="s">
        <v>7</v>
      </c>
      <c r="G764" s="30"/>
      <c r="H764" s="30"/>
    </row>
    <row r="765" spans="1:17" x14ac:dyDescent="0.25">
      <c r="A765" s="30" t="s">
        <v>86</v>
      </c>
      <c r="B765" s="30" t="s">
        <v>333</v>
      </c>
      <c r="C765" s="30">
        <v>5</v>
      </c>
      <c r="D765" s="190">
        <v>928611.78899999999</v>
      </c>
      <c r="E765" s="30" t="s">
        <v>10</v>
      </c>
      <c r="F765" s="190">
        <v>34025.1</v>
      </c>
      <c r="G765" s="30" t="s">
        <v>335</v>
      </c>
      <c r="H765" s="30"/>
      <c r="J765" s="5" t="s">
        <v>497</v>
      </c>
      <c r="K765" s="72" t="s">
        <v>340</v>
      </c>
      <c r="L765" s="72" t="s">
        <v>341</v>
      </c>
      <c r="M765" s="17" t="s">
        <v>162</v>
      </c>
      <c r="N765" s="72" t="s">
        <v>342</v>
      </c>
      <c r="O765" s="21" t="s">
        <v>162</v>
      </c>
    </row>
    <row r="766" spans="1:17" x14ac:dyDescent="0.25">
      <c r="A766" s="30" t="s">
        <v>87</v>
      </c>
      <c r="B766" s="30" t="s">
        <v>333</v>
      </c>
      <c r="C766" s="30">
        <v>5</v>
      </c>
      <c r="D766" s="190">
        <v>524429.82799999998</v>
      </c>
      <c r="E766" s="30" t="s">
        <v>10</v>
      </c>
      <c r="F766" s="190">
        <v>165722.11300000001</v>
      </c>
      <c r="G766" s="30" t="s">
        <v>335</v>
      </c>
      <c r="H766" s="30"/>
      <c r="J766" s="6">
        <v>100000</v>
      </c>
      <c r="K766" s="119">
        <f>D765</f>
        <v>928611.78899999999</v>
      </c>
      <c r="L766" s="119">
        <f>D766</f>
        <v>524429.82799999998</v>
      </c>
      <c r="M766" s="18">
        <f>(K766/L766-1)</f>
        <v>0.77070742246186663</v>
      </c>
      <c r="N766" s="73">
        <f>D767</f>
        <v>607843.60499999998</v>
      </c>
      <c r="O766" s="22">
        <f>(K766/N766-1)</f>
        <v>0.52771499339867201</v>
      </c>
    </row>
    <row r="767" spans="1:17" x14ac:dyDescent="0.25">
      <c r="A767" s="30" t="s">
        <v>88</v>
      </c>
      <c r="B767" s="30" t="s">
        <v>333</v>
      </c>
      <c r="C767" s="30">
        <v>5</v>
      </c>
      <c r="D767" s="190">
        <v>607843.60499999998</v>
      </c>
      <c r="E767" s="30" t="s">
        <v>10</v>
      </c>
      <c r="F767" s="190">
        <v>33164.917999999998</v>
      </c>
      <c r="G767" s="30" t="s">
        <v>335</v>
      </c>
      <c r="H767" s="30"/>
      <c r="J767" s="6">
        <v>50000</v>
      </c>
      <c r="K767" s="119">
        <f>D768</f>
        <v>460784.89899999998</v>
      </c>
      <c r="L767" s="119">
        <f>D769</f>
        <v>228048.63</v>
      </c>
      <c r="M767" s="18">
        <f t="shared" ref="M767:M768" si="55">(K767/L767-1)</f>
        <v>1.0205554359173301</v>
      </c>
      <c r="N767" s="73">
        <f>D770</f>
        <v>503702.67800000001</v>
      </c>
      <c r="O767" s="22">
        <f t="shared" ref="O767:O768" si="56">(K767/N767-1)</f>
        <v>-8.5204587695283274E-2</v>
      </c>
    </row>
    <row r="768" spans="1:17" ht="20" thickBot="1" x14ac:dyDescent="0.3">
      <c r="A768" s="30" t="s">
        <v>89</v>
      </c>
      <c r="B768" s="30" t="s">
        <v>333</v>
      </c>
      <c r="C768" s="30">
        <v>5</v>
      </c>
      <c r="D768" s="190">
        <v>460784.89899999998</v>
      </c>
      <c r="E768" s="30" t="s">
        <v>10</v>
      </c>
      <c r="F768" s="190">
        <v>14368.790999999999</v>
      </c>
      <c r="G768" s="30" t="s">
        <v>335</v>
      </c>
      <c r="H768" s="30"/>
      <c r="J768" s="7">
        <v>10000</v>
      </c>
      <c r="K768" s="120">
        <f>D771</f>
        <v>84142.854999999996</v>
      </c>
      <c r="L768" s="120">
        <f>D772</f>
        <v>43038.909</v>
      </c>
      <c r="M768" s="19">
        <f t="shared" si="55"/>
        <v>0.95504154159669796</v>
      </c>
      <c r="N768" s="74">
        <f>D773</f>
        <v>54448.591999999997</v>
      </c>
      <c r="O768" s="23">
        <f t="shared" si="56"/>
        <v>0.54536328505978626</v>
      </c>
    </row>
    <row r="769" spans="1:17" x14ac:dyDescent="0.25">
      <c r="A769" s="30" t="s">
        <v>90</v>
      </c>
      <c r="B769" s="30" t="s">
        <v>333</v>
      </c>
      <c r="C769" s="30">
        <v>5</v>
      </c>
      <c r="D769" s="190">
        <v>228048.63</v>
      </c>
      <c r="E769" s="30" t="s">
        <v>10</v>
      </c>
      <c r="F769" s="190">
        <v>3056.5419999999999</v>
      </c>
      <c r="G769" s="30" t="s">
        <v>335</v>
      </c>
      <c r="H769" s="30"/>
    </row>
    <row r="770" spans="1:17" x14ac:dyDescent="0.25">
      <c r="A770" s="30" t="s">
        <v>91</v>
      </c>
      <c r="B770" s="30" t="s">
        <v>333</v>
      </c>
      <c r="C770" s="30">
        <v>5</v>
      </c>
      <c r="D770" s="190">
        <v>503702.67800000001</v>
      </c>
      <c r="E770" s="30" t="s">
        <v>10</v>
      </c>
      <c r="F770" s="190">
        <v>6258.7550000000001</v>
      </c>
      <c r="G770" s="30" t="s">
        <v>335</v>
      </c>
      <c r="H770" s="30"/>
    </row>
    <row r="771" spans="1:17" x14ac:dyDescent="0.25">
      <c r="A771" s="30" t="s">
        <v>92</v>
      </c>
      <c r="B771" s="30" t="s">
        <v>333</v>
      </c>
      <c r="C771" s="30">
        <v>5</v>
      </c>
      <c r="D771" s="190">
        <v>84142.854999999996</v>
      </c>
      <c r="E771" s="30" t="s">
        <v>10</v>
      </c>
      <c r="F771" s="190">
        <v>319.03899999999999</v>
      </c>
      <c r="G771" s="30" t="s">
        <v>335</v>
      </c>
      <c r="H771" s="30"/>
    </row>
    <row r="772" spans="1:17" x14ac:dyDescent="0.25">
      <c r="A772" s="30" t="s">
        <v>93</v>
      </c>
      <c r="B772" s="30" t="s">
        <v>333</v>
      </c>
      <c r="C772" s="30">
        <v>5</v>
      </c>
      <c r="D772" s="190">
        <v>43038.909</v>
      </c>
      <c r="E772" s="30" t="s">
        <v>10</v>
      </c>
      <c r="F772" s="190">
        <v>550.96799999999996</v>
      </c>
      <c r="G772" s="30" t="s">
        <v>335</v>
      </c>
      <c r="H772" s="30"/>
    </row>
    <row r="773" spans="1:17" x14ac:dyDescent="0.25">
      <c r="A773" s="30" t="s">
        <v>94</v>
      </c>
      <c r="B773" s="30" t="s">
        <v>333</v>
      </c>
      <c r="C773" s="30">
        <v>5</v>
      </c>
      <c r="D773" s="190">
        <v>54448.591999999997</v>
      </c>
      <c r="E773" s="30" t="s">
        <v>10</v>
      </c>
      <c r="F773" s="190">
        <v>870.17899999999997</v>
      </c>
      <c r="G773" s="30" t="s">
        <v>335</v>
      </c>
      <c r="H773" s="30"/>
    </row>
    <row r="774" spans="1:17" x14ac:dyDescent="0.25">
      <c r="A774" s="30"/>
      <c r="B774" s="30"/>
      <c r="C774" s="30"/>
      <c r="D774" s="190"/>
      <c r="E774" s="30"/>
      <c r="F774" s="190"/>
      <c r="G774" s="30"/>
      <c r="H774" s="30"/>
    </row>
    <row r="775" spans="1:17" x14ac:dyDescent="0.25">
      <c r="A775" s="30" t="s">
        <v>494</v>
      </c>
      <c r="B775" s="30" t="s">
        <v>332</v>
      </c>
      <c r="C775" s="30" t="s">
        <v>333</v>
      </c>
      <c r="D775" s="190" t="s">
        <v>334</v>
      </c>
      <c r="E775" s="30" t="s">
        <v>488</v>
      </c>
      <c r="F775" s="190"/>
      <c r="G775" s="30"/>
      <c r="H775" s="30"/>
    </row>
    <row r="776" spans="1:17" ht="20" thickBot="1" x14ac:dyDescent="0.3">
      <c r="A776" s="30" t="s">
        <v>2</v>
      </c>
      <c r="B776" s="30" t="s">
        <v>3</v>
      </c>
      <c r="C776" s="30" t="s">
        <v>4</v>
      </c>
      <c r="D776" s="190" t="s">
        <v>5</v>
      </c>
      <c r="E776" s="30" t="s">
        <v>6</v>
      </c>
      <c r="F776" s="190" t="s">
        <v>7</v>
      </c>
      <c r="G776" s="30"/>
      <c r="H776" s="30"/>
    </row>
    <row r="777" spans="1:17" x14ac:dyDescent="0.25">
      <c r="A777" s="30" t="s">
        <v>101</v>
      </c>
      <c r="B777" s="30" t="s">
        <v>333</v>
      </c>
      <c r="C777" s="30">
        <v>5</v>
      </c>
      <c r="D777" s="190">
        <v>1397696.6189999999</v>
      </c>
      <c r="E777" s="30" t="s">
        <v>10</v>
      </c>
      <c r="F777" s="190">
        <v>20318.803</v>
      </c>
      <c r="G777" s="30" t="s">
        <v>335</v>
      </c>
      <c r="H777" s="30"/>
      <c r="J777" s="5" t="s">
        <v>498</v>
      </c>
      <c r="K777" s="72" t="s">
        <v>344</v>
      </c>
      <c r="L777" s="72" t="s">
        <v>341</v>
      </c>
      <c r="M777" s="17" t="s">
        <v>162</v>
      </c>
      <c r="N777" s="72" t="s">
        <v>343</v>
      </c>
      <c r="O777" s="21" t="s">
        <v>162</v>
      </c>
      <c r="P777" s="72" t="s">
        <v>342</v>
      </c>
      <c r="Q777" s="21" t="s">
        <v>162</v>
      </c>
    </row>
    <row r="778" spans="1:17" x14ac:dyDescent="0.25">
      <c r="A778" s="30" t="s">
        <v>102</v>
      </c>
      <c r="B778" s="30" t="s">
        <v>333</v>
      </c>
      <c r="C778" s="30">
        <v>5</v>
      </c>
      <c r="D778" s="190">
        <v>1888277.6270000001</v>
      </c>
      <c r="E778" s="30" t="s">
        <v>10</v>
      </c>
      <c r="F778" s="190">
        <v>145184.622</v>
      </c>
      <c r="G778" s="30" t="s">
        <v>335</v>
      </c>
      <c r="H778" s="30"/>
      <c r="J778" s="6">
        <v>100000</v>
      </c>
      <c r="K778" s="119">
        <f>D777</f>
        <v>1397696.6189999999</v>
      </c>
      <c r="L778" s="119">
        <f>D778</f>
        <v>1888277.6270000001</v>
      </c>
      <c r="M778" s="18">
        <f>(K778/L778-1)</f>
        <v>-0.25980343196641609</v>
      </c>
      <c r="N778" s="73">
        <f>D779</f>
        <v>1593278.8089999999</v>
      </c>
      <c r="O778" s="22">
        <f>(K778/N778-1)</f>
        <v>-0.12275452914782348</v>
      </c>
      <c r="P778" s="73">
        <f>D780</f>
        <v>1809717.665</v>
      </c>
      <c r="Q778" s="22">
        <f>(K778/P778-1)</f>
        <v>-0.22767145061823779</v>
      </c>
    </row>
    <row r="779" spans="1:17" x14ac:dyDescent="0.25">
      <c r="A779" s="30" t="s">
        <v>103</v>
      </c>
      <c r="B779" s="30" t="s">
        <v>333</v>
      </c>
      <c r="C779" s="30">
        <v>5</v>
      </c>
      <c r="D779" s="190">
        <v>1593278.8089999999</v>
      </c>
      <c r="E779" s="30" t="s">
        <v>10</v>
      </c>
      <c r="F779" s="190">
        <v>182420.14600000001</v>
      </c>
      <c r="G779" s="30" t="s">
        <v>335</v>
      </c>
      <c r="H779" s="30"/>
      <c r="J779" s="6">
        <v>50000</v>
      </c>
      <c r="K779" s="119">
        <f>D781</f>
        <v>654532.299</v>
      </c>
      <c r="L779" s="119">
        <f>D782</f>
        <v>859488.69499999995</v>
      </c>
      <c r="M779" s="18">
        <f t="shared" ref="M779:M780" si="57">(K779/L779-1)</f>
        <v>-0.23846316675520662</v>
      </c>
      <c r="N779" s="73">
        <f>D783</f>
        <v>706394.11399999994</v>
      </c>
      <c r="O779" s="22">
        <f t="shared" ref="O779:O780" si="58">(K779/N779-1)</f>
        <v>-7.3417677146726534E-2</v>
      </c>
      <c r="P779" s="73">
        <f>D784</f>
        <v>834695.51599999995</v>
      </c>
      <c r="Q779" s="22">
        <f t="shared" ref="Q779:Q780" si="59">(K779/P779-1)</f>
        <v>-0.21584303922389825</v>
      </c>
    </row>
    <row r="780" spans="1:17" ht="20" thickBot="1" x14ac:dyDescent="0.3">
      <c r="A780" s="30" t="s">
        <v>104</v>
      </c>
      <c r="B780" s="30" t="s">
        <v>333</v>
      </c>
      <c r="C780" s="30">
        <v>5</v>
      </c>
      <c r="D780" s="190">
        <v>1809717.665</v>
      </c>
      <c r="E780" s="30" t="s">
        <v>10</v>
      </c>
      <c r="F780" s="190">
        <v>43935.813000000002</v>
      </c>
      <c r="G780" s="30" t="s">
        <v>335</v>
      </c>
      <c r="H780" s="30"/>
      <c r="J780" s="7">
        <v>10000</v>
      </c>
      <c r="K780" s="120">
        <f>D785</f>
        <v>121499.734</v>
      </c>
      <c r="L780" s="120">
        <f>D786</f>
        <v>168111.095</v>
      </c>
      <c r="M780" s="19">
        <f t="shared" si="57"/>
        <v>-0.27726522749732851</v>
      </c>
      <c r="N780" s="74">
        <f>D787</f>
        <v>146832.97099999999</v>
      </c>
      <c r="O780" s="23">
        <f t="shared" si="58"/>
        <v>-0.17253098420245139</v>
      </c>
      <c r="P780" s="74">
        <f>D788</f>
        <v>133085.78200000001</v>
      </c>
      <c r="Q780" s="23">
        <f t="shared" si="59"/>
        <v>-8.7056993060310561E-2</v>
      </c>
    </row>
    <row r="781" spans="1:17" x14ac:dyDescent="0.25">
      <c r="A781" s="30" t="s">
        <v>117</v>
      </c>
      <c r="B781" s="30" t="s">
        <v>333</v>
      </c>
      <c r="C781" s="30">
        <v>5</v>
      </c>
      <c r="D781" s="190">
        <v>654532.299</v>
      </c>
      <c r="E781" s="30" t="s">
        <v>10</v>
      </c>
      <c r="F781" s="190">
        <v>5044.8869999999997</v>
      </c>
      <c r="G781" s="30" t="s">
        <v>335</v>
      </c>
      <c r="H781" s="30"/>
    </row>
    <row r="782" spans="1:17" x14ac:dyDescent="0.25">
      <c r="A782" s="30" t="s">
        <v>118</v>
      </c>
      <c r="B782" s="30" t="s">
        <v>333</v>
      </c>
      <c r="C782" s="30">
        <v>5</v>
      </c>
      <c r="D782" s="190">
        <v>859488.69499999995</v>
      </c>
      <c r="E782" s="30" t="s">
        <v>10</v>
      </c>
      <c r="F782" s="190">
        <v>15623.733</v>
      </c>
      <c r="G782" s="30" t="s">
        <v>335</v>
      </c>
      <c r="H782" s="30"/>
    </row>
    <row r="783" spans="1:17" x14ac:dyDescent="0.25">
      <c r="A783" s="30" t="s">
        <v>119</v>
      </c>
      <c r="B783" s="30" t="s">
        <v>333</v>
      </c>
      <c r="C783" s="30">
        <v>5</v>
      </c>
      <c r="D783" s="190">
        <v>706394.11399999994</v>
      </c>
      <c r="E783" s="30" t="s">
        <v>10</v>
      </c>
      <c r="F783" s="190">
        <v>30681.562000000002</v>
      </c>
      <c r="G783" s="30" t="s">
        <v>335</v>
      </c>
      <c r="H783" s="30"/>
    </row>
    <row r="784" spans="1:17" x14ac:dyDescent="0.25">
      <c r="A784" s="30" t="s">
        <v>120</v>
      </c>
      <c r="B784" s="30" t="s">
        <v>333</v>
      </c>
      <c r="C784" s="30">
        <v>5</v>
      </c>
      <c r="D784" s="190">
        <v>834695.51599999995</v>
      </c>
      <c r="E784" s="30" t="s">
        <v>10</v>
      </c>
      <c r="F784" s="190">
        <v>6404.6220000000003</v>
      </c>
      <c r="G784" s="30" t="s">
        <v>335</v>
      </c>
      <c r="H784" s="30"/>
    </row>
    <row r="785" spans="1:17" x14ac:dyDescent="0.25">
      <c r="A785" s="30" t="s">
        <v>105</v>
      </c>
      <c r="B785" s="30" t="s">
        <v>333</v>
      </c>
      <c r="C785" s="30">
        <v>5</v>
      </c>
      <c r="D785" s="190">
        <v>121499.734</v>
      </c>
      <c r="E785" s="30" t="s">
        <v>10</v>
      </c>
      <c r="F785" s="190">
        <v>17168.262999999999</v>
      </c>
      <c r="G785" s="30" t="s">
        <v>335</v>
      </c>
      <c r="H785" s="30"/>
    </row>
    <row r="786" spans="1:17" x14ac:dyDescent="0.25">
      <c r="A786" s="30" t="s">
        <v>106</v>
      </c>
      <c r="B786" s="30" t="s">
        <v>333</v>
      </c>
      <c r="C786" s="30">
        <v>5</v>
      </c>
      <c r="D786" s="190">
        <v>168111.095</v>
      </c>
      <c r="E786" s="30" t="s">
        <v>10</v>
      </c>
      <c r="F786" s="190">
        <v>7210.1229999999996</v>
      </c>
      <c r="G786" s="30" t="s">
        <v>335</v>
      </c>
      <c r="H786" s="30"/>
    </row>
    <row r="787" spans="1:17" x14ac:dyDescent="0.25">
      <c r="A787" s="30" t="s">
        <v>107</v>
      </c>
      <c r="B787" s="30" t="s">
        <v>333</v>
      </c>
      <c r="C787" s="30">
        <v>5</v>
      </c>
      <c r="D787" s="190">
        <v>146832.97099999999</v>
      </c>
      <c r="E787" s="30" t="s">
        <v>10</v>
      </c>
      <c r="F787" s="190">
        <v>12473.120999999999</v>
      </c>
      <c r="G787" s="30" t="s">
        <v>335</v>
      </c>
      <c r="H787" s="30"/>
    </row>
    <row r="788" spans="1:17" x14ac:dyDescent="0.25">
      <c r="A788" s="30" t="s">
        <v>108</v>
      </c>
      <c r="B788" s="30" t="s">
        <v>333</v>
      </c>
      <c r="C788" s="30">
        <v>5</v>
      </c>
      <c r="D788" s="190">
        <v>133085.78200000001</v>
      </c>
      <c r="E788" s="30" t="s">
        <v>10</v>
      </c>
      <c r="F788" s="190">
        <v>515.66999999999996</v>
      </c>
      <c r="G788" s="30" t="s">
        <v>335</v>
      </c>
      <c r="H788" s="30"/>
    </row>
    <row r="789" spans="1:17" x14ac:dyDescent="0.25">
      <c r="A789" s="30"/>
      <c r="B789" s="30"/>
      <c r="C789" s="30"/>
      <c r="D789" s="190"/>
      <c r="E789" s="30"/>
      <c r="F789" s="190"/>
      <c r="G789" s="30"/>
      <c r="H789" s="30"/>
    </row>
    <row r="790" spans="1:17" x14ac:dyDescent="0.25">
      <c r="A790" s="30" t="s">
        <v>495</v>
      </c>
      <c r="B790" s="30" t="s">
        <v>332</v>
      </c>
      <c r="C790" s="30" t="s">
        <v>333</v>
      </c>
      <c r="D790" s="190" t="s">
        <v>334</v>
      </c>
      <c r="E790" s="30" t="s">
        <v>488</v>
      </c>
      <c r="F790" s="190"/>
      <c r="G790" s="30"/>
      <c r="H790" s="30"/>
    </row>
    <row r="791" spans="1:17" ht="20" thickBot="1" x14ac:dyDescent="0.3">
      <c r="A791" s="30" t="s">
        <v>2</v>
      </c>
      <c r="B791" s="30" t="s">
        <v>3</v>
      </c>
      <c r="C791" s="30" t="s">
        <v>4</v>
      </c>
      <c r="D791" s="190" t="s">
        <v>5</v>
      </c>
      <c r="E791" s="30" t="s">
        <v>6</v>
      </c>
      <c r="F791" s="190" t="s">
        <v>7</v>
      </c>
      <c r="G791" s="30"/>
      <c r="H791" s="30"/>
    </row>
    <row r="792" spans="1:17" x14ac:dyDescent="0.25">
      <c r="A792" s="30" t="s">
        <v>121</v>
      </c>
      <c r="B792" s="30" t="s">
        <v>333</v>
      </c>
      <c r="C792" s="30">
        <v>5</v>
      </c>
      <c r="D792" s="190">
        <v>3270184.25</v>
      </c>
      <c r="E792" s="30" t="s">
        <v>10</v>
      </c>
      <c r="F792" s="190">
        <v>158115.80799999999</v>
      </c>
      <c r="G792" s="30" t="s">
        <v>335</v>
      </c>
      <c r="H792" s="30"/>
      <c r="J792" s="5" t="s">
        <v>502</v>
      </c>
      <c r="K792" s="72" t="s">
        <v>344</v>
      </c>
      <c r="L792" s="72" t="s">
        <v>341</v>
      </c>
      <c r="M792" s="17" t="s">
        <v>162</v>
      </c>
      <c r="N792" s="72" t="s">
        <v>343</v>
      </c>
      <c r="O792" s="21" t="s">
        <v>162</v>
      </c>
      <c r="P792" s="72" t="s">
        <v>342</v>
      </c>
      <c r="Q792" s="21" t="s">
        <v>162</v>
      </c>
    </row>
    <row r="793" spans="1:17" x14ac:dyDescent="0.25">
      <c r="A793" s="30" t="s">
        <v>122</v>
      </c>
      <c r="B793" s="30" t="s">
        <v>333</v>
      </c>
      <c r="C793" s="30">
        <v>5</v>
      </c>
      <c r="D793" s="190">
        <v>3870508.179</v>
      </c>
      <c r="E793" s="30" t="s">
        <v>10</v>
      </c>
      <c r="F793" s="190">
        <v>32877.974999999999</v>
      </c>
      <c r="G793" s="30" t="s">
        <v>335</v>
      </c>
      <c r="H793" s="30"/>
      <c r="J793" s="6">
        <v>100000</v>
      </c>
      <c r="K793" s="119">
        <f>D792</f>
        <v>3270184.25</v>
      </c>
      <c r="L793" s="119">
        <f>D793</f>
        <v>3870508.179</v>
      </c>
      <c r="M793" s="18">
        <f>(K793/L793-1)</f>
        <v>-0.15510209544502296</v>
      </c>
      <c r="N793" s="73">
        <f>D794</f>
        <v>2921644.8059999999</v>
      </c>
      <c r="O793" s="22">
        <f>(K793/N793-1)</f>
        <v>0.11929562528758675</v>
      </c>
      <c r="P793" s="73">
        <f>D795</f>
        <v>3312781.8169999998</v>
      </c>
      <c r="Q793" s="22">
        <f>(K793/P793-1)</f>
        <v>-1.2858548903342926E-2</v>
      </c>
    </row>
    <row r="794" spans="1:17" x14ac:dyDescent="0.25">
      <c r="A794" s="30" t="s">
        <v>123</v>
      </c>
      <c r="B794" s="30" t="s">
        <v>333</v>
      </c>
      <c r="C794" s="30">
        <v>5</v>
      </c>
      <c r="D794" s="190">
        <v>2921644.8059999999</v>
      </c>
      <c r="E794" s="30" t="s">
        <v>10</v>
      </c>
      <c r="F794" s="190">
        <v>56694.6</v>
      </c>
      <c r="G794" s="30" t="s">
        <v>335</v>
      </c>
      <c r="H794" s="30"/>
      <c r="J794" s="6">
        <v>50000</v>
      </c>
      <c r="K794" s="119">
        <f>D796</f>
        <v>1535335.7749999999</v>
      </c>
      <c r="L794" s="119">
        <f>D797</f>
        <v>1876911.155</v>
      </c>
      <c r="M794" s="18">
        <f t="shared" ref="M794:M795" si="60">(K794/L794-1)</f>
        <v>-0.181988038746565</v>
      </c>
      <c r="N794" s="73">
        <f>D798</f>
        <v>1377284.2590000001</v>
      </c>
      <c r="O794" s="22">
        <f t="shared" ref="O794:O795" si="61">(K794/N794-1)</f>
        <v>0.1147559154671205</v>
      </c>
      <c r="P794" s="73">
        <f>D799</f>
        <v>1571753.22</v>
      </c>
      <c r="Q794" s="22">
        <f t="shared" ref="Q794:Q795" si="62">(K794/P794-1)</f>
        <v>-2.3169950941789752E-2</v>
      </c>
    </row>
    <row r="795" spans="1:17" ht="20" thickBot="1" x14ac:dyDescent="0.3">
      <c r="A795" s="30" t="s">
        <v>124</v>
      </c>
      <c r="B795" s="30" t="s">
        <v>333</v>
      </c>
      <c r="C795" s="30">
        <v>5</v>
      </c>
      <c r="D795" s="190">
        <v>3312781.8169999998</v>
      </c>
      <c r="E795" s="30" t="s">
        <v>10</v>
      </c>
      <c r="F795" s="190">
        <v>66115.782999999996</v>
      </c>
      <c r="G795" s="30" t="s">
        <v>335</v>
      </c>
      <c r="H795" s="30"/>
      <c r="J795" s="7">
        <v>10000</v>
      </c>
      <c r="K795" s="120">
        <f>D800</f>
        <v>258884.791</v>
      </c>
      <c r="L795" s="120">
        <f>D801</f>
        <v>302480.22499999998</v>
      </c>
      <c r="M795" s="19">
        <f t="shared" si="60"/>
        <v>-0.14412655901720517</v>
      </c>
      <c r="N795" s="74">
        <f>D802</f>
        <v>217928.58</v>
      </c>
      <c r="O795" s="23">
        <f t="shared" si="61"/>
        <v>0.1879340974919399</v>
      </c>
      <c r="P795" s="74">
        <f>D803</f>
        <v>237418.114</v>
      </c>
      <c r="Q795" s="23">
        <f t="shared" si="62"/>
        <v>9.0417182742846602E-2</v>
      </c>
    </row>
    <row r="796" spans="1:17" x14ac:dyDescent="0.25">
      <c r="A796" s="30" t="s">
        <v>137</v>
      </c>
      <c r="B796" s="30" t="s">
        <v>333</v>
      </c>
      <c r="C796" s="30">
        <v>5</v>
      </c>
      <c r="D796" s="190">
        <v>1535335.7749999999</v>
      </c>
      <c r="E796" s="30" t="s">
        <v>10</v>
      </c>
      <c r="F796" s="190">
        <v>6310.2240000000002</v>
      </c>
      <c r="G796" s="30" t="s">
        <v>335</v>
      </c>
      <c r="H796" s="30"/>
    </row>
    <row r="797" spans="1:17" x14ac:dyDescent="0.25">
      <c r="A797" s="30" t="s">
        <v>138</v>
      </c>
      <c r="B797" s="30" t="s">
        <v>333</v>
      </c>
      <c r="C797" s="30">
        <v>5</v>
      </c>
      <c r="D797" s="190">
        <v>1876911.155</v>
      </c>
      <c r="E797" s="30" t="s">
        <v>10</v>
      </c>
      <c r="F797" s="190">
        <v>96955.36</v>
      </c>
      <c r="G797" s="30" t="s">
        <v>335</v>
      </c>
      <c r="H797" s="30"/>
    </row>
    <row r="798" spans="1:17" x14ac:dyDescent="0.25">
      <c r="A798" s="30" t="s">
        <v>139</v>
      </c>
      <c r="B798" s="30" t="s">
        <v>333</v>
      </c>
      <c r="C798" s="30">
        <v>5</v>
      </c>
      <c r="D798" s="190">
        <v>1377284.2590000001</v>
      </c>
      <c r="E798" s="30" t="s">
        <v>10</v>
      </c>
      <c r="F798" s="190">
        <v>6941.107</v>
      </c>
      <c r="G798" s="30" t="s">
        <v>335</v>
      </c>
      <c r="H798" s="30"/>
    </row>
    <row r="799" spans="1:17" x14ac:dyDescent="0.25">
      <c r="A799" s="30" t="s">
        <v>140</v>
      </c>
      <c r="B799" s="30" t="s">
        <v>333</v>
      </c>
      <c r="C799" s="30">
        <v>5</v>
      </c>
      <c r="D799" s="190">
        <v>1571753.22</v>
      </c>
      <c r="E799" s="30" t="s">
        <v>10</v>
      </c>
      <c r="F799" s="190">
        <v>154104.55300000001</v>
      </c>
      <c r="G799" s="30" t="s">
        <v>335</v>
      </c>
      <c r="H799" s="30"/>
    </row>
    <row r="800" spans="1:17" x14ac:dyDescent="0.25">
      <c r="A800" s="30" t="s">
        <v>125</v>
      </c>
      <c r="B800" s="30" t="s">
        <v>333</v>
      </c>
      <c r="C800" s="30">
        <v>5</v>
      </c>
      <c r="D800" s="190">
        <v>258884.791</v>
      </c>
      <c r="E800" s="30" t="s">
        <v>10</v>
      </c>
      <c r="F800" s="190">
        <v>10526.751</v>
      </c>
      <c r="G800" s="30" t="s">
        <v>335</v>
      </c>
      <c r="H800" s="30"/>
    </row>
    <row r="801" spans="1:17" x14ac:dyDescent="0.25">
      <c r="A801" s="30" t="s">
        <v>126</v>
      </c>
      <c r="B801" s="30" t="s">
        <v>333</v>
      </c>
      <c r="C801" s="30">
        <v>5</v>
      </c>
      <c r="D801" s="190">
        <v>302480.22499999998</v>
      </c>
      <c r="E801" s="30" t="s">
        <v>10</v>
      </c>
      <c r="F801" s="190">
        <v>3172.2</v>
      </c>
      <c r="G801" s="30" t="s">
        <v>335</v>
      </c>
      <c r="H801" s="30"/>
    </row>
    <row r="802" spans="1:17" x14ac:dyDescent="0.25">
      <c r="A802" s="30" t="s">
        <v>127</v>
      </c>
      <c r="B802" s="30" t="s">
        <v>333</v>
      </c>
      <c r="C802" s="30">
        <v>5</v>
      </c>
      <c r="D802" s="190">
        <v>217928.58</v>
      </c>
      <c r="E802" s="30" t="s">
        <v>10</v>
      </c>
      <c r="F802" s="190">
        <v>1230.8889999999999</v>
      </c>
      <c r="G802" s="30" t="s">
        <v>335</v>
      </c>
      <c r="H802" s="30"/>
    </row>
    <row r="803" spans="1:17" x14ac:dyDescent="0.25">
      <c r="A803" s="30" t="s">
        <v>128</v>
      </c>
      <c r="B803" s="30" t="s">
        <v>333</v>
      </c>
      <c r="C803" s="30">
        <v>5</v>
      </c>
      <c r="D803" s="190">
        <v>237418.114</v>
      </c>
      <c r="E803" s="30" t="s">
        <v>10</v>
      </c>
      <c r="F803" s="190">
        <v>728.36800000000005</v>
      </c>
      <c r="G803" s="30" t="s">
        <v>335</v>
      </c>
      <c r="H803" s="30"/>
    </row>
    <row r="804" spans="1:17" x14ac:dyDescent="0.25">
      <c r="A804" s="30"/>
      <c r="B804" s="30"/>
      <c r="C804" s="30"/>
      <c r="D804" s="190"/>
      <c r="E804" s="30"/>
      <c r="F804" s="190"/>
      <c r="G804" s="30"/>
      <c r="H804" s="30"/>
    </row>
    <row r="805" spans="1:17" x14ac:dyDescent="0.25">
      <c r="A805" s="30" t="s">
        <v>499</v>
      </c>
      <c r="B805" s="30" t="s">
        <v>332</v>
      </c>
      <c r="C805" s="30" t="s">
        <v>333</v>
      </c>
      <c r="D805" s="190" t="s">
        <v>334</v>
      </c>
      <c r="E805" s="30" t="s">
        <v>488</v>
      </c>
      <c r="F805" s="190"/>
      <c r="G805" s="30"/>
      <c r="H805" s="30"/>
    </row>
    <row r="806" spans="1:17" ht="20" thickBot="1" x14ac:dyDescent="0.3">
      <c r="A806" s="30" t="s">
        <v>2</v>
      </c>
      <c r="B806" s="30" t="s">
        <v>3</v>
      </c>
      <c r="C806" s="30" t="s">
        <v>4</v>
      </c>
      <c r="D806" s="190" t="s">
        <v>5</v>
      </c>
      <c r="E806" s="30" t="s">
        <v>6</v>
      </c>
      <c r="F806" s="190" t="s">
        <v>7</v>
      </c>
      <c r="G806" s="30"/>
      <c r="H806" s="30"/>
    </row>
    <row r="807" spans="1:17" x14ac:dyDescent="0.25">
      <c r="A807" s="30" t="s">
        <v>141</v>
      </c>
      <c r="B807" s="30" t="s">
        <v>333</v>
      </c>
      <c r="C807" s="30">
        <v>5</v>
      </c>
      <c r="D807" s="190">
        <v>8844958.9379999992</v>
      </c>
      <c r="E807" s="30" t="s">
        <v>10</v>
      </c>
      <c r="F807" s="190">
        <v>926673.76399999997</v>
      </c>
      <c r="G807" s="30" t="s">
        <v>335</v>
      </c>
      <c r="H807" s="30"/>
      <c r="J807" s="5" t="s">
        <v>503</v>
      </c>
      <c r="K807" s="72" t="s">
        <v>344</v>
      </c>
      <c r="L807" s="72" t="s">
        <v>341</v>
      </c>
      <c r="M807" s="17" t="s">
        <v>162</v>
      </c>
      <c r="N807" s="72" t="s">
        <v>343</v>
      </c>
      <c r="O807" s="21" t="s">
        <v>162</v>
      </c>
      <c r="P807" s="72" t="s">
        <v>342</v>
      </c>
      <c r="Q807" s="21" t="s">
        <v>162</v>
      </c>
    </row>
    <row r="808" spans="1:17" x14ac:dyDescent="0.25">
      <c r="A808" s="30" t="s">
        <v>142</v>
      </c>
      <c r="B808" s="30" t="s">
        <v>333</v>
      </c>
      <c r="C808" s="30">
        <v>5</v>
      </c>
      <c r="D808" s="190">
        <v>7222741.7850000001</v>
      </c>
      <c r="E808" s="30" t="s">
        <v>10</v>
      </c>
      <c r="F808" s="190">
        <v>185843.55499999999</v>
      </c>
      <c r="G808" s="30" t="s">
        <v>335</v>
      </c>
      <c r="H808" s="30"/>
      <c r="J808" s="6">
        <v>100000</v>
      </c>
      <c r="K808" s="119">
        <f>D807</f>
        <v>8844958.9379999992</v>
      </c>
      <c r="L808" s="119">
        <f>D808</f>
        <v>7222741.7850000001</v>
      </c>
      <c r="M808" s="18">
        <f>(K808/L808-1)</f>
        <v>0.22459852522610979</v>
      </c>
      <c r="N808" s="73">
        <f>D809</f>
        <v>4639176.8679999998</v>
      </c>
      <c r="O808" s="22">
        <f>(K808/N808-1)</f>
        <v>0.9065793759687284</v>
      </c>
      <c r="P808" s="73">
        <f>D810</f>
        <v>15944730.825999999</v>
      </c>
      <c r="Q808" s="22">
        <f>(K808/P808-1)</f>
        <v>-0.44527386291293669</v>
      </c>
    </row>
    <row r="809" spans="1:17" x14ac:dyDescent="0.25">
      <c r="A809" s="30" t="s">
        <v>143</v>
      </c>
      <c r="B809" s="30" t="s">
        <v>333</v>
      </c>
      <c r="C809" s="30">
        <v>5</v>
      </c>
      <c r="D809" s="190">
        <v>4639176.8679999998</v>
      </c>
      <c r="E809" s="30" t="s">
        <v>10</v>
      </c>
      <c r="F809" s="190">
        <v>1307284.33</v>
      </c>
      <c r="G809" s="30" t="s">
        <v>335</v>
      </c>
      <c r="H809" s="30"/>
      <c r="J809" s="6">
        <v>50000</v>
      </c>
      <c r="K809" s="119">
        <f>D811</f>
        <v>3740027.9840000002</v>
      </c>
      <c r="L809" s="119">
        <f>D812</f>
        <v>2983445.5469999998</v>
      </c>
      <c r="M809" s="18">
        <f t="shared" ref="M809:M810" si="63">(K809/L809-1)</f>
        <v>0.2535935129638216</v>
      </c>
      <c r="N809" s="73">
        <f>D813</f>
        <v>1745407.2960000001</v>
      </c>
      <c r="O809" s="22">
        <f t="shared" ref="O809:O810" si="64">(K809/N809-1)</f>
        <v>1.1427823709521152</v>
      </c>
      <c r="P809" s="73">
        <f>D814</f>
        <v>5713425.0020000003</v>
      </c>
      <c r="Q809" s="22">
        <f t="shared" ref="Q809:Q810" si="65">(K809/P809-1)</f>
        <v>-0.34539650337743244</v>
      </c>
    </row>
    <row r="810" spans="1:17" ht="20" thickBot="1" x14ac:dyDescent="0.3">
      <c r="A810" s="30" t="s">
        <v>144</v>
      </c>
      <c r="B810" s="30" t="s">
        <v>333</v>
      </c>
      <c r="C810" s="30">
        <v>5</v>
      </c>
      <c r="D810" s="190">
        <v>15944730.825999999</v>
      </c>
      <c r="E810" s="30" t="s">
        <v>10</v>
      </c>
      <c r="F810" s="190">
        <v>1198405.9580000001</v>
      </c>
      <c r="G810" s="30" t="s">
        <v>335</v>
      </c>
      <c r="H810" s="30"/>
      <c r="J810" s="7">
        <v>10000</v>
      </c>
      <c r="K810" s="120">
        <f>D815</f>
        <v>469066.00900000002</v>
      </c>
      <c r="L810" s="120">
        <f>D816</f>
        <v>563968.78599999996</v>
      </c>
      <c r="M810" s="19">
        <f t="shared" si="63"/>
        <v>-0.16827664820442734</v>
      </c>
      <c r="N810" s="74">
        <f>D817</f>
        <v>350818.799</v>
      </c>
      <c r="O810" s="23">
        <f t="shared" si="64"/>
        <v>0.33706064309284645</v>
      </c>
      <c r="P810" s="74">
        <f>D818</f>
        <v>1181655.7350000001</v>
      </c>
      <c r="Q810" s="23">
        <f t="shared" si="65"/>
        <v>-0.60304342871910999</v>
      </c>
    </row>
    <row r="811" spans="1:17" x14ac:dyDescent="0.25">
      <c r="A811" s="30" t="s">
        <v>157</v>
      </c>
      <c r="B811" s="30" t="s">
        <v>333</v>
      </c>
      <c r="C811" s="30">
        <v>5</v>
      </c>
      <c r="D811" s="190">
        <v>3740027.9840000002</v>
      </c>
      <c r="E811" s="30" t="s">
        <v>10</v>
      </c>
      <c r="F811" s="190">
        <v>237546.25599999999</v>
      </c>
      <c r="G811" s="30" t="s">
        <v>335</v>
      </c>
      <c r="H811" s="30"/>
    </row>
    <row r="812" spans="1:17" x14ac:dyDescent="0.25">
      <c r="A812" s="30" t="s">
        <v>158</v>
      </c>
      <c r="B812" s="30" t="s">
        <v>333</v>
      </c>
      <c r="C812" s="30">
        <v>5</v>
      </c>
      <c r="D812" s="190">
        <v>2983445.5469999998</v>
      </c>
      <c r="E812" s="30" t="s">
        <v>10</v>
      </c>
      <c r="F812" s="190">
        <v>129791.43399999999</v>
      </c>
      <c r="G812" s="30" t="s">
        <v>335</v>
      </c>
      <c r="H812" s="30"/>
    </row>
    <row r="813" spans="1:17" x14ac:dyDescent="0.25">
      <c r="A813" s="30" t="s">
        <v>159</v>
      </c>
      <c r="B813" s="30" t="s">
        <v>333</v>
      </c>
      <c r="C813" s="30">
        <v>5</v>
      </c>
      <c r="D813" s="190">
        <v>1745407.2960000001</v>
      </c>
      <c r="E813" s="30" t="s">
        <v>10</v>
      </c>
      <c r="F813" s="190">
        <v>123138.06299999999</v>
      </c>
      <c r="G813" s="30" t="s">
        <v>335</v>
      </c>
      <c r="H813" s="30"/>
    </row>
    <row r="814" spans="1:17" x14ac:dyDescent="0.25">
      <c r="A814" s="30" t="s">
        <v>160</v>
      </c>
      <c r="B814" s="30" t="s">
        <v>333</v>
      </c>
      <c r="C814" s="30">
        <v>5</v>
      </c>
      <c r="D814" s="190">
        <v>5713425.0020000003</v>
      </c>
      <c r="E814" s="30" t="s">
        <v>10</v>
      </c>
      <c r="F814" s="190">
        <v>86963.290999999997</v>
      </c>
      <c r="G814" s="30" t="s">
        <v>335</v>
      </c>
      <c r="H814" s="30"/>
    </row>
    <row r="815" spans="1:17" x14ac:dyDescent="0.25">
      <c r="A815" s="30" t="s">
        <v>145</v>
      </c>
      <c r="B815" s="30" t="s">
        <v>333</v>
      </c>
      <c r="C815" s="30">
        <v>5</v>
      </c>
      <c r="D815" s="190">
        <v>469066.00900000002</v>
      </c>
      <c r="E815" s="30" t="s">
        <v>10</v>
      </c>
      <c r="F815" s="190">
        <v>5256.4679999999998</v>
      </c>
      <c r="G815" s="30" t="s">
        <v>335</v>
      </c>
      <c r="H815" s="30"/>
    </row>
    <row r="816" spans="1:17" x14ac:dyDescent="0.25">
      <c r="A816" s="30" t="s">
        <v>146</v>
      </c>
      <c r="B816" s="30" t="s">
        <v>333</v>
      </c>
      <c r="C816" s="30">
        <v>5</v>
      </c>
      <c r="D816" s="190">
        <v>563968.78599999996</v>
      </c>
      <c r="E816" s="30" t="s">
        <v>10</v>
      </c>
      <c r="F816" s="190">
        <v>158046.61499999999</v>
      </c>
      <c r="G816" s="30" t="s">
        <v>335</v>
      </c>
      <c r="H816" s="30"/>
    </row>
    <row r="817" spans="1:15" x14ac:dyDescent="0.25">
      <c r="A817" s="30" t="s">
        <v>147</v>
      </c>
      <c r="B817" s="30" t="s">
        <v>333</v>
      </c>
      <c r="C817" s="30">
        <v>5</v>
      </c>
      <c r="D817" s="190">
        <v>350818.799</v>
      </c>
      <c r="E817" s="30" t="s">
        <v>10</v>
      </c>
      <c r="F817" s="190">
        <v>15773.709000000001</v>
      </c>
      <c r="G817" s="30" t="s">
        <v>335</v>
      </c>
      <c r="H817" s="30"/>
    </row>
    <row r="818" spans="1:15" x14ac:dyDescent="0.25">
      <c r="A818" s="30" t="s">
        <v>148</v>
      </c>
      <c r="B818" s="30" t="s">
        <v>333</v>
      </c>
      <c r="C818" s="30">
        <v>5</v>
      </c>
      <c r="D818" s="190">
        <v>1181655.7350000001</v>
      </c>
      <c r="E818" s="30" t="s">
        <v>10</v>
      </c>
      <c r="F818" s="190">
        <v>5305.9889999999996</v>
      </c>
      <c r="G818" s="30" t="s">
        <v>335</v>
      </c>
      <c r="H818" s="30"/>
    </row>
    <row r="819" spans="1:15" x14ac:dyDescent="0.25">
      <c r="A819" s="30"/>
      <c r="B819" s="30"/>
      <c r="C819" s="30"/>
      <c r="D819" s="190"/>
      <c r="E819" s="30"/>
      <c r="F819" s="190"/>
      <c r="G819" s="30"/>
      <c r="H819" s="30"/>
    </row>
    <row r="820" spans="1:15" x14ac:dyDescent="0.25">
      <c r="A820" s="30" t="s">
        <v>430</v>
      </c>
      <c r="B820" s="30" t="s">
        <v>332</v>
      </c>
      <c r="C820" s="30" t="s">
        <v>333</v>
      </c>
      <c r="D820" s="190" t="s">
        <v>334</v>
      </c>
      <c r="E820" s="30" t="s">
        <v>488</v>
      </c>
      <c r="F820" s="190"/>
      <c r="G820" s="30"/>
      <c r="H820" s="30"/>
    </row>
    <row r="821" spans="1:15" ht="20" thickBot="1" x14ac:dyDescent="0.3">
      <c r="A821" s="30" t="s">
        <v>2</v>
      </c>
      <c r="B821" s="30" t="s">
        <v>3</v>
      </c>
      <c r="C821" s="30" t="s">
        <v>4</v>
      </c>
      <c r="D821" s="190" t="s">
        <v>5</v>
      </c>
      <c r="E821" s="30" t="s">
        <v>6</v>
      </c>
      <c r="F821" s="190" t="s">
        <v>7</v>
      </c>
      <c r="G821" s="30"/>
      <c r="H821" s="30"/>
    </row>
    <row r="822" spans="1:15" x14ac:dyDescent="0.25">
      <c r="A822" s="30" t="s">
        <v>431</v>
      </c>
      <c r="B822" s="30" t="s">
        <v>333</v>
      </c>
      <c r="C822" s="30">
        <v>5</v>
      </c>
      <c r="D822" s="190">
        <v>3791417.6690000002</v>
      </c>
      <c r="E822" s="30" t="s">
        <v>10</v>
      </c>
      <c r="F822" s="190">
        <v>185080.261</v>
      </c>
      <c r="G822" s="30" t="s">
        <v>335</v>
      </c>
      <c r="H822" s="30"/>
      <c r="J822" s="5" t="s">
        <v>491</v>
      </c>
      <c r="K822" s="72" t="s">
        <v>340</v>
      </c>
      <c r="L822" s="72" t="s">
        <v>341</v>
      </c>
      <c r="M822" s="17" t="s">
        <v>162</v>
      </c>
      <c r="N822" s="72" t="s">
        <v>342</v>
      </c>
      <c r="O822" s="21" t="s">
        <v>162</v>
      </c>
    </row>
    <row r="823" spans="1:15" x14ac:dyDescent="0.25">
      <c r="A823" s="30" t="s">
        <v>432</v>
      </c>
      <c r="B823" s="30" t="s">
        <v>333</v>
      </c>
      <c r="C823" s="30">
        <v>5</v>
      </c>
      <c r="D823" s="190">
        <v>8350039.0829999996</v>
      </c>
      <c r="E823" s="30" t="s">
        <v>10</v>
      </c>
      <c r="F823" s="190">
        <v>142577.52799999999</v>
      </c>
      <c r="G823" s="30" t="s">
        <v>335</v>
      </c>
      <c r="H823" s="30"/>
      <c r="J823" s="6">
        <v>100000</v>
      </c>
      <c r="K823" s="119">
        <f>D822</f>
        <v>3791417.6690000002</v>
      </c>
      <c r="L823" s="119">
        <f>D823</f>
        <v>8350039.0829999996</v>
      </c>
      <c r="M823" s="18">
        <f>(K823/L823-1)</f>
        <v>-0.54594012898466326</v>
      </c>
      <c r="N823" s="73">
        <f>D824</f>
        <v>5672882.6279999996</v>
      </c>
      <c r="O823" s="22">
        <f>(K823/N823-1)</f>
        <v>-0.33165941944815425</v>
      </c>
    </row>
    <row r="824" spans="1:15" x14ac:dyDescent="0.25">
      <c r="A824" s="30" t="s">
        <v>433</v>
      </c>
      <c r="B824" s="30" t="s">
        <v>333</v>
      </c>
      <c r="C824" s="30">
        <v>5</v>
      </c>
      <c r="D824" s="190">
        <v>5672882.6279999996</v>
      </c>
      <c r="E824" s="30" t="s">
        <v>10</v>
      </c>
      <c r="F824" s="190">
        <v>49488.499000000003</v>
      </c>
      <c r="G824" s="30" t="s">
        <v>335</v>
      </c>
      <c r="H824" s="30"/>
      <c r="J824" s="6">
        <v>50000</v>
      </c>
      <c r="K824" s="119">
        <f>D825</f>
        <v>1866107.5719999999</v>
      </c>
      <c r="L824" s="119">
        <f>D826</f>
        <v>4051007.71</v>
      </c>
      <c r="M824" s="18">
        <f t="shared" ref="M824:M825" si="66">(K824/L824-1)</f>
        <v>-0.53934731662112778</v>
      </c>
      <c r="N824" s="73">
        <f>D827</f>
        <v>2836729.426</v>
      </c>
      <c r="O824" s="22">
        <f t="shared" ref="O824:O825" si="67">(K824/N824-1)</f>
        <v>-0.34216229616535876</v>
      </c>
    </row>
    <row r="825" spans="1:15" ht="20" thickBot="1" x14ac:dyDescent="0.3">
      <c r="A825" s="30" t="s">
        <v>434</v>
      </c>
      <c r="B825" s="30" t="s">
        <v>333</v>
      </c>
      <c r="C825" s="30">
        <v>5</v>
      </c>
      <c r="D825" s="190">
        <v>1866107.5719999999</v>
      </c>
      <c r="E825" s="30" t="s">
        <v>10</v>
      </c>
      <c r="F825" s="190">
        <v>5019.085</v>
      </c>
      <c r="G825" s="30" t="s">
        <v>335</v>
      </c>
      <c r="H825" s="30"/>
      <c r="J825" s="7">
        <v>10000</v>
      </c>
      <c r="K825" s="120">
        <f>D828</f>
        <v>385571.217</v>
      </c>
      <c r="L825" s="120">
        <f>D829</f>
        <v>834240.59699999995</v>
      </c>
      <c r="M825" s="19">
        <f t="shared" si="66"/>
        <v>-0.5378177250225572</v>
      </c>
      <c r="N825" s="74">
        <f>D830</f>
        <v>566581.76800000004</v>
      </c>
      <c r="O825" s="23">
        <f t="shared" si="67"/>
        <v>-0.31947824872472785</v>
      </c>
    </row>
    <row r="826" spans="1:15" x14ac:dyDescent="0.25">
      <c r="A826" s="30" t="s">
        <v>435</v>
      </c>
      <c r="B826" s="30" t="s">
        <v>333</v>
      </c>
      <c r="C826" s="30">
        <v>5</v>
      </c>
      <c r="D826" s="190">
        <v>4051007.71</v>
      </c>
      <c r="E826" s="30" t="s">
        <v>10</v>
      </c>
      <c r="F826" s="190">
        <v>48137.53</v>
      </c>
      <c r="G826" s="30" t="s">
        <v>335</v>
      </c>
      <c r="H826" s="30"/>
    </row>
    <row r="827" spans="1:15" x14ac:dyDescent="0.25">
      <c r="A827" s="30" t="s">
        <v>436</v>
      </c>
      <c r="B827" s="30" t="s">
        <v>333</v>
      </c>
      <c r="C827" s="30">
        <v>5</v>
      </c>
      <c r="D827" s="190">
        <v>2836729.426</v>
      </c>
      <c r="E827" s="30" t="s">
        <v>10</v>
      </c>
      <c r="F827" s="190">
        <v>50353.447999999997</v>
      </c>
      <c r="G827" s="30" t="s">
        <v>335</v>
      </c>
      <c r="H827" s="30"/>
    </row>
    <row r="828" spans="1:15" x14ac:dyDescent="0.25">
      <c r="A828" s="30" t="s">
        <v>437</v>
      </c>
      <c r="B828" s="30" t="s">
        <v>333</v>
      </c>
      <c r="C828" s="30">
        <v>5</v>
      </c>
      <c r="D828" s="190">
        <v>385571.217</v>
      </c>
      <c r="E828" s="30" t="s">
        <v>10</v>
      </c>
      <c r="F828" s="190">
        <v>15546.338</v>
      </c>
      <c r="G828" s="30" t="s">
        <v>335</v>
      </c>
      <c r="H828" s="30"/>
    </row>
    <row r="829" spans="1:15" x14ac:dyDescent="0.25">
      <c r="A829" s="30" t="s">
        <v>438</v>
      </c>
      <c r="B829" s="30" t="s">
        <v>333</v>
      </c>
      <c r="C829" s="30">
        <v>5</v>
      </c>
      <c r="D829" s="190">
        <v>834240.59699999995</v>
      </c>
      <c r="E829" s="30" t="s">
        <v>10</v>
      </c>
      <c r="F829" s="190">
        <v>70292.066999999995</v>
      </c>
      <c r="G829" s="30" t="s">
        <v>335</v>
      </c>
      <c r="H829" s="30"/>
    </row>
    <row r="830" spans="1:15" x14ac:dyDescent="0.25">
      <c r="A830" s="30" t="s">
        <v>439</v>
      </c>
      <c r="B830" s="30" t="s">
        <v>333</v>
      </c>
      <c r="C830" s="30">
        <v>5</v>
      </c>
      <c r="D830" s="190">
        <v>566581.76800000004</v>
      </c>
      <c r="E830" s="30" t="s">
        <v>10</v>
      </c>
      <c r="F830" s="190">
        <v>4538.1689999999999</v>
      </c>
      <c r="G830" s="30" t="s">
        <v>335</v>
      </c>
      <c r="H830" s="30"/>
    </row>
    <row r="831" spans="1:15" x14ac:dyDescent="0.25">
      <c r="A831" s="30"/>
      <c r="B831" s="30"/>
      <c r="C831" s="30"/>
      <c r="D831" s="190"/>
      <c r="E831" s="30"/>
      <c r="F831" s="190"/>
      <c r="G831" s="30"/>
      <c r="H831" s="30"/>
    </row>
    <row r="832" spans="1:15" x14ac:dyDescent="0.25">
      <c r="A832" s="30" t="s">
        <v>446</v>
      </c>
      <c r="B832" s="30" t="s">
        <v>332</v>
      </c>
      <c r="C832" s="30" t="s">
        <v>333</v>
      </c>
      <c r="D832" s="190" t="s">
        <v>334</v>
      </c>
      <c r="E832" s="30" t="s">
        <v>488</v>
      </c>
      <c r="F832" s="190"/>
      <c r="G832" s="30"/>
      <c r="H832" s="30"/>
    </row>
    <row r="833" spans="1:15" ht="20" thickBot="1" x14ac:dyDescent="0.3">
      <c r="A833" s="30" t="s">
        <v>2</v>
      </c>
      <c r="B833" s="30" t="s">
        <v>3</v>
      </c>
      <c r="C833" s="30" t="s">
        <v>4</v>
      </c>
      <c r="D833" s="190" t="s">
        <v>5</v>
      </c>
      <c r="E833" s="30" t="s">
        <v>6</v>
      </c>
      <c r="F833" s="190" t="s">
        <v>7</v>
      </c>
      <c r="G833" s="30"/>
      <c r="H833" s="30"/>
    </row>
    <row r="834" spans="1:15" x14ac:dyDescent="0.25">
      <c r="A834" s="30" t="s">
        <v>447</v>
      </c>
      <c r="B834" s="30" t="s">
        <v>333</v>
      </c>
      <c r="C834" s="30">
        <v>5</v>
      </c>
      <c r="D834" s="190">
        <v>2005646.3910000001</v>
      </c>
      <c r="E834" s="30" t="s">
        <v>10</v>
      </c>
      <c r="F834" s="190">
        <v>2567.826</v>
      </c>
      <c r="G834" s="30" t="s">
        <v>335</v>
      </c>
      <c r="H834" s="30"/>
      <c r="J834" s="5" t="s">
        <v>493</v>
      </c>
      <c r="K834" s="72" t="s">
        <v>340</v>
      </c>
      <c r="L834" s="72" t="s">
        <v>341</v>
      </c>
      <c r="M834" s="17" t="s">
        <v>162</v>
      </c>
      <c r="N834" s="72" t="s">
        <v>342</v>
      </c>
      <c r="O834" s="21" t="s">
        <v>162</v>
      </c>
    </row>
    <row r="835" spans="1:15" x14ac:dyDescent="0.25">
      <c r="A835" s="30" t="s">
        <v>448</v>
      </c>
      <c r="B835" s="30" t="s">
        <v>333</v>
      </c>
      <c r="C835" s="30">
        <v>5</v>
      </c>
      <c r="D835" s="190">
        <v>2499263.577</v>
      </c>
      <c r="E835" s="30" t="s">
        <v>10</v>
      </c>
      <c r="F835" s="190">
        <v>9291.7960000000003</v>
      </c>
      <c r="G835" s="30" t="s">
        <v>335</v>
      </c>
      <c r="H835" s="30"/>
      <c r="J835" s="6">
        <v>100000</v>
      </c>
      <c r="K835" s="119">
        <f>D834</f>
        <v>2005646.3910000001</v>
      </c>
      <c r="L835" s="119">
        <f>D835</f>
        <v>2499263.577</v>
      </c>
      <c r="M835" s="18">
        <f>(K835/L835-1)</f>
        <v>-0.19750505330554813</v>
      </c>
      <c r="N835" s="73">
        <f>D836</f>
        <v>2848444.7259999998</v>
      </c>
      <c r="O835" s="22">
        <f>(K835/N835-1)</f>
        <v>-0.29588017885940177</v>
      </c>
    </row>
    <row r="836" spans="1:15" x14ac:dyDescent="0.25">
      <c r="A836" s="30" t="s">
        <v>449</v>
      </c>
      <c r="B836" s="30" t="s">
        <v>333</v>
      </c>
      <c r="C836" s="30">
        <v>5</v>
      </c>
      <c r="D836" s="190">
        <v>2848444.7259999998</v>
      </c>
      <c r="E836" s="30" t="s">
        <v>10</v>
      </c>
      <c r="F836" s="190">
        <v>26861.473999999998</v>
      </c>
      <c r="G836" s="30" t="s">
        <v>335</v>
      </c>
      <c r="H836" s="30"/>
      <c r="J836" s="6">
        <v>50000</v>
      </c>
      <c r="K836" s="119">
        <f>D837</f>
        <v>1017907.657</v>
      </c>
      <c r="L836" s="119">
        <f>D838</f>
        <v>1211270.638</v>
      </c>
      <c r="M836" s="18">
        <f t="shared" ref="M836:M837" si="68">(K836/L836-1)</f>
        <v>-0.15963648001843167</v>
      </c>
      <c r="N836" s="73">
        <f>D839</f>
        <v>1284633.3859999999</v>
      </c>
      <c r="O836" s="22">
        <f t="shared" ref="O836:O837" si="69">(K836/N836-1)</f>
        <v>-0.20762789750507071</v>
      </c>
    </row>
    <row r="837" spans="1:15" ht="20" thickBot="1" x14ac:dyDescent="0.3">
      <c r="A837" s="30" t="s">
        <v>450</v>
      </c>
      <c r="B837" s="30" t="s">
        <v>333</v>
      </c>
      <c r="C837" s="30">
        <v>5</v>
      </c>
      <c r="D837" s="190">
        <v>1017907.657</v>
      </c>
      <c r="E837" s="30" t="s">
        <v>10</v>
      </c>
      <c r="F837" s="190">
        <v>56518.053</v>
      </c>
      <c r="G837" s="30" t="s">
        <v>335</v>
      </c>
      <c r="H837" s="30"/>
      <c r="J837" s="7">
        <v>10000</v>
      </c>
      <c r="K837" s="120">
        <f>D840</f>
        <v>207352.34299999999</v>
      </c>
      <c r="L837" s="120">
        <f>D841</f>
        <v>247531.48199999999</v>
      </c>
      <c r="M837" s="19">
        <f t="shared" si="68"/>
        <v>-0.16231930853950927</v>
      </c>
      <c r="N837" s="74">
        <f>D842</f>
        <v>281425.93699999998</v>
      </c>
      <c r="O837" s="23">
        <f t="shared" si="69"/>
        <v>-0.26320812782796199</v>
      </c>
    </row>
    <row r="838" spans="1:15" x14ac:dyDescent="0.25">
      <c r="A838" s="30" t="s">
        <v>451</v>
      </c>
      <c r="B838" s="30" t="s">
        <v>333</v>
      </c>
      <c r="C838" s="30">
        <v>5</v>
      </c>
      <c r="D838" s="190">
        <v>1211270.638</v>
      </c>
      <c r="E838" s="30" t="s">
        <v>10</v>
      </c>
      <c r="F838" s="190">
        <v>186416.68400000001</v>
      </c>
      <c r="G838" s="30" t="s">
        <v>335</v>
      </c>
      <c r="H838" s="30"/>
    </row>
    <row r="839" spans="1:15" x14ac:dyDescent="0.25">
      <c r="A839" s="30" t="s">
        <v>452</v>
      </c>
      <c r="B839" s="30" t="s">
        <v>333</v>
      </c>
      <c r="C839" s="30">
        <v>5</v>
      </c>
      <c r="D839" s="190">
        <v>1284633.3859999999</v>
      </c>
      <c r="E839" s="30" t="s">
        <v>10</v>
      </c>
      <c r="F839" s="190">
        <v>85828.15</v>
      </c>
      <c r="G839" s="30" t="s">
        <v>335</v>
      </c>
      <c r="H839" s="30"/>
    </row>
    <row r="840" spans="1:15" x14ac:dyDescent="0.25">
      <c r="A840" s="30" t="s">
        <v>453</v>
      </c>
      <c r="B840" s="30" t="s">
        <v>333</v>
      </c>
      <c r="C840" s="30">
        <v>5</v>
      </c>
      <c r="D840" s="190">
        <v>207352.34299999999</v>
      </c>
      <c r="E840" s="30" t="s">
        <v>10</v>
      </c>
      <c r="F840" s="190">
        <v>5806.6180000000004</v>
      </c>
      <c r="G840" s="30" t="s">
        <v>335</v>
      </c>
      <c r="H840" s="30"/>
    </row>
    <row r="841" spans="1:15" x14ac:dyDescent="0.25">
      <c r="A841" s="30" t="s">
        <v>454</v>
      </c>
      <c r="B841" s="30" t="s">
        <v>333</v>
      </c>
      <c r="C841" s="30">
        <v>5</v>
      </c>
      <c r="D841" s="190">
        <v>247531.48199999999</v>
      </c>
      <c r="E841" s="30" t="s">
        <v>10</v>
      </c>
      <c r="F841" s="190">
        <v>697.66099999999994</v>
      </c>
      <c r="G841" s="30" t="s">
        <v>335</v>
      </c>
      <c r="H841" s="30"/>
    </row>
    <row r="842" spans="1:15" x14ac:dyDescent="0.25">
      <c r="A842" s="30" t="s">
        <v>455</v>
      </c>
      <c r="B842" s="30" t="s">
        <v>333</v>
      </c>
      <c r="C842" s="30">
        <v>5</v>
      </c>
      <c r="D842" s="190">
        <v>281425.93699999998</v>
      </c>
      <c r="E842" s="30" t="s">
        <v>10</v>
      </c>
      <c r="F842" s="190">
        <v>604.32899999999995</v>
      </c>
      <c r="G842" s="30" t="s">
        <v>335</v>
      </c>
      <c r="H842" s="30"/>
    </row>
    <row r="843" spans="1:15" x14ac:dyDescent="0.25">
      <c r="A843" s="30"/>
      <c r="B843" s="30"/>
      <c r="C843" s="30"/>
      <c r="D843" s="190"/>
      <c r="E843" s="30"/>
      <c r="F843" s="190"/>
      <c r="G843" s="30"/>
      <c r="H843" s="30"/>
    </row>
    <row r="844" spans="1:15" x14ac:dyDescent="0.25">
      <c r="A844" s="30" t="s">
        <v>462</v>
      </c>
      <c r="B844" s="30" t="s">
        <v>332</v>
      </c>
      <c r="C844" s="30" t="s">
        <v>333</v>
      </c>
      <c r="D844" s="190" t="s">
        <v>334</v>
      </c>
      <c r="E844" s="30" t="s">
        <v>488</v>
      </c>
      <c r="F844" s="190"/>
      <c r="G844" s="30"/>
      <c r="H844" s="30"/>
    </row>
    <row r="845" spans="1:15" ht="20" thickBot="1" x14ac:dyDescent="0.3">
      <c r="A845" s="30" t="s">
        <v>2</v>
      </c>
      <c r="B845" s="30" t="s">
        <v>3</v>
      </c>
      <c r="C845" s="30" t="s">
        <v>4</v>
      </c>
      <c r="D845" s="190" t="s">
        <v>5</v>
      </c>
      <c r="E845" s="30" t="s">
        <v>6</v>
      </c>
      <c r="F845" s="190" t="s">
        <v>7</v>
      </c>
      <c r="G845" s="30"/>
      <c r="H845" s="30"/>
    </row>
    <row r="846" spans="1:15" x14ac:dyDescent="0.25">
      <c r="A846" s="30" t="s">
        <v>463</v>
      </c>
      <c r="B846" s="30" t="s">
        <v>333</v>
      </c>
      <c r="C846" s="30">
        <v>5</v>
      </c>
      <c r="D846" s="190">
        <v>1342543.2420000001</v>
      </c>
      <c r="E846" s="30" t="s">
        <v>10</v>
      </c>
      <c r="F846" s="190">
        <v>22906.402999999998</v>
      </c>
      <c r="G846" s="30" t="s">
        <v>335</v>
      </c>
      <c r="H846" s="30"/>
      <c r="J846" s="5" t="s">
        <v>492</v>
      </c>
      <c r="K846" s="72" t="s">
        <v>340</v>
      </c>
      <c r="L846" s="72" t="s">
        <v>341</v>
      </c>
      <c r="M846" s="17" t="s">
        <v>162</v>
      </c>
      <c r="N846" s="72" t="s">
        <v>342</v>
      </c>
      <c r="O846" s="21" t="s">
        <v>162</v>
      </c>
    </row>
    <row r="847" spans="1:15" x14ac:dyDescent="0.25">
      <c r="A847" s="30" t="s">
        <v>464</v>
      </c>
      <c r="B847" s="30" t="s">
        <v>333</v>
      </c>
      <c r="C847" s="30">
        <v>5</v>
      </c>
      <c r="D847" s="190">
        <v>1326853.098</v>
      </c>
      <c r="E847" s="30" t="s">
        <v>10</v>
      </c>
      <c r="F847" s="190">
        <v>4718.585</v>
      </c>
      <c r="G847" s="30" t="s">
        <v>335</v>
      </c>
      <c r="H847" s="30"/>
      <c r="J847" s="6">
        <v>100000</v>
      </c>
      <c r="K847" s="119">
        <f>D846</f>
        <v>1342543.2420000001</v>
      </c>
      <c r="L847" s="119">
        <f>D847</f>
        <v>1326853.098</v>
      </c>
      <c r="M847" s="18">
        <f>(K847/L847-1)</f>
        <v>1.1825079975809061E-2</v>
      </c>
      <c r="N847" s="73">
        <f>D848</f>
        <v>1422148.6270000001</v>
      </c>
      <c r="O847" s="22">
        <f>(K847/N847-1)</f>
        <v>-5.5975432868733521E-2</v>
      </c>
    </row>
    <row r="848" spans="1:15" x14ac:dyDescent="0.25">
      <c r="A848" s="30" t="s">
        <v>465</v>
      </c>
      <c r="B848" s="30" t="s">
        <v>333</v>
      </c>
      <c r="C848" s="30">
        <v>5</v>
      </c>
      <c r="D848" s="190">
        <v>1422148.6270000001</v>
      </c>
      <c r="E848" s="30" t="s">
        <v>10</v>
      </c>
      <c r="F848" s="190">
        <v>292055.67300000001</v>
      </c>
      <c r="G848" s="30" t="s">
        <v>335</v>
      </c>
      <c r="H848" s="30"/>
      <c r="J848" s="6">
        <v>50000</v>
      </c>
      <c r="K848" s="119">
        <f>D849</f>
        <v>642638.098</v>
      </c>
      <c r="L848" s="119">
        <f>D850</f>
        <v>694092.49100000004</v>
      </c>
      <c r="M848" s="18">
        <f t="shared" ref="M848:M849" si="70">(K848/L848-1)</f>
        <v>-7.4131896926111551E-2</v>
      </c>
      <c r="N848" s="73">
        <f>D851</f>
        <v>818496.36800000002</v>
      </c>
      <c r="O848" s="22">
        <f t="shared" ref="O848:O849" si="71">(K848/N848-1)</f>
        <v>-0.21485528448917934</v>
      </c>
    </row>
    <row r="849" spans="1:17" ht="20" thickBot="1" x14ac:dyDescent="0.3">
      <c r="A849" s="30" t="s">
        <v>466</v>
      </c>
      <c r="B849" s="30" t="s">
        <v>333</v>
      </c>
      <c r="C849" s="30">
        <v>5</v>
      </c>
      <c r="D849" s="190">
        <v>642638.098</v>
      </c>
      <c r="E849" s="30" t="s">
        <v>10</v>
      </c>
      <c r="F849" s="190">
        <v>1817.694</v>
      </c>
      <c r="G849" s="30" t="s">
        <v>335</v>
      </c>
      <c r="H849" s="30"/>
      <c r="J849" s="7">
        <v>10000</v>
      </c>
      <c r="K849" s="120">
        <f>D852</f>
        <v>134605.57500000001</v>
      </c>
      <c r="L849" s="120">
        <f>D853</f>
        <v>132675.611</v>
      </c>
      <c r="M849" s="19">
        <f t="shared" si="70"/>
        <v>1.454648661840352E-2</v>
      </c>
      <c r="N849" s="74">
        <f>D854</f>
        <v>142026.98000000001</v>
      </c>
      <c r="O849" s="23">
        <f t="shared" si="71"/>
        <v>-5.2253487330364945E-2</v>
      </c>
    </row>
    <row r="850" spans="1:17" x14ac:dyDescent="0.25">
      <c r="A850" s="30" t="s">
        <v>467</v>
      </c>
      <c r="B850" s="30" t="s">
        <v>333</v>
      </c>
      <c r="C850" s="30">
        <v>5</v>
      </c>
      <c r="D850" s="190">
        <v>694092.49100000004</v>
      </c>
      <c r="E850" s="30" t="s">
        <v>10</v>
      </c>
      <c r="F850" s="190">
        <v>92729.528000000006</v>
      </c>
      <c r="G850" s="30" t="s">
        <v>335</v>
      </c>
      <c r="H850" s="30"/>
    </row>
    <row r="851" spans="1:17" x14ac:dyDescent="0.25">
      <c r="A851" s="30" t="s">
        <v>468</v>
      </c>
      <c r="B851" s="30" t="s">
        <v>333</v>
      </c>
      <c r="C851" s="30">
        <v>5</v>
      </c>
      <c r="D851" s="190">
        <v>818496.36800000002</v>
      </c>
      <c r="E851" s="30" t="s">
        <v>10</v>
      </c>
      <c r="F851" s="190">
        <v>362823.728</v>
      </c>
      <c r="G851" s="30" t="s">
        <v>335</v>
      </c>
      <c r="H851" s="30"/>
    </row>
    <row r="852" spans="1:17" x14ac:dyDescent="0.25">
      <c r="A852" s="30" t="s">
        <v>469</v>
      </c>
      <c r="B852" s="30" t="s">
        <v>333</v>
      </c>
      <c r="C852" s="30">
        <v>5</v>
      </c>
      <c r="D852" s="190">
        <v>134605.57500000001</v>
      </c>
      <c r="E852" s="30" t="s">
        <v>10</v>
      </c>
      <c r="F852" s="190">
        <v>621.83799999999997</v>
      </c>
      <c r="G852" s="30" t="s">
        <v>335</v>
      </c>
      <c r="H852" s="30"/>
    </row>
    <row r="853" spans="1:17" x14ac:dyDescent="0.25">
      <c r="A853" s="30" t="s">
        <v>470</v>
      </c>
      <c r="B853" s="30" t="s">
        <v>333</v>
      </c>
      <c r="C853" s="30">
        <v>5</v>
      </c>
      <c r="D853" s="190">
        <v>132675.611</v>
      </c>
      <c r="E853" s="30" t="s">
        <v>10</v>
      </c>
      <c r="F853" s="190">
        <v>7431.4840000000004</v>
      </c>
      <c r="G853" s="30" t="s">
        <v>335</v>
      </c>
      <c r="H853" s="30"/>
    </row>
    <row r="854" spans="1:17" x14ac:dyDescent="0.25">
      <c r="A854" s="30" t="s">
        <v>471</v>
      </c>
      <c r="B854" s="30" t="s">
        <v>333</v>
      </c>
      <c r="C854" s="30">
        <v>5</v>
      </c>
      <c r="D854" s="190">
        <v>142026.98000000001</v>
      </c>
      <c r="E854" s="30" t="s">
        <v>10</v>
      </c>
      <c r="F854" s="190">
        <v>31510.197</v>
      </c>
      <c r="G854" s="30" t="s">
        <v>335</v>
      </c>
      <c r="H854" s="30"/>
    </row>
    <row r="856" spans="1:17" x14ac:dyDescent="0.25">
      <c r="A856" s="3" t="s">
        <v>561</v>
      </c>
      <c r="F856" s="194"/>
      <c r="G856" s="65"/>
      <c r="H856" s="65"/>
    </row>
    <row r="857" spans="1:17" ht="20" thickBot="1" x14ac:dyDescent="0.3">
      <c r="A857" s="3" t="s">
        <v>2</v>
      </c>
      <c r="B857" s="3" t="s">
        <v>3</v>
      </c>
      <c r="C857" s="3" t="s">
        <v>504</v>
      </c>
      <c r="D857" s="189" t="s">
        <v>5</v>
      </c>
      <c r="E857" s="3" t="s">
        <v>505</v>
      </c>
      <c r="F857" s="194" t="s">
        <v>506</v>
      </c>
      <c r="G857" s="65"/>
      <c r="H857" s="65"/>
    </row>
    <row r="858" spans="1:17" x14ac:dyDescent="0.25">
      <c r="A858" s="3" t="s">
        <v>507</v>
      </c>
      <c r="B858" s="3" t="s">
        <v>333</v>
      </c>
      <c r="C858" s="3">
        <v>5</v>
      </c>
      <c r="D858" s="189">
        <v>2389232.3101090002</v>
      </c>
      <c r="E858" s="3">
        <v>303267.915156</v>
      </c>
      <c r="F858" s="194" t="s">
        <v>335</v>
      </c>
      <c r="G858" s="65"/>
      <c r="H858" s="65"/>
      <c r="J858" s="5" t="s">
        <v>498</v>
      </c>
      <c r="K858" s="72" t="s">
        <v>344</v>
      </c>
      <c r="L858" s="72" t="s">
        <v>341</v>
      </c>
      <c r="M858" s="17" t="s">
        <v>162</v>
      </c>
      <c r="N858" s="72" t="s">
        <v>343</v>
      </c>
      <c r="O858" s="21" t="s">
        <v>162</v>
      </c>
      <c r="P858" s="72" t="s">
        <v>342</v>
      </c>
      <c r="Q858" s="21" t="s">
        <v>162</v>
      </c>
    </row>
    <row r="859" spans="1:17" x14ac:dyDescent="0.25">
      <c r="A859" s="3" t="s">
        <v>508</v>
      </c>
      <c r="B859" s="3" t="s">
        <v>333</v>
      </c>
      <c r="C859" s="3">
        <v>5</v>
      </c>
      <c r="D859" s="189">
        <v>2600132.7087229998</v>
      </c>
      <c r="E859" s="3">
        <v>242548.809767</v>
      </c>
      <c r="F859" s="194" t="s">
        <v>335</v>
      </c>
      <c r="G859" s="65"/>
      <c r="H859" s="65"/>
      <c r="J859" s="6">
        <v>100000</v>
      </c>
      <c r="K859" s="119">
        <f>D858</f>
        <v>2389232.3101090002</v>
      </c>
      <c r="L859" s="119">
        <f>D859</f>
        <v>2600132.7087229998</v>
      </c>
      <c r="M859" s="18">
        <f>(K859/L859-1)</f>
        <v>-8.1111397855372913E-2</v>
      </c>
      <c r="N859" s="73">
        <f>D860</f>
        <v>2317937.7001109999</v>
      </c>
      <c r="O859" s="22">
        <f>(K859/N859-1)</f>
        <v>3.0757776619529498E-2</v>
      </c>
      <c r="P859" s="73">
        <f>D861</f>
        <v>2501734.6741610002</v>
      </c>
      <c r="Q859" s="22">
        <f>(K859/P859-1)</f>
        <v>-4.4969742480676755E-2</v>
      </c>
    </row>
    <row r="860" spans="1:17" ht="20" x14ac:dyDescent="0.25">
      <c r="A860" s="3" t="s">
        <v>509</v>
      </c>
      <c r="B860" s="42" t="s">
        <v>333</v>
      </c>
      <c r="C860" s="14">
        <v>5</v>
      </c>
      <c r="D860" s="191">
        <v>2317937.7001109999</v>
      </c>
      <c r="E860" s="14">
        <v>355313.50017000001</v>
      </c>
      <c r="F860" s="199" t="s">
        <v>335</v>
      </c>
      <c r="G860" s="65"/>
      <c r="H860" s="65"/>
      <c r="J860" s="6">
        <v>50000</v>
      </c>
      <c r="K860" s="119">
        <f>D862</f>
        <v>932682.77407399996</v>
      </c>
      <c r="L860" s="119">
        <f>D863</f>
        <v>796427.43441300001</v>
      </c>
      <c r="M860" s="18">
        <f t="shared" ref="M860:M861" si="72">(K860/L860-1)</f>
        <v>0.17108318193662653</v>
      </c>
      <c r="N860" s="73">
        <f>D864</f>
        <v>835085.021817</v>
      </c>
      <c r="O860" s="22">
        <f t="shared" ref="O860:O861" si="73">(K860/N860-1)</f>
        <v>0.11687163547089385</v>
      </c>
      <c r="P860" s="73">
        <f>D865</f>
        <v>939724.71244899998</v>
      </c>
      <c r="Q860" s="22">
        <f t="shared" ref="Q860:Q861" si="74">(K860/P860-1)</f>
        <v>-7.4936183775013987E-3</v>
      </c>
    </row>
    <row r="861" spans="1:17" ht="20" thickBot="1" x14ac:dyDescent="0.3">
      <c r="A861" s="3" t="s">
        <v>510</v>
      </c>
      <c r="B861" s="24" t="s">
        <v>333</v>
      </c>
      <c r="C861" s="46">
        <v>5</v>
      </c>
      <c r="D861" s="189">
        <v>2501734.6741610002</v>
      </c>
      <c r="E861" s="46">
        <v>597191.36384400004</v>
      </c>
      <c r="F861" s="194" t="s">
        <v>335</v>
      </c>
      <c r="G861" s="65"/>
      <c r="H861" s="65"/>
      <c r="J861" s="7">
        <v>10000</v>
      </c>
      <c r="K861" s="120">
        <f>D866</f>
        <v>186813.04473699999</v>
      </c>
      <c r="L861" s="120">
        <f>D867</f>
        <v>163640.20474799999</v>
      </c>
      <c r="M861" s="19">
        <f t="shared" si="72"/>
        <v>0.14160847589188319</v>
      </c>
      <c r="N861" s="74">
        <f>D868</f>
        <v>149480.12667100001</v>
      </c>
      <c r="O861" s="23">
        <f t="shared" si="73"/>
        <v>0.24975171547832775</v>
      </c>
      <c r="P861" s="74">
        <f>D869</f>
        <v>157597.59183300001</v>
      </c>
      <c r="Q861" s="23">
        <f t="shared" si="74"/>
        <v>0.1853800718919516</v>
      </c>
    </row>
    <row r="862" spans="1:17" x14ac:dyDescent="0.25">
      <c r="A862" s="3" t="s">
        <v>515</v>
      </c>
      <c r="B862" s="24" t="s">
        <v>333</v>
      </c>
      <c r="C862" s="46">
        <v>5</v>
      </c>
      <c r="D862" s="189">
        <v>932682.77407399996</v>
      </c>
      <c r="E862" s="47">
        <v>92106.851511000001</v>
      </c>
      <c r="F862" s="194" t="s">
        <v>335</v>
      </c>
      <c r="G862" s="65"/>
      <c r="H862" s="65"/>
    </row>
    <row r="863" spans="1:17" x14ac:dyDescent="0.25">
      <c r="A863" s="3" t="s">
        <v>516</v>
      </c>
      <c r="B863" s="24" t="s">
        <v>333</v>
      </c>
      <c r="C863" s="40">
        <v>5</v>
      </c>
      <c r="D863" s="189">
        <v>796427.43441300001</v>
      </c>
      <c r="E863" s="46">
        <v>73884.422900000005</v>
      </c>
      <c r="F863" s="194" t="s">
        <v>335</v>
      </c>
      <c r="G863" s="65"/>
      <c r="H863" s="65"/>
    </row>
    <row r="864" spans="1:17" x14ac:dyDescent="0.25">
      <c r="A864" s="3" t="s">
        <v>517</v>
      </c>
      <c r="B864" s="24" t="s">
        <v>333</v>
      </c>
      <c r="C864" s="40">
        <v>5</v>
      </c>
      <c r="D864" s="189">
        <v>835085.021817</v>
      </c>
      <c r="E864" s="46">
        <v>32990.909318999999</v>
      </c>
      <c r="F864" s="194" t="s">
        <v>335</v>
      </c>
      <c r="G864" s="65"/>
      <c r="H864" s="65"/>
    </row>
    <row r="865" spans="1:17" x14ac:dyDescent="0.25">
      <c r="A865" s="3" t="s">
        <v>518</v>
      </c>
      <c r="B865" s="24" t="s">
        <v>333</v>
      </c>
      <c r="C865" s="40">
        <v>5</v>
      </c>
      <c r="D865" s="189">
        <v>939724.71244899998</v>
      </c>
      <c r="E865" s="46">
        <v>71699.526249999995</v>
      </c>
      <c r="F865" s="194" t="s">
        <v>335</v>
      </c>
      <c r="G865" s="65"/>
      <c r="H865" s="65"/>
    </row>
    <row r="866" spans="1:17" x14ac:dyDescent="0.25">
      <c r="A866" s="3" t="s">
        <v>511</v>
      </c>
      <c r="B866" s="3" t="s">
        <v>333</v>
      </c>
      <c r="C866" s="40">
        <v>5</v>
      </c>
      <c r="D866" s="189">
        <v>186813.04473699999</v>
      </c>
      <c r="E866" s="40">
        <v>16204.03067</v>
      </c>
      <c r="F866" s="194" t="s">
        <v>335</v>
      </c>
      <c r="G866" s="65"/>
      <c r="H866" s="65"/>
    </row>
    <row r="867" spans="1:17" ht="20" x14ac:dyDescent="0.25">
      <c r="A867" s="3" t="s">
        <v>512</v>
      </c>
      <c r="B867" s="42" t="s">
        <v>333</v>
      </c>
      <c r="C867" s="14">
        <v>5</v>
      </c>
      <c r="D867" s="191">
        <v>163640.20474799999</v>
      </c>
      <c r="E867" s="14">
        <v>10053.065563</v>
      </c>
      <c r="F867" s="199" t="s">
        <v>335</v>
      </c>
      <c r="G867" s="65"/>
      <c r="H867" s="65"/>
    </row>
    <row r="868" spans="1:17" x14ac:dyDescent="0.25">
      <c r="A868" s="3" t="s">
        <v>513</v>
      </c>
      <c r="B868" s="24" t="s">
        <v>333</v>
      </c>
      <c r="C868" s="46">
        <v>5</v>
      </c>
      <c r="D868" s="189">
        <v>149480.12667100001</v>
      </c>
      <c r="E868" s="46">
        <v>10707.011184999999</v>
      </c>
      <c r="F868" s="194" t="s">
        <v>335</v>
      </c>
      <c r="G868" s="65"/>
      <c r="H868" s="65"/>
    </row>
    <row r="869" spans="1:17" x14ac:dyDescent="0.25">
      <c r="A869" s="3" t="s">
        <v>514</v>
      </c>
      <c r="B869" s="24" t="s">
        <v>333</v>
      </c>
      <c r="C869" s="46">
        <v>5</v>
      </c>
      <c r="D869" s="189">
        <v>157597.59183300001</v>
      </c>
      <c r="E869" s="46">
        <v>11299.085603</v>
      </c>
      <c r="F869" s="194" t="s">
        <v>335</v>
      </c>
      <c r="G869" s="65"/>
      <c r="H869" s="65"/>
    </row>
    <row r="870" spans="1:17" x14ac:dyDescent="0.25">
      <c r="B870" s="24"/>
      <c r="C870" s="46"/>
      <c r="E870" s="46"/>
      <c r="F870" s="194"/>
      <c r="G870" s="65"/>
      <c r="H870" s="65"/>
    </row>
    <row r="871" spans="1:17" x14ac:dyDescent="0.25">
      <c r="A871" s="3" t="s">
        <v>562</v>
      </c>
      <c r="B871" s="24"/>
      <c r="C871" s="46"/>
      <c r="E871" s="46"/>
      <c r="F871" s="194"/>
      <c r="G871" s="65"/>
      <c r="H871" s="65"/>
    </row>
    <row r="872" spans="1:17" ht="20" thickBot="1" x14ac:dyDescent="0.3">
      <c r="A872" s="3" t="s">
        <v>2</v>
      </c>
      <c r="B872" s="24" t="s">
        <v>3</v>
      </c>
      <c r="C872" s="46" t="s">
        <v>504</v>
      </c>
      <c r="D872" s="189" t="s">
        <v>5</v>
      </c>
      <c r="E872" s="46" t="s">
        <v>505</v>
      </c>
      <c r="F872" s="194" t="s">
        <v>506</v>
      </c>
      <c r="G872" s="65"/>
      <c r="H872" s="65"/>
    </row>
    <row r="873" spans="1:17" x14ac:dyDescent="0.25">
      <c r="A873" s="3" t="s">
        <v>519</v>
      </c>
      <c r="B873" s="3" t="s">
        <v>333</v>
      </c>
      <c r="C873" s="40">
        <v>5</v>
      </c>
      <c r="D873" s="189">
        <v>21724065.129190002</v>
      </c>
      <c r="E873" s="40">
        <v>2384698.4292649999</v>
      </c>
      <c r="F873" s="194" t="s">
        <v>335</v>
      </c>
      <c r="G873" s="65"/>
      <c r="H873" s="65"/>
      <c r="J873" s="5" t="s">
        <v>502</v>
      </c>
      <c r="K873" s="72" t="s">
        <v>344</v>
      </c>
      <c r="L873" s="72" t="s">
        <v>341</v>
      </c>
      <c r="M873" s="17" t="s">
        <v>162</v>
      </c>
      <c r="N873" s="72" t="s">
        <v>343</v>
      </c>
      <c r="O873" s="21" t="s">
        <v>162</v>
      </c>
      <c r="P873" s="72" t="s">
        <v>342</v>
      </c>
      <c r="Q873" s="21" t="s">
        <v>162</v>
      </c>
    </row>
    <row r="874" spans="1:17" x14ac:dyDescent="0.25">
      <c r="A874" s="3" t="s">
        <v>520</v>
      </c>
      <c r="B874" s="3" t="s">
        <v>333</v>
      </c>
      <c r="C874" s="40">
        <v>5</v>
      </c>
      <c r="D874" s="189">
        <v>20886247.183256999</v>
      </c>
      <c r="E874" s="40">
        <v>3229994.0264579998</v>
      </c>
      <c r="F874" s="194" t="s">
        <v>335</v>
      </c>
      <c r="G874" s="65"/>
      <c r="H874" s="65"/>
      <c r="J874" s="6">
        <v>100000</v>
      </c>
      <c r="K874" s="119">
        <f>D873</f>
        <v>21724065.129190002</v>
      </c>
      <c r="L874" s="119">
        <f>D874</f>
        <v>20886247.183256999</v>
      </c>
      <c r="M874" s="18">
        <f>(K874/L874-1)</f>
        <v>4.0113378845991088E-2</v>
      </c>
      <c r="N874" s="73">
        <f>D875</f>
        <v>19148046.360502999</v>
      </c>
      <c r="O874" s="22">
        <f>(K874/N874-1)</f>
        <v>0.13453167598343607</v>
      </c>
      <c r="P874" s="73">
        <f>D876</f>
        <v>19450306.785930999</v>
      </c>
      <c r="Q874" s="22">
        <f>(K874/P874-1)</f>
        <v>0.11690089869963805</v>
      </c>
    </row>
    <row r="875" spans="1:17" ht="20" x14ac:dyDescent="0.25">
      <c r="A875" s="3" t="s">
        <v>521</v>
      </c>
      <c r="B875" s="42" t="s">
        <v>333</v>
      </c>
      <c r="C875" s="14">
        <v>5</v>
      </c>
      <c r="D875" s="191">
        <v>19148046.360502999</v>
      </c>
      <c r="E875" s="14">
        <v>2122255.4530170001</v>
      </c>
      <c r="F875" s="191" t="s">
        <v>335</v>
      </c>
      <c r="G875" s="65"/>
      <c r="H875" s="65"/>
      <c r="J875" s="6">
        <v>50000</v>
      </c>
      <c r="K875" s="119">
        <f>D877</f>
        <v>1943811.7450260001</v>
      </c>
      <c r="L875" s="119">
        <f>D878</f>
        <v>1852604.850141</v>
      </c>
      <c r="M875" s="18">
        <f t="shared" ref="M875:M876" si="75">(K875/L875-1)</f>
        <v>4.9231704687623168E-2</v>
      </c>
      <c r="N875" s="73">
        <f>D879</f>
        <v>1612585.80697</v>
      </c>
      <c r="O875" s="22">
        <f t="shared" ref="O875:O876" si="76">(K875/N875-1)</f>
        <v>0.20540050434796009</v>
      </c>
      <c r="P875" s="73">
        <f>D880</f>
        <v>1622711.2783989999</v>
      </c>
      <c r="Q875" s="22">
        <f t="shared" ref="Q875:Q876" si="77">(K875/P875-1)</f>
        <v>0.19787898864165432</v>
      </c>
    </row>
    <row r="876" spans="1:17" ht="20" thickBot="1" x14ac:dyDescent="0.3">
      <c r="A876" s="3" t="s">
        <v>522</v>
      </c>
      <c r="B876" s="24" t="s">
        <v>333</v>
      </c>
      <c r="C876" s="48">
        <v>5</v>
      </c>
      <c r="D876" s="189">
        <v>19450306.785930999</v>
      </c>
      <c r="E876" s="48">
        <v>2880128.3611099999</v>
      </c>
      <c r="F876" s="189" t="s">
        <v>335</v>
      </c>
      <c r="G876" s="65"/>
      <c r="H876" s="65"/>
      <c r="J876" s="7">
        <v>10000</v>
      </c>
      <c r="K876" s="120">
        <f>D881</f>
        <v>365938.12310999999</v>
      </c>
      <c r="L876" s="120">
        <f>D882</f>
        <v>335252.80372099997</v>
      </c>
      <c r="M876" s="19">
        <f t="shared" si="75"/>
        <v>9.1528897143949184E-2</v>
      </c>
      <c r="N876" s="74">
        <f>D883</f>
        <v>291479.51343799999</v>
      </c>
      <c r="O876" s="23">
        <f t="shared" si="76"/>
        <v>0.25545057624723233</v>
      </c>
      <c r="P876" s="74">
        <f>D884</f>
        <v>306047.60435699997</v>
      </c>
      <c r="Q876" s="23">
        <f t="shared" si="77"/>
        <v>0.19569020603454423</v>
      </c>
    </row>
    <row r="877" spans="1:17" x14ac:dyDescent="0.25">
      <c r="A877" s="3" t="s">
        <v>527</v>
      </c>
      <c r="B877" s="24" t="s">
        <v>333</v>
      </c>
      <c r="C877" s="49">
        <v>5</v>
      </c>
      <c r="D877" s="189">
        <v>1943811.7450260001</v>
      </c>
      <c r="E877" s="50">
        <v>167785.75520000001</v>
      </c>
      <c r="F877" s="189" t="s">
        <v>335</v>
      </c>
      <c r="G877" s="65"/>
      <c r="H877" s="65"/>
    </row>
    <row r="878" spans="1:17" x14ac:dyDescent="0.25">
      <c r="A878" s="3" t="s">
        <v>528</v>
      </c>
      <c r="B878" s="24" t="s">
        <v>333</v>
      </c>
      <c r="C878" s="48">
        <v>5</v>
      </c>
      <c r="D878" s="189">
        <v>1852604.850141</v>
      </c>
      <c r="E878" s="48">
        <v>101598.56512100001</v>
      </c>
      <c r="F878" s="189" t="s">
        <v>335</v>
      </c>
      <c r="G878" s="65"/>
      <c r="H878" s="65"/>
    </row>
    <row r="879" spans="1:17" x14ac:dyDescent="0.25">
      <c r="A879" s="3" t="s">
        <v>529</v>
      </c>
      <c r="B879" s="24" t="s">
        <v>333</v>
      </c>
      <c r="C879" s="50">
        <v>5</v>
      </c>
      <c r="D879" s="189">
        <v>1612585.80697</v>
      </c>
      <c r="E879" s="48">
        <v>131578.66400300001</v>
      </c>
      <c r="F879" s="189" t="s">
        <v>335</v>
      </c>
      <c r="G879" s="65"/>
      <c r="H879" s="65"/>
    </row>
    <row r="880" spans="1:17" x14ac:dyDescent="0.25">
      <c r="A880" s="3" t="s">
        <v>530</v>
      </c>
      <c r="B880" s="24" t="s">
        <v>333</v>
      </c>
      <c r="C880" s="48">
        <v>5</v>
      </c>
      <c r="D880" s="189">
        <v>1622711.2783989999</v>
      </c>
      <c r="E880" s="48">
        <v>198014.688467</v>
      </c>
      <c r="F880" s="189" t="s">
        <v>335</v>
      </c>
      <c r="G880" s="65"/>
      <c r="H880" s="65"/>
    </row>
    <row r="881" spans="1:15" x14ac:dyDescent="0.25">
      <c r="A881" s="3" t="s">
        <v>523</v>
      </c>
      <c r="B881" s="3" t="s">
        <v>333</v>
      </c>
      <c r="C881" s="40">
        <v>5</v>
      </c>
      <c r="D881" s="189">
        <v>365938.12310999999</v>
      </c>
      <c r="E881" s="40">
        <v>17664.950497000002</v>
      </c>
      <c r="F881" s="194" t="s">
        <v>335</v>
      </c>
      <c r="G881" s="65"/>
      <c r="H881" s="65"/>
    </row>
    <row r="882" spans="1:15" ht="20" x14ac:dyDescent="0.25">
      <c r="A882" s="3" t="s">
        <v>524</v>
      </c>
      <c r="B882" s="42" t="s">
        <v>333</v>
      </c>
      <c r="C882" s="14">
        <v>5</v>
      </c>
      <c r="D882" s="191">
        <v>335252.80372099997</v>
      </c>
      <c r="E882" s="14">
        <v>16860.075216000001</v>
      </c>
      <c r="F882" s="191" t="s">
        <v>335</v>
      </c>
      <c r="G882" s="65"/>
      <c r="H882" s="65"/>
    </row>
    <row r="883" spans="1:15" x14ac:dyDescent="0.25">
      <c r="A883" s="3" t="s">
        <v>525</v>
      </c>
      <c r="B883" s="24" t="s">
        <v>333</v>
      </c>
      <c r="C883" s="48">
        <v>5</v>
      </c>
      <c r="D883" s="189">
        <v>291479.51343799999</v>
      </c>
      <c r="E883" s="46">
        <v>18605.507136</v>
      </c>
      <c r="F883" s="189" t="s">
        <v>335</v>
      </c>
      <c r="G883" s="65"/>
      <c r="H883" s="65"/>
    </row>
    <row r="884" spans="1:15" x14ac:dyDescent="0.25">
      <c r="A884" s="3" t="s">
        <v>526</v>
      </c>
      <c r="B884" s="24" t="s">
        <v>333</v>
      </c>
      <c r="C884" s="49">
        <v>5</v>
      </c>
      <c r="D884" s="189">
        <v>306047.60435699997</v>
      </c>
      <c r="E884" s="51">
        <v>10104.803786</v>
      </c>
      <c r="F884" s="189" t="s">
        <v>335</v>
      </c>
      <c r="G884" s="65"/>
      <c r="H884" s="65"/>
    </row>
    <row r="885" spans="1:15" x14ac:dyDescent="0.25">
      <c r="B885" s="24"/>
      <c r="C885" s="48"/>
      <c r="E885" s="48"/>
      <c r="G885" s="65"/>
      <c r="H885" s="65"/>
    </row>
    <row r="886" spans="1:15" x14ac:dyDescent="0.25">
      <c r="A886" s="3" t="s">
        <v>563</v>
      </c>
      <c r="B886" s="24"/>
      <c r="C886" s="50"/>
      <c r="E886" s="49"/>
      <c r="G886" s="65"/>
      <c r="H886" s="65"/>
    </row>
    <row r="887" spans="1:15" ht="20" thickBot="1" x14ac:dyDescent="0.3">
      <c r="A887" s="3" t="s">
        <v>2</v>
      </c>
      <c r="B887" s="24" t="s">
        <v>3</v>
      </c>
      <c r="C887" s="48" t="s">
        <v>504</v>
      </c>
      <c r="D887" s="189" t="s">
        <v>5</v>
      </c>
      <c r="E887" s="48" t="s">
        <v>505</v>
      </c>
      <c r="F887" s="189" t="s">
        <v>506</v>
      </c>
      <c r="G887" s="65"/>
      <c r="H887" s="65"/>
    </row>
    <row r="888" spans="1:15" x14ac:dyDescent="0.25">
      <c r="A888" s="3" t="s">
        <v>531</v>
      </c>
      <c r="B888" s="3" t="s">
        <v>333</v>
      </c>
      <c r="C888" s="3">
        <v>5</v>
      </c>
      <c r="D888" s="189">
        <v>655640.772016</v>
      </c>
      <c r="E888" s="3">
        <v>58896.158412999997</v>
      </c>
      <c r="F888" s="194" t="s">
        <v>335</v>
      </c>
      <c r="G888" s="65"/>
      <c r="H888" s="65"/>
      <c r="J888" s="5" t="s">
        <v>496</v>
      </c>
      <c r="K888" s="72" t="s">
        <v>340</v>
      </c>
      <c r="L888" s="72" t="s">
        <v>341</v>
      </c>
      <c r="M888" s="17" t="s">
        <v>162</v>
      </c>
      <c r="N888" s="72" t="s">
        <v>342</v>
      </c>
      <c r="O888" s="21" t="s">
        <v>162</v>
      </c>
    </row>
    <row r="889" spans="1:15" x14ac:dyDescent="0.25">
      <c r="A889" s="3" t="s">
        <v>532</v>
      </c>
      <c r="B889" s="3" t="s">
        <v>333</v>
      </c>
      <c r="C889" s="3">
        <v>5</v>
      </c>
      <c r="D889" s="189">
        <v>181743.276683</v>
      </c>
      <c r="E889" s="3">
        <v>13139.891549</v>
      </c>
      <c r="F889" s="194" t="s">
        <v>335</v>
      </c>
      <c r="G889" s="65"/>
      <c r="H889" s="65"/>
      <c r="J889" s="6">
        <v>100000</v>
      </c>
      <c r="K889" s="119">
        <f>D888</f>
        <v>655640.772016</v>
      </c>
      <c r="L889" s="119">
        <f>D889</f>
        <v>181743.276683</v>
      </c>
      <c r="M889" s="18">
        <f>(K889/L889-1)</f>
        <v>2.6075104619115059</v>
      </c>
      <c r="N889" s="73">
        <f>D890</f>
        <v>355865.084952</v>
      </c>
      <c r="O889" s="22">
        <f>(K889/N889-1)</f>
        <v>0.84238577972445516</v>
      </c>
    </row>
    <row r="890" spans="1:15" x14ac:dyDescent="0.25">
      <c r="A890" s="3" t="s">
        <v>533</v>
      </c>
      <c r="B890" s="3" t="s">
        <v>333</v>
      </c>
      <c r="C890" s="3">
        <v>5</v>
      </c>
      <c r="D890" s="189">
        <v>355865.084952</v>
      </c>
      <c r="E890" s="3">
        <v>14991.461928999999</v>
      </c>
      <c r="F890" s="194" t="s">
        <v>335</v>
      </c>
      <c r="G890" s="65"/>
      <c r="H890" s="65"/>
      <c r="J890" s="6">
        <v>50000</v>
      </c>
      <c r="K890" s="119">
        <f>D891</f>
        <v>322406.54259899998</v>
      </c>
      <c r="L890" s="119">
        <f>D892</f>
        <v>72734.794792000001</v>
      </c>
      <c r="M890" s="18">
        <f t="shared" ref="M890:M891" si="78">(K890/L890-1)</f>
        <v>3.432631500796659</v>
      </c>
      <c r="N890" s="73">
        <f>D893</f>
        <v>145675.47443500001</v>
      </c>
      <c r="O890" s="22">
        <f t="shared" ref="O890:O891" si="79">(K890/N890-1)</f>
        <v>1.213183405439032</v>
      </c>
    </row>
    <row r="891" spans="1:15" ht="20" thickBot="1" x14ac:dyDescent="0.3">
      <c r="A891" s="3" t="s">
        <v>537</v>
      </c>
      <c r="B891" s="3" t="s">
        <v>333</v>
      </c>
      <c r="C891" s="3">
        <v>5</v>
      </c>
      <c r="D891" s="189">
        <v>322406.54259899998</v>
      </c>
      <c r="E891" s="3">
        <v>20246.457541</v>
      </c>
      <c r="F891" s="194" t="s">
        <v>335</v>
      </c>
      <c r="G891" s="65"/>
      <c r="H891" s="65"/>
      <c r="J891" s="7">
        <v>10000</v>
      </c>
      <c r="K891" s="120">
        <f>D894</f>
        <v>61590.74785</v>
      </c>
      <c r="L891" s="120">
        <f>D895</f>
        <v>11444.319686000001</v>
      </c>
      <c r="M891" s="19">
        <f t="shared" si="78"/>
        <v>4.381774499478972</v>
      </c>
      <c r="N891" s="74">
        <f>D896</f>
        <v>83075.116064999995</v>
      </c>
      <c r="O891" s="23">
        <f t="shared" si="79"/>
        <v>-0.25861376104717204</v>
      </c>
    </row>
    <row r="892" spans="1:15" x14ac:dyDescent="0.25">
      <c r="A892" s="3" t="s">
        <v>538</v>
      </c>
      <c r="B892" s="3" t="s">
        <v>333</v>
      </c>
      <c r="C892" s="3">
        <v>5</v>
      </c>
      <c r="D892" s="189">
        <v>72734.794792000001</v>
      </c>
      <c r="E892" s="3">
        <v>56135.179171000003</v>
      </c>
      <c r="F892" s="194" t="s">
        <v>335</v>
      </c>
      <c r="G892" s="65"/>
      <c r="H892" s="65"/>
    </row>
    <row r="893" spans="1:15" x14ac:dyDescent="0.25">
      <c r="A893" s="3" t="s">
        <v>539</v>
      </c>
      <c r="B893" s="3" t="s">
        <v>333</v>
      </c>
      <c r="C893" s="3">
        <v>5</v>
      </c>
      <c r="D893" s="189">
        <v>145675.47443500001</v>
      </c>
      <c r="E893" s="3">
        <v>6676.3747350000003</v>
      </c>
      <c r="F893" s="194" t="s">
        <v>335</v>
      </c>
      <c r="G893" s="65"/>
      <c r="H893" s="65"/>
    </row>
    <row r="894" spans="1:15" x14ac:dyDescent="0.25">
      <c r="A894" s="3" t="s">
        <v>534</v>
      </c>
      <c r="B894" s="3" t="s">
        <v>333</v>
      </c>
      <c r="C894" s="3">
        <v>5</v>
      </c>
      <c r="D894" s="189">
        <v>61590.74785</v>
      </c>
      <c r="E894" s="3">
        <v>9644.3013740000006</v>
      </c>
      <c r="F894" s="194" t="s">
        <v>335</v>
      </c>
      <c r="G894" s="65"/>
      <c r="H894" s="65"/>
    </row>
    <row r="895" spans="1:15" x14ac:dyDescent="0.25">
      <c r="A895" s="3" t="s">
        <v>535</v>
      </c>
      <c r="B895" s="3" t="s">
        <v>333</v>
      </c>
      <c r="C895" s="3">
        <v>5</v>
      </c>
      <c r="D895" s="189">
        <v>11444.319686000001</v>
      </c>
      <c r="E895" s="3">
        <v>235.525735</v>
      </c>
      <c r="F895" s="194" t="s">
        <v>335</v>
      </c>
      <c r="G895" s="65"/>
      <c r="H895" s="65"/>
    </row>
    <row r="896" spans="1:15" x14ac:dyDescent="0.25">
      <c r="A896" s="3" t="s">
        <v>536</v>
      </c>
      <c r="B896" s="3" t="s">
        <v>333</v>
      </c>
      <c r="C896" s="3">
        <v>5</v>
      </c>
      <c r="D896" s="189">
        <v>83075.116064999995</v>
      </c>
      <c r="E896" s="3">
        <v>5275.3347709999998</v>
      </c>
      <c r="F896" s="194" t="s">
        <v>335</v>
      </c>
      <c r="G896" s="65"/>
      <c r="H896" s="65"/>
    </row>
    <row r="897" spans="1:17" x14ac:dyDescent="0.25">
      <c r="F897" s="194"/>
      <c r="G897" s="65"/>
      <c r="H897" s="65"/>
    </row>
    <row r="898" spans="1:17" x14ac:dyDescent="0.25">
      <c r="A898" s="3" t="s">
        <v>564</v>
      </c>
      <c r="F898" s="194"/>
      <c r="G898" s="65"/>
      <c r="H898" s="65"/>
    </row>
    <row r="899" spans="1:17" ht="20" thickBot="1" x14ac:dyDescent="0.3">
      <c r="A899" s="3" t="s">
        <v>2</v>
      </c>
      <c r="B899" s="3" t="s">
        <v>3</v>
      </c>
      <c r="C899" s="3" t="s">
        <v>504</v>
      </c>
      <c r="D899" s="189" t="s">
        <v>5</v>
      </c>
      <c r="E899" s="3" t="s">
        <v>505</v>
      </c>
      <c r="F899" s="194" t="s">
        <v>506</v>
      </c>
      <c r="G899" s="65"/>
      <c r="H899" s="65"/>
    </row>
    <row r="900" spans="1:17" x14ac:dyDescent="0.25">
      <c r="A900" s="3" t="s">
        <v>540</v>
      </c>
      <c r="B900" s="3" t="s">
        <v>333</v>
      </c>
      <c r="C900" s="3">
        <v>5</v>
      </c>
      <c r="D900" s="189">
        <v>1308163.22789</v>
      </c>
      <c r="E900" s="3">
        <v>93675.04393</v>
      </c>
      <c r="F900" s="194" t="s">
        <v>335</v>
      </c>
      <c r="G900" s="65"/>
      <c r="H900" s="65"/>
      <c r="J900" s="5" t="s">
        <v>497</v>
      </c>
      <c r="K900" s="72" t="s">
        <v>340</v>
      </c>
      <c r="L900" s="72" t="s">
        <v>341</v>
      </c>
      <c r="M900" s="17" t="s">
        <v>162</v>
      </c>
      <c r="N900" s="72" t="s">
        <v>342</v>
      </c>
      <c r="O900" s="21" t="s">
        <v>162</v>
      </c>
    </row>
    <row r="901" spans="1:17" x14ac:dyDescent="0.25">
      <c r="A901" s="3" t="s">
        <v>541</v>
      </c>
      <c r="B901" s="3" t="s">
        <v>333</v>
      </c>
      <c r="C901" s="3">
        <v>5</v>
      </c>
      <c r="D901" s="189">
        <v>506936.18894600001</v>
      </c>
      <c r="E901" s="3">
        <v>23216.835661000001</v>
      </c>
      <c r="F901" s="194" t="s">
        <v>335</v>
      </c>
      <c r="G901" s="65"/>
      <c r="H901" s="65"/>
      <c r="J901" s="6">
        <v>100000</v>
      </c>
      <c r="K901" s="119">
        <f>D900</f>
        <v>1308163.22789</v>
      </c>
      <c r="L901" s="119">
        <f>D901</f>
        <v>506936.18894600001</v>
      </c>
      <c r="M901" s="18">
        <f>(K901/L901-1)</f>
        <v>1.5805283907820367</v>
      </c>
      <c r="N901" s="73">
        <f>D902</f>
        <v>683739.62564500002</v>
      </c>
      <c r="O901" s="22">
        <f>(K901/N901-1)</f>
        <v>0.91324764402232095</v>
      </c>
    </row>
    <row r="902" spans="1:17" x14ac:dyDescent="0.25">
      <c r="A902" s="3" t="s">
        <v>542</v>
      </c>
      <c r="B902" s="3" t="s">
        <v>333</v>
      </c>
      <c r="C902" s="3">
        <v>5</v>
      </c>
      <c r="D902" s="189">
        <v>683739.62564500002</v>
      </c>
      <c r="E902" s="3">
        <v>336468.98521100002</v>
      </c>
      <c r="F902" s="194" t="s">
        <v>335</v>
      </c>
      <c r="G902" s="65"/>
      <c r="H902" s="65"/>
      <c r="J902" s="6">
        <v>50000</v>
      </c>
      <c r="K902" s="119">
        <f>D903</f>
        <v>565775.52843800001</v>
      </c>
      <c r="L902" s="119">
        <f>D904</f>
        <v>221733.68321399999</v>
      </c>
      <c r="M902" s="18">
        <f t="shared" ref="M902:M903" si="80">(K902/L902-1)</f>
        <v>1.5515993792064409</v>
      </c>
      <c r="N902" s="73">
        <f>D905</f>
        <v>522679.423006</v>
      </c>
      <c r="O902" s="22">
        <f t="shared" ref="O902:O903" si="81">(K902/N902-1)</f>
        <v>8.2452271000355237E-2</v>
      </c>
    </row>
    <row r="903" spans="1:17" ht="20" thickBot="1" x14ac:dyDescent="0.3">
      <c r="A903" s="3" t="s">
        <v>546</v>
      </c>
      <c r="B903" s="3" t="s">
        <v>333</v>
      </c>
      <c r="C903" s="3">
        <v>5</v>
      </c>
      <c r="D903" s="189">
        <v>565775.52843800001</v>
      </c>
      <c r="E903" s="3">
        <v>50229.365775999999</v>
      </c>
      <c r="F903" s="194" t="s">
        <v>335</v>
      </c>
      <c r="G903" s="65"/>
      <c r="H903" s="65"/>
      <c r="J903" s="7">
        <v>10000</v>
      </c>
      <c r="K903" s="120">
        <f>D906</f>
        <v>111420.515913</v>
      </c>
      <c r="L903" s="120">
        <f>D907</f>
        <v>43368.736947999998</v>
      </c>
      <c r="M903" s="19">
        <f t="shared" si="80"/>
        <v>1.5691436678590724</v>
      </c>
      <c r="N903" s="74">
        <f>D908</f>
        <v>49164.914491000003</v>
      </c>
      <c r="O903" s="23">
        <f t="shared" si="81"/>
        <v>1.2662607484733108</v>
      </c>
    </row>
    <row r="904" spans="1:17" x14ac:dyDescent="0.25">
      <c r="A904" s="3" t="s">
        <v>547</v>
      </c>
      <c r="B904" s="3" t="s">
        <v>333</v>
      </c>
      <c r="C904" s="3">
        <v>5</v>
      </c>
      <c r="D904" s="189">
        <v>221733.68321399999</v>
      </c>
      <c r="E904" s="3">
        <v>13045.169411000001</v>
      </c>
      <c r="F904" s="194" t="s">
        <v>335</v>
      </c>
      <c r="G904" s="65"/>
      <c r="H904" s="65"/>
    </row>
    <row r="905" spans="1:17" x14ac:dyDescent="0.25">
      <c r="A905" s="3" t="s">
        <v>548</v>
      </c>
      <c r="B905" s="3" t="s">
        <v>333</v>
      </c>
      <c r="C905" s="3">
        <v>5</v>
      </c>
      <c r="D905" s="189">
        <v>522679.423006</v>
      </c>
      <c r="E905" s="3">
        <v>114693.977295</v>
      </c>
      <c r="F905" s="194" t="s">
        <v>335</v>
      </c>
      <c r="G905" s="65"/>
      <c r="H905" s="65"/>
    </row>
    <row r="906" spans="1:17" x14ac:dyDescent="0.25">
      <c r="A906" s="3" t="s">
        <v>543</v>
      </c>
      <c r="B906" s="3" t="s">
        <v>333</v>
      </c>
      <c r="C906" s="3">
        <v>5</v>
      </c>
      <c r="D906" s="189">
        <v>111420.515913</v>
      </c>
      <c r="E906" s="3">
        <v>5385.9766790000003</v>
      </c>
      <c r="F906" s="194" t="s">
        <v>335</v>
      </c>
      <c r="G906" s="65"/>
      <c r="H906" s="65"/>
    </row>
    <row r="907" spans="1:17" x14ac:dyDescent="0.25">
      <c r="A907" s="3" t="s">
        <v>544</v>
      </c>
      <c r="B907" s="3" t="s">
        <v>333</v>
      </c>
      <c r="C907" s="3">
        <v>5</v>
      </c>
      <c r="D907" s="189">
        <v>43368.736947999998</v>
      </c>
      <c r="E907" s="3">
        <v>27691.729352999999</v>
      </c>
      <c r="F907" s="194" t="s">
        <v>335</v>
      </c>
      <c r="G907" s="65"/>
      <c r="H907" s="65"/>
    </row>
    <row r="908" spans="1:17" x14ac:dyDescent="0.25">
      <c r="A908" s="3" t="s">
        <v>545</v>
      </c>
      <c r="B908" s="3" t="s">
        <v>333</v>
      </c>
      <c r="C908" s="3">
        <v>5</v>
      </c>
      <c r="D908" s="189">
        <v>49164.914491000003</v>
      </c>
      <c r="E908" s="3">
        <v>1649.0477040000001</v>
      </c>
      <c r="F908" s="194" t="s">
        <v>335</v>
      </c>
      <c r="G908" s="65"/>
      <c r="H908" s="65"/>
    </row>
    <row r="909" spans="1:17" x14ac:dyDescent="0.25">
      <c r="F909" s="194"/>
      <c r="G909" s="65"/>
      <c r="H909" s="65"/>
    </row>
    <row r="910" spans="1:17" x14ac:dyDescent="0.25">
      <c r="A910" s="3" t="s">
        <v>168</v>
      </c>
      <c r="F910" s="194"/>
      <c r="G910" s="65"/>
      <c r="H910" s="65"/>
    </row>
    <row r="911" spans="1:17" ht="20" thickBot="1" x14ac:dyDescent="0.3">
      <c r="A911" s="3" t="s">
        <v>2</v>
      </c>
      <c r="B911" s="3" t="s">
        <v>3</v>
      </c>
      <c r="C911" s="3" t="s">
        <v>504</v>
      </c>
      <c r="D911" s="189" t="s">
        <v>5</v>
      </c>
      <c r="E911" s="3" t="s">
        <v>505</v>
      </c>
      <c r="F911" s="194" t="s">
        <v>506</v>
      </c>
      <c r="G911" s="65"/>
      <c r="H911" s="65"/>
    </row>
    <row r="912" spans="1:17" x14ac:dyDescent="0.25">
      <c r="A912" s="3" t="s">
        <v>549</v>
      </c>
      <c r="B912" s="3" t="s">
        <v>333</v>
      </c>
      <c r="C912" s="3">
        <v>5</v>
      </c>
      <c r="D912" s="189">
        <v>31482929.556931999</v>
      </c>
      <c r="E912" s="3">
        <v>4723092.8652050002</v>
      </c>
      <c r="F912" s="194" t="s">
        <v>335</v>
      </c>
      <c r="G912" s="65"/>
      <c r="H912" s="65"/>
      <c r="J912" s="5" t="s">
        <v>503</v>
      </c>
      <c r="K912" s="72" t="s">
        <v>344</v>
      </c>
      <c r="L912" s="72" t="s">
        <v>341</v>
      </c>
      <c r="M912" s="17" t="s">
        <v>162</v>
      </c>
      <c r="N912" s="72" t="s">
        <v>343</v>
      </c>
      <c r="O912" s="21" t="s">
        <v>162</v>
      </c>
      <c r="P912" s="72" t="s">
        <v>342</v>
      </c>
      <c r="Q912" s="21" t="s">
        <v>162</v>
      </c>
    </row>
    <row r="913" spans="1:17" x14ac:dyDescent="0.25">
      <c r="A913" s="3" t="s">
        <v>550</v>
      </c>
      <c r="B913" s="3" t="s">
        <v>333</v>
      </c>
      <c r="C913" s="3">
        <v>5</v>
      </c>
      <c r="D913" s="189">
        <v>12459345.151258999</v>
      </c>
      <c r="E913" s="3">
        <v>1794058.3861070001</v>
      </c>
      <c r="F913" s="194" t="s">
        <v>335</v>
      </c>
      <c r="G913" s="65"/>
      <c r="H913" s="65"/>
      <c r="J913" s="6">
        <v>100000</v>
      </c>
      <c r="K913" s="119">
        <f>D912</f>
        <v>31482929.556931999</v>
      </c>
      <c r="L913" s="119">
        <f>D913</f>
        <v>12459345.151258999</v>
      </c>
      <c r="M913" s="18">
        <f>(K913/L913-1)</f>
        <v>1.5268526696004319</v>
      </c>
      <c r="N913" s="73">
        <f>D914</f>
        <v>11225819.079104001</v>
      </c>
      <c r="O913" s="22">
        <f>(K913/N913-1)</f>
        <v>1.8045106851521466</v>
      </c>
      <c r="P913" s="73">
        <f>D915</f>
        <v>38033851.857426003</v>
      </c>
      <c r="Q913" s="22">
        <f>(K913/P913-1)</f>
        <v>-0.17223925478415503</v>
      </c>
    </row>
    <row r="914" spans="1:17" x14ac:dyDescent="0.25">
      <c r="A914" s="3" t="s">
        <v>551</v>
      </c>
      <c r="B914" s="3" t="s">
        <v>333</v>
      </c>
      <c r="C914" s="3">
        <v>5</v>
      </c>
      <c r="D914" s="189">
        <v>11225819.079104001</v>
      </c>
      <c r="E914" s="3">
        <v>3378052.1876210002</v>
      </c>
      <c r="F914" s="194" t="s">
        <v>335</v>
      </c>
      <c r="G914" s="65"/>
      <c r="H914" s="65"/>
      <c r="J914" s="6">
        <v>50000</v>
      </c>
      <c r="K914" s="119">
        <f>D916</f>
        <v>14561148.229813</v>
      </c>
      <c r="L914" s="119">
        <f>D917</f>
        <v>2782573.4390969998</v>
      </c>
      <c r="M914" s="18">
        <f t="shared" ref="M914:M915" si="82">(K914/L914-1)</f>
        <v>4.2329789486305103</v>
      </c>
      <c r="N914" s="73">
        <f>D918</f>
        <v>2733390.934376</v>
      </c>
      <c r="O914" s="22">
        <f t="shared" ref="O914:O915" si="83">(K914/N914-1)</f>
        <v>4.3271370906690789</v>
      </c>
      <c r="P914" s="73">
        <f>D919</f>
        <v>15083392.024627</v>
      </c>
      <c r="Q914" s="22">
        <f t="shared" ref="Q914:Q915" si="84">(K914/P914-1)</f>
        <v>-3.4623763272964125E-2</v>
      </c>
    </row>
    <row r="915" spans="1:17" ht="20" thickBot="1" x14ac:dyDescent="0.3">
      <c r="A915" s="3" t="s">
        <v>552</v>
      </c>
      <c r="B915" s="3" t="s">
        <v>333</v>
      </c>
      <c r="C915" s="3">
        <v>5</v>
      </c>
      <c r="D915" s="189">
        <v>38033851.857426003</v>
      </c>
      <c r="E915" s="3">
        <v>2312961.5694860001</v>
      </c>
      <c r="F915" s="194" t="s">
        <v>335</v>
      </c>
      <c r="G915" s="65"/>
      <c r="H915" s="65"/>
      <c r="J915" s="7">
        <v>10000</v>
      </c>
      <c r="K915" s="120">
        <f>D920</f>
        <v>1500117.208225</v>
      </c>
      <c r="L915" s="120">
        <f>D921</f>
        <v>448241.448072</v>
      </c>
      <c r="M915" s="19">
        <f t="shared" si="82"/>
        <v>2.3466722336307453</v>
      </c>
      <c r="N915" s="74">
        <f>D922</f>
        <v>408101.41033899999</v>
      </c>
      <c r="O915" s="23">
        <f t="shared" si="83"/>
        <v>2.6758442147477237</v>
      </c>
      <c r="P915" s="74">
        <f>D923</f>
        <v>1034252.063568</v>
      </c>
      <c r="Q915" s="23">
        <f t="shared" si="84"/>
        <v>0.4504367562486089</v>
      </c>
    </row>
    <row r="916" spans="1:17" x14ac:dyDescent="0.25">
      <c r="A916" s="3" t="s">
        <v>557</v>
      </c>
      <c r="B916" s="3" t="s">
        <v>333</v>
      </c>
      <c r="C916" s="3">
        <v>5</v>
      </c>
      <c r="D916" s="189">
        <v>14561148.229813</v>
      </c>
      <c r="E916" s="3">
        <v>1877602.862008</v>
      </c>
      <c r="F916" s="194" t="s">
        <v>335</v>
      </c>
      <c r="G916" s="65"/>
      <c r="H916" s="65"/>
    </row>
    <row r="917" spans="1:17" x14ac:dyDescent="0.25">
      <c r="A917" s="3" t="s">
        <v>558</v>
      </c>
      <c r="B917" s="3" t="s">
        <v>333</v>
      </c>
      <c r="C917" s="3">
        <v>5</v>
      </c>
      <c r="D917" s="189">
        <v>2782573.4390969998</v>
      </c>
      <c r="E917" s="3">
        <v>378734.89959099999</v>
      </c>
      <c r="F917" s="194" t="s">
        <v>335</v>
      </c>
      <c r="G917" s="65"/>
      <c r="H917" s="65"/>
    </row>
    <row r="918" spans="1:17" x14ac:dyDescent="0.25">
      <c r="A918" s="3" t="s">
        <v>559</v>
      </c>
      <c r="B918" s="3" t="s">
        <v>333</v>
      </c>
      <c r="C918" s="3">
        <v>5</v>
      </c>
      <c r="D918" s="189">
        <v>2733390.934376</v>
      </c>
      <c r="E918" s="3">
        <v>470566.04505900003</v>
      </c>
      <c r="F918" s="194" t="s">
        <v>335</v>
      </c>
      <c r="G918" s="65"/>
      <c r="H918" s="65"/>
    </row>
    <row r="919" spans="1:17" x14ac:dyDescent="0.25">
      <c r="A919" s="3" t="s">
        <v>560</v>
      </c>
      <c r="B919" s="3" t="s">
        <v>333</v>
      </c>
      <c r="C919" s="3">
        <v>5</v>
      </c>
      <c r="D919" s="189">
        <v>15083392.024627</v>
      </c>
      <c r="E919" s="3">
        <v>1252493.4066639999</v>
      </c>
      <c r="F919" s="194" t="s">
        <v>335</v>
      </c>
      <c r="G919" s="65"/>
      <c r="H919" s="65"/>
    </row>
    <row r="920" spans="1:17" x14ac:dyDescent="0.25">
      <c r="A920" s="3" t="s">
        <v>553</v>
      </c>
      <c r="B920" s="3" t="s">
        <v>333</v>
      </c>
      <c r="C920" s="3">
        <v>5</v>
      </c>
      <c r="D920" s="189">
        <v>1500117.208225</v>
      </c>
      <c r="E920" s="3">
        <v>232779.533597</v>
      </c>
      <c r="F920" s="194" t="s">
        <v>335</v>
      </c>
      <c r="G920" s="65"/>
      <c r="H920" s="65"/>
    </row>
    <row r="921" spans="1:17" x14ac:dyDescent="0.25">
      <c r="A921" s="3" t="s">
        <v>554</v>
      </c>
      <c r="B921" s="3" t="s">
        <v>333</v>
      </c>
      <c r="C921" s="3">
        <v>5</v>
      </c>
      <c r="D921" s="189">
        <v>448241.448072</v>
      </c>
      <c r="E921" s="3">
        <v>30396.238701999999</v>
      </c>
      <c r="F921" s="194" t="s">
        <v>335</v>
      </c>
      <c r="G921" s="65"/>
      <c r="H921" s="65"/>
    </row>
    <row r="922" spans="1:17" x14ac:dyDescent="0.25">
      <c r="A922" s="3" t="s">
        <v>555</v>
      </c>
      <c r="B922" s="3" t="s">
        <v>333</v>
      </c>
      <c r="C922" s="3">
        <v>5</v>
      </c>
      <c r="D922" s="189">
        <v>408101.41033899999</v>
      </c>
      <c r="E922" s="3">
        <v>31566.803766000001</v>
      </c>
      <c r="F922" s="194" t="s">
        <v>335</v>
      </c>
      <c r="G922" s="65"/>
      <c r="H922" s="65"/>
    </row>
    <row r="923" spans="1:17" x14ac:dyDescent="0.25">
      <c r="A923" s="3" t="s">
        <v>556</v>
      </c>
      <c r="B923" s="3" t="s">
        <v>333</v>
      </c>
      <c r="C923" s="3">
        <v>5</v>
      </c>
      <c r="D923" s="189">
        <v>1034252.063568</v>
      </c>
      <c r="E923" s="3">
        <v>115423.12274599999</v>
      </c>
      <c r="F923" s="194" t="s">
        <v>335</v>
      </c>
      <c r="G923" s="65"/>
      <c r="H923" s="65"/>
    </row>
    <row r="925" spans="1:17" x14ac:dyDescent="0.25">
      <c r="A925" s="30" t="s">
        <v>0</v>
      </c>
      <c r="B925" s="30" t="s">
        <v>1</v>
      </c>
      <c r="C925" s="30"/>
      <c r="D925" s="190"/>
      <c r="E925" s="30"/>
      <c r="F925" s="190"/>
      <c r="G925" s="30"/>
      <c r="H925" s="30"/>
    </row>
    <row r="926" spans="1:17" ht="20" thickBot="1" x14ac:dyDescent="0.3">
      <c r="A926" s="30" t="s">
        <v>2</v>
      </c>
      <c r="B926" s="30" t="s">
        <v>3</v>
      </c>
      <c r="C926" s="30" t="s">
        <v>4</v>
      </c>
      <c r="D926" s="190" t="s">
        <v>5</v>
      </c>
      <c r="E926" s="30" t="s">
        <v>6</v>
      </c>
      <c r="F926" s="190" t="s">
        <v>7</v>
      </c>
      <c r="G926" s="30"/>
      <c r="H926" s="30"/>
    </row>
    <row r="927" spans="1:17" x14ac:dyDescent="0.25">
      <c r="A927" s="30" t="s">
        <v>431</v>
      </c>
      <c r="B927" s="30" t="s">
        <v>333</v>
      </c>
      <c r="C927" s="30">
        <v>25</v>
      </c>
      <c r="D927" s="190">
        <v>3791285.199</v>
      </c>
      <c r="E927" s="30" t="s">
        <v>10</v>
      </c>
      <c r="F927" s="190">
        <v>24383.348000000002</v>
      </c>
      <c r="G927" s="30" t="s">
        <v>335</v>
      </c>
      <c r="H927" s="30"/>
      <c r="J927" s="5" t="s">
        <v>491</v>
      </c>
      <c r="K927" s="72" t="s">
        <v>340</v>
      </c>
      <c r="L927" s="72" t="s">
        <v>341</v>
      </c>
      <c r="M927" s="17" t="s">
        <v>162</v>
      </c>
      <c r="N927" s="72" t="s">
        <v>342</v>
      </c>
      <c r="O927" s="21" t="s">
        <v>162</v>
      </c>
    </row>
    <row r="928" spans="1:17" x14ac:dyDescent="0.25">
      <c r="A928" s="30" t="s">
        <v>432</v>
      </c>
      <c r="B928" s="30" t="s">
        <v>333</v>
      </c>
      <c r="C928" s="30">
        <v>25</v>
      </c>
      <c r="D928" s="190">
        <v>8304898.852</v>
      </c>
      <c r="E928" s="30" t="s">
        <v>10</v>
      </c>
      <c r="F928" s="190">
        <v>99658.596000000005</v>
      </c>
      <c r="G928" s="30" t="s">
        <v>335</v>
      </c>
      <c r="H928" s="30"/>
      <c r="J928" s="6">
        <v>100000</v>
      </c>
      <c r="K928" s="119">
        <f>D927</f>
        <v>3791285.199</v>
      </c>
      <c r="L928" s="119">
        <f>D928</f>
        <v>8304898.852</v>
      </c>
      <c r="M928" s="18">
        <f>(K928/L928-1)</f>
        <v>-0.54348809460972825</v>
      </c>
      <c r="N928" s="73">
        <f>D929</f>
        <v>5695255.7010000004</v>
      </c>
      <c r="O928" s="22">
        <f>(K928/N928-1)</f>
        <v>-0.33430816840509758</v>
      </c>
    </row>
    <row r="929" spans="1:15" x14ac:dyDescent="0.25">
      <c r="A929" s="30" t="s">
        <v>433</v>
      </c>
      <c r="B929" s="30" t="s">
        <v>333</v>
      </c>
      <c r="C929" s="30">
        <v>25</v>
      </c>
      <c r="D929" s="190">
        <v>5695255.7010000004</v>
      </c>
      <c r="E929" s="30" t="s">
        <v>10</v>
      </c>
      <c r="F929" s="190">
        <v>24999.467000000001</v>
      </c>
      <c r="G929" s="30" t="s">
        <v>335</v>
      </c>
      <c r="H929" s="30"/>
      <c r="J929" s="6">
        <v>50000</v>
      </c>
      <c r="K929" s="119">
        <f>D930</f>
        <v>1866350.952</v>
      </c>
      <c r="L929" s="119">
        <f>D931</f>
        <v>4231674.8590000002</v>
      </c>
      <c r="M929" s="18">
        <f t="shared" ref="M929:M930" si="85">(K929/L929-1)</f>
        <v>-0.55895691087168187</v>
      </c>
      <c r="N929" s="73">
        <f>D932</f>
        <v>2818331.2039999999</v>
      </c>
      <c r="O929" s="22">
        <f t="shared" ref="O929:O930" si="86">(K929/N929-1)</f>
        <v>-0.3377815391778205</v>
      </c>
    </row>
    <row r="930" spans="1:15" ht="20" thickBot="1" x14ac:dyDescent="0.3">
      <c r="A930" s="30" t="s">
        <v>434</v>
      </c>
      <c r="B930" s="30" t="s">
        <v>333</v>
      </c>
      <c r="C930" s="30">
        <v>25</v>
      </c>
      <c r="D930" s="190">
        <v>1866350.952</v>
      </c>
      <c r="E930" s="30" t="s">
        <v>10</v>
      </c>
      <c r="F930" s="190">
        <v>4936.5429999999997</v>
      </c>
      <c r="G930" s="30" t="s">
        <v>335</v>
      </c>
      <c r="H930" s="30"/>
      <c r="J930" s="7">
        <v>10000</v>
      </c>
      <c r="K930" s="120">
        <f>D933</f>
        <v>383859.62</v>
      </c>
      <c r="L930" s="120">
        <f>D934</f>
        <v>864389.75899999996</v>
      </c>
      <c r="M930" s="19">
        <f t="shared" si="85"/>
        <v>-0.55591836205454159</v>
      </c>
      <c r="N930" s="74">
        <f>D935</f>
        <v>566076.48</v>
      </c>
      <c r="O930" s="23">
        <f t="shared" si="86"/>
        <v>-0.32189441963743126</v>
      </c>
    </row>
    <row r="931" spans="1:15" x14ac:dyDescent="0.25">
      <c r="A931" s="30" t="s">
        <v>435</v>
      </c>
      <c r="B931" s="30" t="s">
        <v>333</v>
      </c>
      <c r="C931" s="30">
        <v>25</v>
      </c>
      <c r="D931" s="190">
        <v>4231674.8590000002</v>
      </c>
      <c r="E931" s="30" t="s">
        <v>10</v>
      </c>
      <c r="F931" s="190">
        <v>56577.252</v>
      </c>
      <c r="G931" s="30" t="s">
        <v>335</v>
      </c>
      <c r="H931" s="30"/>
    </row>
    <row r="932" spans="1:15" x14ac:dyDescent="0.25">
      <c r="A932" s="30" t="s">
        <v>436</v>
      </c>
      <c r="B932" s="30" t="s">
        <v>333</v>
      </c>
      <c r="C932" s="30">
        <v>25</v>
      </c>
      <c r="D932" s="190">
        <v>2818331.2039999999</v>
      </c>
      <c r="E932" s="30" t="s">
        <v>10</v>
      </c>
      <c r="F932" s="190">
        <v>14567.242</v>
      </c>
      <c r="G932" s="30" t="s">
        <v>335</v>
      </c>
      <c r="H932" s="30"/>
    </row>
    <row r="933" spans="1:15" x14ac:dyDescent="0.25">
      <c r="A933" s="30" t="s">
        <v>437</v>
      </c>
      <c r="B933" s="30" t="s">
        <v>333</v>
      </c>
      <c r="C933" s="30">
        <v>25</v>
      </c>
      <c r="D933" s="190">
        <v>383859.62</v>
      </c>
      <c r="E933" s="30" t="s">
        <v>10</v>
      </c>
      <c r="F933" s="190">
        <v>1862.4639999999999</v>
      </c>
      <c r="G933" s="30" t="s">
        <v>335</v>
      </c>
      <c r="H933" s="30"/>
    </row>
    <row r="934" spans="1:15" x14ac:dyDescent="0.25">
      <c r="A934" s="30" t="s">
        <v>438</v>
      </c>
      <c r="B934" s="30" t="s">
        <v>333</v>
      </c>
      <c r="C934" s="30">
        <v>25</v>
      </c>
      <c r="D934" s="190">
        <v>864389.75899999996</v>
      </c>
      <c r="E934" s="30" t="s">
        <v>10</v>
      </c>
      <c r="F934" s="190">
        <v>8576.1149999999998</v>
      </c>
      <c r="G934" s="30" t="s">
        <v>335</v>
      </c>
      <c r="H934" s="30"/>
    </row>
    <row r="935" spans="1:15" x14ac:dyDescent="0.25">
      <c r="A935" s="30" t="s">
        <v>439</v>
      </c>
      <c r="B935" s="30" t="s">
        <v>333</v>
      </c>
      <c r="C935" s="30">
        <v>25</v>
      </c>
      <c r="D935" s="190">
        <v>566076.48</v>
      </c>
      <c r="E935" s="30" t="s">
        <v>10</v>
      </c>
      <c r="F935" s="190">
        <v>2018.43</v>
      </c>
      <c r="G935" s="30" t="s">
        <v>335</v>
      </c>
      <c r="H935" s="30"/>
    </row>
    <row r="936" spans="1:15" x14ac:dyDescent="0.25">
      <c r="A936" s="30"/>
      <c r="B936" s="30"/>
      <c r="C936" s="30"/>
      <c r="D936" s="190"/>
      <c r="E936" s="30"/>
      <c r="F936" s="190"/>
      <c r="G936" s="30"/>
      <c r="H936" s="30"/>
    </row>
    <row r="937" spans="1:15" x14ac:dyDescent="0.25">
      <c r="A937" s="30" t="s">
        <v>0</v>
      </c>
      <c r="B937" s="30" t="s">
        <v>1</v>
      </c>
      <c r="C937" s="30"/>
      <c r="D937" s="190"/>
      <c r="E937" s="30"/>
      <c r="F937" s="190"/>
      <c r="G937" s="30"/>
      <c r="H937" s="30"/>
    </row>
    <row r="938" spans="1:15" ht="20" thickBot="1" x14ac:dyDescent="0.3">
      <c r="A938" s="30" t="s">
        <v>2</v>
      </c>
      <c r="B938" s="30" t="s">
        <v>3</v>
      </c>
      <c r="C938" s="30" t="s">
        <v>4</v>
      </c>
      <c r="D938" s="190" t="s">
        <v>5</v>
      </c>
      <c r="E938" s="30" t="s">
        <v>6</v>
      </c>
      <c r="F938" s="190" t="s">
        <v>7</v>
      </c>
      <c r="G938" s="30"/>
      <c r="H938" s="30"/>
    </row>
    <row r="939" spans="1:15" x14ac:dyDescent="0.25">
      <c r="A939" s="30" t="s">
        <v>447</v>
      </c>
      <c r="B939" s="30" t="s">
        <v>333</v>
      </c>
      <c r="C939" s="30">
        <v>25</v>
      </c>
      <c r="D939" s="190">
        <v>2012001.888</v>
      </c>
      <c r="E939" s="30" t="s">
        <v>10</v>
      </c>
      <c r="F939" s="190">
        <v>9619.2639999999992</v>
      </c>
      <c r="G939" s="30" t="s">
        <v>335</v>
      </c>
      <c r="H939" s="30"/>
      <c r="J939" s="5" t="s">
        <v>493</v>
      </c>
      <c r="K939" s="72" t="s">
        <v>340</v>
      </c>
      <c r="L939" s="72" t="s">
        <v>341</v>
      </c>
      <c r="M939" s="17" t="s">
        <v>162</v>
      </c>
      <c r="N939" s="72" t="s">
        <v>342</v>
      </c>
      <c r="O939" s="21" t="s">
        <v>162</v>
      </c>
    </row>
    <row r="940" spans="1:15" x14ac:dyDescent="0.25">
      <c r="A940" s="30" t="s">
        <v>448</v>
      </c>
      <c r="B940" s="30" t="s">
        <v>333</v>
      </c>
      <c r="C940" s="30">
        <v>25</v>
      </c>
      <c r="D940" s="190">
        <v>2657680.5720000002</v>
      </c>
      <c r="E940" s="30" t="s">
        <v>10</v>
      </c>
      <c r="F940" s="190">
        <v>118825.92</v>
      </c>
      <c r="G940" s="30" t="s">
        <v>335</v>
      </c>
      <c r="H940" s="30"/>
      <c r="J940" s="6">
        <v>100000</v>
      </c>
      <c r="K940" s="119">
        <f>D939</f>
        <v>2012001.888</v>
      </c>
      <c r="L940" s="119">
        <f>D940</f>
        <v>2657680.5720000002</v>
      </c>
      <c r="M940" s="18">
        <f>(K940/L940-1)</f>
        <v>-0.24294818978719612</v>
      </c>
      <c r="N940" s="73">
        <f>D941</f>
        <v>2872158.4849999999</v>
      </c>
      <c r="O940" s="22">
        <f>(K940/N940-1)</f>
        <v>-0.29948089615953066</v>
      </c>
    </row>
    <row r="941" spans="1:15" x14ac:dyDescent="0.25">
      <c r="A941" s="30" t="s">
        <v>449</v>
      </c>
      <c r="B941" s="30" t="s">
        <v>333</v>
      </c>
      <c r="C941" s="30">
        <v>25</v>
      </c>
      <c r="D941" s="190">
        <v>2872158.4849999999</v>
      </c>
      <c r="E941" s="30" t="s">
        <v>10</v>
      </c>
      <c r="F941" s="190">
        <v>15218.047</v>
      </c>
      <c r="G941" s="30" t="s">
        <v>335</v>
      </c>
      <c r="H941" s="30"/>
      <c r="J941" s="6">
        <v>50000</v>
      </c>
      <c r="K941" s="119">
        <f>D942</f>
        <v>1010920.4840000001</v>
      </c>
      <c r="L941" s="119">
        <f>D943</f>
        <v>1267286.8160000001</v>
      </c>
      <c r="M941" s="18">
        <f t="shared" ref="M941:M942" si="87">(K941/L941-1)</f>
        <v>-0.20229543049235044</v>
      </c>
      <c r="N941" s="73">
        <f>D944</f>
        <v>1386657.075</v>
      </c>
      <c r="O941" s="22">
        <f t="shared" ref="O941:O942" si="88">(K941/N941-1)</f>
        <v>-0.27096576202879863</v>
      </c>
    </row>
    <row r="942" spans="1:15" ht="20" thickBot="1" x14ac:dyDescent="0.3">
      <c r="A942" s="30" t="s">
        <v>450</v>
      </c>
      <c r="B942" s="30" t="s">
        <v>333</v>
      </c>
      <c r="C942" s="30">
        <v>25</v>
      </c>
      <c r="D942" s="190">
        <v>1010920.4840000001</v>
      </c>
      <c r="E942" s="30" t="s">
        <v>10</v>
      </c>
      <c r="F942" s="190">
        <v>4552.6379999999999</v>
      </c>
      <c r="G942" s="30" t="s">
        <v>335</v>
      </c>
      <c r="H942" s="30"/>
      <c r="J942" s="7">
        <v>10000</v>
      </c>
      <c r="K942" s="120">
        <f>D945</f>
        <v>206105.522</v>
      </c>
      <c r="L942" s="120">
        <f>D946</f>
        <v>250810.42800000001</v>
      </c>
      <c r="M942" s="19">
        <f t="shared" si="87"/>
        <v>-0.17824181536821915</v>
      </c>
      <c r="N942" s="74">
        <f>D947</f>
        <v>284332.76500000001</v>
      </c>
      <c r="O942" s="23">
        <f t="shared" si="88"/>
        <v>-0.27512567185143089</v>
      </c>
    </row>
    <row r="943" spans="1:15" x14ac:dyDescent="0.25">
      <c r="A943" s="30" t="s">
        <v>451</v>
      </c>
      <c r="B943" s="30" t="s">
        <v>333</v>
      </c>
      <c r="C943" s="30">
        <v>25</v>
      </c>
      <c r="D943" s="190">
        <v>1267286.8160000001</v>
      </c>
      <c r="E943" s="30" t="s">
        <v>10</v>
      </c>
      <c r="F943" s="190">
        <v>67155.766000000003</v>
      </c>
      <c r="G943" s="30" t="s">
        <v>335</v>
      </c>
      <c r="H943" s="30"/>
    </row>
    <row r="944" spans="1:15" x14ac:dyDescent="0.25">
      <c r="A944" s="30" t="s">
        <v>452</v>
      </c>
      <c r="B944" s="30" t="s">
        <v>333</v>
      </c>
      <c r="C944" s="30">
        <v>25</v>
      </c>
      <c r="D944" s="190">
        <v>1386657.075</v>
      </c>
      <c r="E944" s="30" t="s">
        <v>10</v>
      </c>
      <c r="F944" s="190">
        <v>32881.438999999998</v>
      </c>
      <c r="G944" s="30" t="s">
        <v>335</v>
      </c>
      <c r="H944" s="30"/>
    </row>
    <row r="945" spans="1:15" x14ac:dyDescent="0.25">
      <c r="A945" s="30" t="s">
        <v>453</v>
      </c>
      <c r="B945" s="30" t="s">
        <v>333</v>
      </c>
      <c r="C945" s="30">
        <v>25</v>
      </c>
      <c r="D945" s="190">
        <v>206105.522</v>
      </c>
      <c r="E945" s="30" t="s">
        <v>10</v>
      </c>
      <c r="F945" s="190">
        <v>933.88099999999997</v>
      </c>
      <c r="G945" s="30" t="s">
        <v>335</v>
      </c>
      <c r="H945" s="30"/>
    </row>
    <row r="946" spans="1:15" x14ac:dyDescent="0.25">
      <c r="A946" s="30" t="s">
        <v>454</v>
      </c>
      <c r="B946" s="30" t="s">
        <v>333</v>
      </c>
      <c r="C946" s="30">
        <v>25</v>
      </c>
      <c r="D946" s="190">
        <v>250810.42800000001</v>
      </c>
      <c r="E946" s="30" t="s">
        <v>10</v>
      </c>
      <c r="F946" s="190">
        <v>2008.261</v>
      </c>
      <c r="G946" s="30" t="s">
        <v>335</v>
      </c>
      <c r="H946" s="30"/>
    </row>
    <row r="947" spans="1:15" x14ac:dyDescent="0.25">
      <c r="A947" s="30" t="s">
        <v>455</v>
      </c>
      <c r="B947" s="30" t="s">
        <v>333</v>
      </c>
      <c r="C947" s="30">
        <v>25</v>
      </c>
      <c r="D947" s="190">
        <v>284332.76500000001</v>
      </c>
      <c r="E947" s="30" t="s">
        <v>10</v>
      </c>
      <c r="F947" s="190">
        <v>2250.4050000000002</v>
      </c>
      <c r="G947" s="30" t="s">
        <v>335</v>
      </c>
      <c r="H947" s="30"/>
    </row>
    <row r="948" spans="1:15" x14ac:dyDescent="0.25">
      <c r="A948" s="30"/>
      <c r="B948" s="30"/>
      <c r="C948" s="30"/>
      <c r="D948" s="190"/>
      <c r="E948" s="30"/>
      <c r="F948" s="190"/>
      <c r="G948" s="30"/>
      <c r="H948" s="30"/>
    </row>
    <row r="949" spans="1:15" x14ac:dyDescent="0.25">
      <c r="A949" s="30" t="s">
        <v>0</v>
      </c>
      <c r="B949" s="30" t="s">
        <v>1</v>
      </c>
      <c r="C949" s="30"/>
      <c r="D949" s="190"/>
      <c r="E949" s="30"/>
      <c r="F949" s="190"/>
      <c r="G949" s="30"/>
      <c r="H949" s="30"/>
    </row>
    <row r="950" spans="1:15" ht="20" thickBot="1" x14ac:dyDescent="0.3">
      <c r="A950" s="30" t="s">
        <v>2</v>
      </c>
      <c r="B950" s="30" t="s">
        <v>3</v>
      </c>
      <c r="C950" s="30" t="s">
        <v>4</v>
      </c>
      <c r="D950" s="190" t="s">
        <v>5</v>
      </c>
      <c r="E950" s="30" t="s">
        <v>6</v>
      </c>
      <c r="F950" s="190" t="s">
        <v>7</v>
      </c>
      <c r="G950" s="30"/>
      <c r="H950" s="30"/>
    </row>
    <row r="951" spans="1:15" x14ac:dyDescent="0.25">
      <c r="A951" s="30" t="s">
        <v>463</v>
      </c>
      <c r="B951" s="30" t="s">
        <v>333</v>
      </c>
      <c r="C951" s="30">
        <v>25</v>
      </c>
      <c r="D951" s="190">
        <v>1308621.618</v>
      </c>
      <c r="E951" s="30" t="s">
        <v>10</v>
      </c>
      <c r="F951" s="190">
        <v>7707.4750000000004</v>
      </c>
      <c r="G951" s="30" t="s">
        <v>335</v>
      </c>
      <c r="H951" s="30"/>
      <c r="J951" s="5" t="s">
        <v>492</v>
      </c>
      <c r="K951" s="72" t="s">
        <v>340</v>
      </c>
      <c r="L951" s="72" t="s">
        <v>341</v>
      </c>
      <c r="M951" s="17" t="s">
        <v>162</v>
      </c>
      <c r="N951" s="72" t="s">
        <v>342</v>
      </c>
      <c r="O951" s="21" t="s">
        <v>162</v>
      </c>
    </row>
    <row r="952" spans="1:15" x14ac:dyDescent="0.25">
      <c r="A952" s="30" t="s">
        <v>464</v>
      </c>
      <c r="B952" s="30" t="s">
        <v>333</v>
      </c>
      <c r="C952" s="30">
        <v>25</v>
      </c>
      <c r="D952" s="190">
        <v>1349781.172</v>
      </c>
      <c r="E952" s="30" t="s">
        <v>10</v>
      </c>
      <c r="F952" s="190">
        <v>42145.66</v>
      </c>
      <c r="G952" s="30" t="s">
        <v>335</v>
      </c>
      <c r="H952" s="30"/>
      <c r="J952" s="6">
        <v>100000</v>
      </c>
      <c r="K952" s="119">
        <f>D951</f>
        <v>1308621.618</v>
      </c>
      <c r="L952" s="119">
        <f>D952</f>
        <v>1349781.172</v>
      </c>
      <c r="M952" s="18">
        <f>(K952/L952-1)</f>
        <v>-3.049350135697404E-2</v>
      </c>
      <c r="N952" s="73">
        <f>D953</f>
        <v>1654061.5009999999</v>
      </c>
      <c r="O952" s="22">
        <f>(K952/N952-1)</f>
        <v>-0.20884343344619083</v>
      </c>
    </row>
    <row r="953" spans="1:15" x14ac:dyDescent="0.25">
      <c r="A953" s="30" t="s">
        <v>465</v>
      </c>
      <c r="B953" s="30" t="s">
        <v>333</v>
      </c>
      <c r="C953" s="30">
        <v>25</v>
      </c>
      <c r="D953" s="190">
        <v>1654061.5009999999</v>
      </c>
      <c r="E953" s="30" t="s">
        <v>10</v>
      </c>
      <c r="F953" s="190">
        <v>97775.642000000007</v>
      </c>
      <c r="G953" s="30" t="s">
        <v>335</v>
      </c>
      <c r="H953" s="30"/>
      <c r="J953" s="6">
        <v>50000</v>
      </c>
      <c r="K953" s="119">
        <f>D954</f>
        <v>641533.80500000005</v>
      </c>
      <c r="L953" s="119">
        <f>D955</f>
        <v>671821.22499999998</v>
      </c>
      <c r="M953" s="18">
        <f t="shared" ref="M953:M954" si="89">(K953/L953-1)</f>
        <v>-4.5082558979883225E-2</v>
      </c>
      <c r="N953" s="73">
        <f>D956</f>
        <v>849776.09400000004</v>
      </c>
      <c r="O953" s="22">
        <f t="shared" ref="O953:O954" si="90">(K953/N953-1)</f>
        <v>-0.24505548046165671</v>
      </c>
    </row>
    <row r="954" spans="1:15" ht="20" thickBot="1" x14ac:dyDescent="0.3">
      <c r="A954" s="30" t="s">
        <v>466</v>
      </c>
      <c r="B954" s="30" t="s">
        <v>333</v>
      </c>
      <c r="C954" s="30">
        <v>25</v>
      </c>
      <c r="D954" s="190">
        <v>641533.80500000005</v>
      </c>
      <c r="E954" s="30" t="s">
        <v>10</v>
      </c>
      <c r="F954" s="190">
        <v>2745.578</v>
      </c>
      <c r="G954" s="30" t="s">
        <v>335</v>
      </c>
      <c r="H954" s="30"/>
      <c r="J954" s="7">
        <v>10000</v>
      </c>
      <c r="K954" s="120">
        <f>D957</f>
        <v>134840.38500000001</v>
      </c>
      <c r="L954" s="120">
        <f>D958</f>
        <v>132628.364</v>
      </c>
      <c r="M954" s="19">
        <f t="shared" si="89"/>
        <v>1.6678340388787571E-2</v>
      </c>
      <c r="N954" s="74">
        <f>D959</f>
        <v>145158.386</v>
      </c>
      <c r="O954" s="23">
        <f t="shared" si="90"/>
        <v>-7.108098460119272E-2</v>
      </c>
    </row>
    <row r="955" spans="1:15" x14ac:dyDescent="0.25">
      <c r="A955" s="30" t="s">
        <v>467</v>
      </c>
      <c r="B955" s="30" t="s">
        <v>333</v>
      </c>
      <c r="C955" s="30">
        <v>25</v>
      </c>
      <c r="D955" s="190">
        <v>671821.22499999998</v>
      </c>
      <c r="E955" s="30" t="s">
        <v>10</v>
      </c>
      <c r="F955" s="190">
        <v>15068.195</v>
      </c>
      <c r="G955" s="30" t="s">
        <v>335</v>
      </c>
      <c r="H955" s="30"/>
    </row>
    <row r="956" spans="1:15" x14ac:dyDescent="0.25">
      <c r="A956" s="30" t="s">
        <v>468</v>
      </c>
      <c r="B956" s="30" t="s">
        <v>333</v>
      </c>
      <c r="C956" s="30">
        <v>25</v>
      </c>
      <c r="D956" s="190">
        <v>849776.09400000004</v>
      </c>
      <c r="E956" s="30" t="s">
        <v>10</v>
      </c>
      <c r="F956" s="190">
        <v>31732.481</v>
      </c>
      <c r="G956" s="30" t="s">
        <v>335</v>
      </c>
      <c r="H956" s="30"/>
    </row>
    <row r="957" spans="1:15" x14ac:dyDescent="0.25">
      <c r="A957" s="30" t="s">
        <v>469</v>
      </c>
      <c r="B957" s="30" t="s">
        <v>333</v>
      </c>
      <c r="C957" s="30">
        <v>25</v>
      </c>
      <c r="D957" s="190">
        <v>134840.38500000001</v>
      </c>
      <c r="E957" s="30" t="s">
        <v>10</v>
      </c>
      <c r="F957" s="190">
        <v>565.49</v>
      </c>
      <c r="G957" s="30" t="s">
        <v>335</v>
      </c>
      <c r="H957" s="30"/>
    </row>
    <row r="958" spans="1:15" x14ac:dyDescent="0.25">
      <c r="A958" s="30" t="s">
        <v>470</v>
      </c>
      <c r="B958" s="30" t="s">
        <v>333</v>
      </c>
      <c r="C958" s="30">
        <v>25</v>
      </c>
      <c r="D958" s="190">
        <v>132628.364</v>
      </c>
      <c r="E958" s="30" t="s">
        <v>10</v>
      </c>
      <c r="F958" s="190">
        <v>871.32</v>
      </c>
      <c r="G958" s="30" t="s">
        <v>335</v>
      </c>
      <c r="H958" s="30"/>
    </row>
    <row r="959" spans="1:15" x14ac:dyDescent="0.25">
      <c r="A959" s="30" t="s">
        <v>471</v>
      </c>
      <c r="B959" s="30" t="s">
        <v>333</v>
      </c>
      <c r="C959" s="30">
        <v>25</v>
      </c>
      <c r="D959" s="190">
        <v>145158.386</v>
      </c>
      <c r="E959" s="30" t="s">
        <v>10</v>
      </c>
      <c r="F959" s="190">
        <v>2913.1869999999999</v>
      </c>
      <c r="G959" s="30" t="s">
        <v>335</v>
      </c>
      <c r="H959" s="30"/>
    </row>
    <row r="960" spans="1:15" x14ac:dyDescent="0.25">
      <c r="A960" s="30"/>
      <c r="B960" s="30"/>
      <c r="C960" s="30"/>
      <c r="D960" s="190"/>
      <c r="E960" s="30"/>
      <c r="F960" s="190"/>
      <c r="G960" s="30"/>
      <c r="H960" s="30"/>
    </row>
    <row r="961" spans="1:17" x14ac:dyDescent="0.25">
      <c r="A961" s="30" t="s">
        <v>0</v>
      </c>
      <c r="B961" s="30" t="s">
        <v>1</v>
      </c>
      <c r="C961" s="30"/>
      <c r="D961" s="190"/>
      <c r="E961" s="30"/>
      <c r="F961" s="190"/>
      <c r="G961" s="30"/>
      <c r="H961" s="30"/>
    </row>
    <row r="962" spans="1:17" ht="20" thickBot="1" x14ac:dyDescent="0.3">
      <c r="A962" s="30" t="s">
        <v>2</v>
      </c>
      <c r="B962" s="30" t="s">
        <v>3</v>
      </c>
      <c r="C962" s="30" t="s">
        <v>4</v>
      </c>
      <c r="D962" s="190" t="s">
        <v>5</v>
      </c>
      <c r="E962" s="30" t="s">
        <v>6</v>
      </c>
      <c r="F962" s="190" t="s">
        <v>7</v>
      </c>
      <c r="G962" s="30"/>
      <c r="H962" s="30"/>
    </row>
    <row r="963" spans="1:17" x14ac:dyDescent="0.25">
      <c r="A963" s="30" t="s">
        <v>101</v>
      </c>
      <c r="B963" s="30" t="s">
        <v>333</v>
      </c>
      <c r="C963" s="30">
        <v>25</v>
      </c>
      <c r="D963" s="190">
        <v>1389812.588</v>
      </c>
      <c r="E963" s="30" t="s">
        <v>10</v>
      </c>
      <c r="F963" s="190">
        <v>8636.7369999999992</v>
      </c>
      <c r="G963" s="30" t="s">
        <v>335</v>
      </c>
      <c r="H963" s="30"/>
      <c r="J963" s="5" t="s">
        <v>565</v>
      </c>
      <c r="K963" s="72" t="s">
        <v>344</v>
      </c>
      <c r="L963" s="72" t="s">
        <v>341</v>
      </c>
      <c r="M963" s="17" t="s">
        <v>162</v>
      </c>
      <c r="N963" s="72" t="s">
        <v>343</v>
      </c>
      <c r="O963" s="21" t="s">
        <v>162</v>
      </c>
      <c r="P963" s="72" t="s">
        <v>342</v>
      </c>
      <c r="Q963" s="21" t="s">
        <v>162</v>
      </c>
    </row>
    <row r="964" spans="1:17" x14ac:dyDescent="0.25">
      <c r="A964" s="30" t="s">
        <v>102</v>
      </c>
      <c r="B964" s="30" t="s">
        <v>333</v>
      </c>
      <c r="C964" s="30">
        <v>25</v>
      </c>
      <c r="D964" s="190">
        <v>1861595.743</v>
      </c>
      <c r="E964" s="30" t="s">
        <v>10</v>
      </c>
      <c r="F964" s="190">
        <v>29659.937999999998</v>
      </c>
      <c r="G964" s="30" t="s">
        <v>335</v>
      </c>
      <c r="H964" s="30"/>
      <c r="J964" s="6">
        <v>100000</v>
      </c>
      <c r="K964" s="119">
        <f>D963</f>
        <v>1389812.588</v>
      </c>
      <c r="L964" s="119">
        <f>D964</f>
        <v>1861595.743</v>
      </c>
      <c r="M964" s="18">
        <f>(K964/L964-1)</f>
        <v>-0.25342943373930993</v>
      </c>
      <c r="N964" s="73">
        <f>D965</f>
        <v>1557895.7220000001</v>
      </c>
      <c r="O964" s="22">
        <f>(K964/N964-1)</f>
        <v>-0.10789113265181693</v>
      </c>
      <c r="P964" s="73">
        <f>D966</f>
        <v>1885208.919</v>
      </c>
      <c r="Q964" s="22">
        <f>(K964/P964-1)</f>
        <v>-0.26278060007417137</v>
      </c>
    </row>
    <row r="965" spans="1:17" x14ac:dyDescent="0.25">
      <c r="A965" s="30" t="s">
        <v>103</v>
      </c>
      <c r="B965" s="30" t="s">
        <v>333</v>
      </c>
      <c r="C965" s="30">
        <v>25</v>
      </c>
      <c r="D965" s="190">
        <v>1557895.7220000001</v>
      </c>
      <c r="E965" s="30" t="s">
        <v>10</v>
      </c>
      <c r="F965" s="190">
        <v>31131.620999999999</v>
      </c>
      <c r="G965" s="30" t="s">
        <v>335</v>
      </c>
      <c r="H965" s="30"/>
      <c r="J965" s="6">
        <v>50000</v>
      </c>
      <c r="K965" s="119">
        <f>D967</f>
        <v>670201.10499999998</v>
      </c>
      <c r="L965" s="119">
        <f>D968</f>
        <v>872561.10499999998</v>
      </c>
      <c r="M965" s="18">
        <f t="shared" ref="M965:M966" si="91">(K965/L965-1)</f>
        <v>-0.23191499006823135</v>
      </c>
      <c r="N965" s="73">
        <f>D969</f>
        <v>744016.87199999997</v>
      </c>
      <c r="O965" s="22">
        <f t="shared" ref="O965:O966" si="92">(K965/N965-1)</f>
        <v>-9.9212490708140866E-2</v>
      </c>
      <c r="P965" s="73">
        <f>D970</f>
        <v>862493.33799999999</v>
      </c>
      <c r="Q965" s="22">
        <f t="shared" ref="Q965:Q966" si="93">(K965/P965-1)</f>
        <v>-0.2229492385945826</v>
      </c>
    </row>
    <row r="966" spans="1:17" ht="20" thickBot="1" x14ac:dyDescent="0.3">
      <c r="A966" s="30" t="s">
        <v>104</v>
      </c>
      <c r="B966" s="30" t="s">
        <v>333</v>
      </c>
      <c r="C966" s="30">
        <v>25</v>
      </c>
      <c r="D966" s="190">
        <v>1885208.919</v>
      </c>
      <c r="E966" s="30" t="s">
        <v>10</v>
      </c>
      <c r="F966" s="190">
        <v>19446.287</v>
      </c>
      <c r="G966" s="30" t="s">
        <v>335</v>
      </c>
      <c r="H966" s="30"/>
      <c r="J966" s="7">
        <v>10000</v>
      </c>
      <c r="K966" s="120">
        <f>D971</f>
        <v>134184.878</v>
      </c>
      <c r="L966" s="120">
        <f>D972</f>
        <v>165672.35200000001</v>
      </c>
      <c r="M966" s="19">
        <f t="shared" si="91"/>
        <v>-0.19005871299515331</v>
      </c>
      <c r="N966" s="74">
        <f>D973</f>
        <v>187124.91800000001</v>
      </c>
      <c r="O966" s="23">
        <f t="shared" si="92"/>
        <v>-0.28291282938598272</v>
      </c>
      <c r="P966" s="74">
        <f>D974</f>
        <v>174383.522</v>
      </c>
      <c r="Q966" s="23">
        <f t="shared" si="93"/>
        <v>-0.23051859223258486</v>
      </c>
    </row>
    <row r="967" spans="1:17" x14ac:dyDescent="0.25">
      <c r="A967" s="30" t="s">
        <v>117</v>
      </c>
      <c r="B967" s="30" t="s">
        <v>333</v>
      </c>
      <c r="C967" s="30">
        <v>25</v>
      </c>
      <c r="D967" s="190">
        <v>670201.10499999998</v>
      </c>
      <c r="E967" s="30" t="s">
        <v>10</v>
      </c>
      <c r="F967" s="190">
        <v>2845.165</v>
      </c>
      <c r="G967" s="30" t="s">
        <v>335</v>
      </c>
      <c r="H967" s="30"/>
    </row>
    <row r="968" spans="1:17" x14ac:dyDescent="0.25">
      <c r="A968" s="30" t="s">
        <v>118</v>
      </c>
      <c r="B968" s="30" t="s">
        <v>333</v>
      </c>
      <c r="C968" s="30">
        <v>25</v>
      </c>
      <c r="D968" s="190">
        <v>872561.10499999998</v>
      </c>
      <c r="E968" s="30" t="s">
        <v>10</v>
      </c>
      <c r="F968" s="190">
        <v>5442.3980000000001</v>
      </c>
      <c r="G968" s="30" t="s">
        <v>335</v>
      </c>
      <c r="H968" s="30"/>
    </row>
    <row r="969" spans="1:17" x14ac:dyDescent="0.25">
      <c r="A969" s="30" t="s">
        <v>119</v>
      </c>
      <c r="B969" s="30" t="s">
        <v>333</v>
      </c>
      <c r="C969" s="30">
        <v>25</v>
      </c>
      <c r="D969" s="190">
        <v>744016.87199999997</v>
      </c>
      <c r="E969" s="30" t="s">
        <v>10</v>
      </c>
      <c r="F969" s="190">
        <v>4866.5309999999999</v>
      </c>
      <c r="G969" s="30" t="s">
        <v>335</v>
      </c>
      <c r="H969" s="30"/>
    </row>
    <row r="970" spans="1:17" x14ac:dyDescent="0.25">
      <c r="A970" s="30" t="s">
        <v>120</v>
      </c>
      <c r="B970" s="30" t="s">
        <v>333</v>
      </c>
      <c r="C970" s="30">
        <v>25</v>
      </c>
      <c r="D970" s="190">
        <v>862493.33799999999</v>
      </c>
      <c r="E970" s="30" t="s">
        <v>10</v>
      </c>
      <c r="F970" s="190">
        <v>4829.04</v>
      </c>
      <c r="G970" s="30" t="s">
        <v>335</v>
      </c>
      <c r="H970" s="30"/>
    </row>
    <row r="971" spans="1:17" x14ac:dyDescent="0.25">
      <c r="A971" s="30" t="s">
        <v>105</v>
      </c>
      <c r="B971" s="30" t="s">
        <v>333</v>
      </c>
      <c r="C971" s="30">
        <v>25</v>
      </c>
      <c r="D971" s="190">
        <v>134184.878</v>
      </c>
      <c r="E971" s="30" t="s">
        <v>10</v>
      </c>
      <c r="F971" s="190">
        <v>719.13499999999999</v>
      </c>
      <c r="G971" s="30" t="s">
        <v>335</v>
      </c>
      <c r="H971" s="30"/>
    </row>
    <row r="972" spans="1:17" x14ac:dyDescent="0.25">
      <c r="A972" s="30" t="s">
        <v>106</v>
      </c>
      <c r="B972" s="30" t="s">
        <v>333</v>
      </c>
      <c r="C972" s="30">
        <v>25</v>
      </c>
      <c r="D972" s="190">
        <v>165672.35200000001</v>
      </c>
      <c r="E972" s="30" t="s">
        <v>10</v>
      </c>
      <c r="F972" s="190">
        <v>1411.4870000000001</v>
      </c>
      <c r="G972" s="30" t="s">
        <v>335</v>
      </c>
      <c r="H972" s="30"/>
    </row>
    <row r="973" spans="1:17" x14ac:dyDescent="0.25">
      <c r="A973" s="30" t="s">
        <v>107</v>
      </c>
      <c r="B973" s="30" t="s">
        <v>333</v>
      </c>
      <c r="C973" s="30">
        <v>25</v>
      </c>
      <c r="D973" s="190">
        <v>187124.91800000001</v>
      </c>
      <c r="E973" s="30" t="s">
        <v>10</v>
      </c>
      <c r="F973" s="190">
        <v>1305.4739999999999</v>
      </c>
      <c r="G973" s="30" t="s">
        <v>335</v>
      </c>
      <c r="H973" s="30"/>
    </row>
    <row r="974" spans="1:17" x14ac:dyDescent="0.25">
      <c r="A974" s="30" t="s">
        <v>108</v>
      </c>
      <c r="B974" s="30" t="s">
        <v>333</v>
      </c>
      <c r="C974" s="30">
        <v>25</v>
      </c>
      <c r="D974" s="190">
        <v>174383.522</v>
      </c>
      <c r="E974" s="30" t="s">
        <v>10</v>
      </c>
      <c r="F974" s="190">
        <v>871.33500000000004</v>
      </c>
      <c r="G974" s="30" t="s">
        <v>335</v>
      </c>
      <c r="H974" s="30"/>
    </row>
    <row r="975" spans="1:17" x14ac:dyDescent="0.25">
      <c r="A975" s="30"/>
      <c r="B975" s="30"/>
      <c r="C975" s="30"/>
      <c r="D975" s="190"/>
      <c r="E975" s="30"/>
      <c r="F975" s="190"/>
      <c r="G975" s="30"/>
      <c r="H975" s="30"/>
    </row>
    <row r="976" spans="1:17" x14ac:dyDescent="0.25">
      <c r="A976" s="30" t="s">
        <v>0</v>
      </c>
      <c r="B976" s="30" t="s">
        <v>1</v>
      </c>
      <c r="C976" s="30"/>
      <c r="D976" s="190"/>
      <c r="E976" s="30"/>
      <c r="F976" s="190"/>
      <c r="G976" s="30"/>
      <c r="H976" s="30"/>
    </row>
    <row r="977" spans="1:17" ht="20" thickBot="1" x14ac:dyDescent="0.3">
      <c r="A977" s="30" t="s">
        <v>2</v>
      </c>
      <c r="B977" s="30" t="s">
        <v>3</v>
      </c>
      <c r="C977" s="30" t="s">
        <v>4</v>
      </c>
      <c r="D977" s="190" t="s">
        <v>5</v>
      </c>
      <c r="E977" s="30" t="s">
        <v>6</v>
      </c>
      <c r="F977" s="190" t="s">
        <v>7</v>
      </c>
      <c r="G977" s="30"/>
      <c r="H977" s="30"/>
    </row>
    <row r="978" spans="1:17" x14ac:dyDescent="0.25">
      <c r="A978" s="30" t="s">
        <v>121</v>
      </c>
      <c r="B978" s="30" t="s">
        <v>333</v>
      </c>
      <c r="C978" s="30">
        <v>25</v>
      </c>
      <c r="D978" s="190">
        <v>3244326.2370000002</v>
      </c>
      <c r="E978" s="30" t="s">
        <v>10</v>
      </c>
      <c r="F978" s="190">
        <v>22902.731</v>
      </c>
      <c r="G978" s="30" t="s">
        <v>335</v>
      </c>
      <c r="H978" s="30"/>
      <c r="J978" s="5" t="s">
        <v>566</v>
      </c>
      <c r="K978" s="72" t="s">
        <v>344</v>
      </c>
      <c r="L978" s="72" t="s">
        <v>341</v>
      </c>
      <c r="M978" s="17" t="s">
        <v>162</v>
      </c>
      <c r="N978" s="72" t="s">
        <v>343</v>
      </c>
      <c r="O978" s="21" t="s">
        <v>162</v>
      </c>
      <c r="P978" s="72" t="s">
        <v>342</v>
      </c>
      <c r="Q978" s="21" t="s">
        <v>162</v>
      </c>
    </row>
    <row r="979" spans="1:17" x14ac:dyDescent="0.25">
      <c r="A979" s="30" t="s">
        <v>122</v>
      </c>
      <c r="B979" s="30" t="s">
        <v>333</v>
      </c>
      <c r="C979" s="30">
        <v>25</v>
      </c>
      <c r="D979" s="190">
        <v>3936536.4720000001</v>
      </c>
      <c r="E979" s="30" t="s">
        <v>10</v>
      </c>
      <c r="F979" s="190">
        <v>33306.063000000002</v>
      </c>
      <c r="G979" s="30" t="s">
        <v>335</v>
      </c>
      <c r="H979" s="30"/>
      <c r="J979" s="6">
        <v>100000</v>
      </c>
      <c r="K979" s="119">
        <f>D978</f>
        <v>3244326.2370000002</v>
      </c>
      <c r="L979" s="119">
        <f>D979</f>
        <v>3936536.4720000001</v>
      </c>
      <c r="M979" s="18">
        <f>(K979/L979-1)</f>
        <v>-0.17584245438181223</v>
      </c>
      <c r="N979" s="73">
        <f>D980</f>
        <v>2941234.5610000002</v>
      </c>
      <c r="O979" s="22">
        <f>(K979/N979-1)</f>
        <v>0.10304913454333642</v>
      </c>
      <c r="P979" s="73">
        <f>D981</f>
        <v>3318253.0789999999</v>
      </c>
      <c r="Q979" s="22">
        <f>(K979/P979-1)</f>
        <v>-2.2278843789177882E-2</v>
      </c>
    </row>
    <row r="980" spans="1:17" x14ac:dyDescent="0.25">
      <c r="A980" s="30" t="s">
        <v>123</v>
      </c>
      <c r="B980" s="30" t="s">
        <v>333</v>
      </c>
      <c r="C980" s="30">
        <v>25</v>
      </c>
      <c r="D980" s="190">
        <v>2941234.5610000002</v>
      </c>
      <c r="E980" s="30" t="s">
        <v>10</v>
      </c>
      <c r="F980" s="190">
        <v>43398.256999999998</v>
      </c>
      <c r="G980" s="30" t="s">
        <v>335</v>
      </c>
      <c r="H980" s="30"/>
      <c r="J980" s="6">
        <v>50000</v>
      </c>
      <c r="K980" s="119">
        <f>D982</f>
        <v>1542717.29</v>
      </c>
      <c r="L980" s="119">
        <f>D983</f>
        <v>1923656.6129999999</v>
      </c>
      <c r="M980" s="18">
        <f t="shared" ref="M980:M981" si="94">(K980/L980-1)</f>
        <v>-0.19802875441782386</v>
      </c>
      <c r="N980" s="73">
        <f>D984</f>
        <v>1437281.0360000001</v>
      </c>
      <c r="O980" s="22">
        <f t="shared" ref="O980:O981" si="95">(K980/N980-1)</f>
        <v>7.3358133419357152E-2</v>
      </c>
      <c r="P980" s="73">
        <f>D985</f>
        <v>1609118.73</v>
      </c>
      <c r="Q980" s="22">
        <f t="shared" ref="Q980:Q981" si="96">(K980/P980-1)</f>
        <v>-4.1265718161145215E-2</v>
      </c>
    </row>
    <row r="981" spans="1:17" ht="20" thickBot="1" x14ac:dyDescent="0.3">
      <c r="A981" s="30" t="s">
        <v>124</v>
      </c>
      <c r="B981" s="30" t="s">
        <v>333</v>
      </c>
      <c r="C981" s="30">
        <v>25</v>
      </c>
      <c r="D981" s="190">
        <v>3318253.0789999999</v>
      </c>
      <c r="E981" s="30" t="s">
        <v>10</v>
      </c>
      <c r="F981" s="190">
        <v>47925.343999999997</v>
      </c>
      <c r="G981" s="30" t="s">
        <v>335</v>
      </c>
      <c r="H981" s="30"/>
      <c r="J981" s="7">
        <v>10000</v>
      </c>
      <c r="K981" s="120">
        <f>D986</f>
        <v>262608.951</v>
      </c>
      <c r="L981" s="120">
        <f>D987</f>
        <v>305015.72899999999</v>
      </c>
      <c r="M981" s="19">
        <f t="shared" si="94"/>
        <v>-0.13903144647337184</v>
      </c>
      <c r="N981" s="74">
        <f>D988</f>
        <v>234249.24100000001</v>
      </c>
      <c r="O981" s="23">
        <f t="shared" si="95"/>
        <v>0.12106639013613707</v>
      </c>
      <c r="P981" s="74">
        <f>D989</f>
        <v>251607.58600000001</v>
      </c>
      <c r="Q981" s="23">
        <f t="shared" si="96"/>
        <v>4.3724297724473171E-2</v>
      </c>
    </row>
    <row r="982" spans="1:17" x14ac:dyDescent="0.25">
      <c r="A982" s="30" t="s">
        <v>137</v>
      </c>
      <c r="B982" s="30" t="s">
        <v>333</v>
      </c>
      <c r="C982" s="30">
        <v>25</v>
      </c>
      <c r="D982" s="190">
        <v>1542717.29</v>
      </c>
      <c r="E982" s="30" t="s">
        <v>10</v>
      </c>
      <c r="F982" s="190">
        <v>4134.5079999999998</v>
      </c>
      <c r="G982" s="30" t="s">
        <v>335</v>
      </c>
      <c r="H982" s="30"/>
    </row>
    <row r="983" spans="1:17" x14ac:dyDescent="0.25">
      <c r="A983" s="30" t="s">
        <v>138</v>
      </c>
      <c r="B983" s="30" t="s">
        <v>333</v>
      </c>
      <c r="C983" s="30">
        <v>25</v>
      </c>
      <c r="D983" s="190">
        <v>1923656.6129999999</v>
      </c>
      <c r="E983" s="30" t="s">
        <v>10</v>
      </c>
      <c r="F983" s="190">
        <v>35595.79</v>
      </c>
      <c r="G983" s="30" t="s">
        <v>335</v>
      </c>
      <c r="H983" s="30"/>
    </row>
    <row r="984" spans="1:17" x14ac:dyDescent="0.25">
      <c r="A984" s="30" t="s">
        <v>139</v>
      </c>
      <c r="B984" s="30" t="s">
        <v>333</v>
      </c>
      <c r="C984" s="30">
        <v>25</v>
      </c>
      <c r="D984" s="190">
        <v>1437281.0360000001</v>
      </c>
      <c r="E984" s="30" t="s">
        <v>10</v>
      </c>
      <c r="F984" s="190">
        <v>11403.177</v>
      </c>
      <c r="G984" s="30" t="s">
        <v>335</v>
      </c>
      <c r="H984" s="30"/>
    </row>
    <row r="985" spans="1:17" x14ac:dyDescent="0.25">
      <c r="A985" s="30" t="s">
        <v>140</v>
      </c>
      <c r="B985" s="30" t="s">
        <v>333</v>
      </c>
      <c r="C985" s="30">
        <v>25</v>
      </c>
      <c r="D985" s="190">
        <v>1609118.73</v>
      </c>
      <c r="E985" s="30" t="s">
        <v>10</v>
      </c>
      <c r="F985" s="190">
        <v>17035.897000000001</v>
      </c>
      <c r="G985" s="30" t="s">
        <v>335</v>
      </c>
      <c r="H985" s="30"/>
    </row>
    <row r="986" spans="1:17" x14ac:dyDescent="0.25">
      <c r="A986" s="30" t="s">
        <v>125</v>
      </c>
      <c r="B986" s="30" t="s">
        <v>333</v>
      </c>
      <c r="C986" s="30">
        <v>25</v>
      </c>
      <c r="D986" s="190">
        <v>262608.951</v>
      </c>
      <c r="E986" s="30" t="s">
        <v>10</v>
      </c>
      <c r="F986" s="190">
        <v>1717.4929999999999</v>
      </c>
      <c r="G986" s="30" t="s">
        <v>335</v>
      </c>
      <c r="H986" s="30"/>
    </row>
    <row r="987" spans="1:17" x14ac:dyDescent="0.25">
      <c r="A987" s="30" t="s">
        <v>126</v>
      </c>
      <c r="B987" s="30" t="s">
        <v>333</v>
      </c>
      <c r="C987" s="30">
        <v>25</v>
      </c>
      <c r="D987" s="190">
        <v>305015.72899999999</v>
      </c>
      <c r="E987" s="30" t="s">
        <v>10</v>
      </c>
      <c r="F987" s="190">
        <v>2291.375</v>
      </c>
      <c r="G987" s="30" t="s">
        <v>335</v>
      </c>
      <c r="H987" s="30"/>
    </row>
    <row r="988" spans="1:17" x14ac:dyDescent="0.25">
      <c r="A988" s="30" t="s">
        <v>127</v>
      </c>
      <c r="B988" s="30" t="s">
        <v>333</v>
      </c>
      <c r="C988" s="30">
        <v>25</v>
      </c>
      <c r="D988" s="190">
        <v>234249.24100000001</v>
      </c>
      <c r="E988" s="30" t="s">
        <v>10</v>
      </c>
      <c r="F988" s="190">
        <v>1821.095</v>
      </c>
      <c r="G988" s="30" t="s">
        <v>335</v>
      </c>
      <c r="H988" s="30"/>
    </row>
    <row r="989" spans="1:17" x14ac:dyDescent="0.25">
      <c r="A989" s="30" t="s">
        <v>128</v>
      </c>
      <c r="B989" s="30" t="s">
        <v>333</v>
      </c>
      <c r="C989" s="30">
        <v>25</v>
      </c>
      <c r="D989" s="190">
        <v>251607.58600000001</v>
      </c>
      <c r="E989" s="30" t="s">
        <v>10</v>
      </c>
      <c r="F989" s="190">
        <v>1122.3869999999999</v>
      </c>
      <c r="G989" s="30" t="s">
        <v>335</v>
      </c>
      <c r="H989" s="30"/>
    </row>
    <row r="990" spans="1:17" x14ac:dyDescent="0.25">
      <c r="A990" s="30"/>
      <c r="B990" s="30"/>
      <c r="C990" s="30"/>
      <c r="D990" s="190"/>
      <c r="E990" s="30"/>
      <c r="F990" s="190"/>
      <c r="G990" s="30"/>
      <c r="H990" s="30"/>
    </row>
    <row r="991" spans="1:17" x14ac:dyDescent="0.25">
      <c r="A991" s="30" t="s">
        <v>0</v>
      </c>
      <c r="B991" s="30" t="s">
        <v>1</v>
      </c>
      <c r="C991" s="30"/>
      <c r="D991" s="190"/>
      <c r="E991" s="30"/>
      <c r="F991" s="190"/>
      <c r="G991" s="30"/>
      <c r="H991" s="30"/>
    </row>
    <row r="992" spans="1:17" ht="20" thickBot="1" x14ac:dyDescent="0.3">
      <c r="A992" s="30" t="s">
        <v>2</v>
      </c>
      <c r="B992" s="30" t="s">
        <v>3</v>
      </c>
      <c r="C992" s="30" t="s">
        <v>4</v>
      </c>
      <c r="D992" s="190" t="s">
        <v>5</v>
      </c>
      <c r="E992" s="30" t="s">
        <v>6</v>
      </c>
      <c r="F992" s="190" t="s">
        <v>7</v>
      </c>
      <c r="G992" s="30"/>
      <c r="H992" s="30"/>
    </row>
    <row r="993" spans="1:17" x14ac:dyDescent="0.25">
      <c r="A993" s="30" t="s">
        <v>71</v>
      </c>
      <c r="B993" s="30" t="s">
        <v>333</v>
      </c>
      <c r="C993" s="30">
        <v>25</v>
      </c>
      <c r="D993" s="190">
        <v>555073.83400000003</v>
      </c>
      <c r="E993" s="30" t="s">
        <v>10</v>
      </c>
      <c r="F993" s="190">
        <v>3381.2379999999998</v>
      </c>
      <c r="G993" s="30" t="s">
        <v>335</v>
      </c>
      <c r="H993" s="30"/>
      <c r="J993" s="5" t="s">
        <v>496</v>
      </c>
      <c r="K993" s="72" t="s">
        <v>340</v>
      </c>
      <c r="L993" s="72" t="s">
        <v>341</v>
      </c>
      <c r="M993" s="17" t="s">
        <v>162</v>
      </c>
      <c r="N993" s="72" t="s">
        <v>342</v>
      </c>
      <c r="O993" s="21" t="s">
        <v>162</v>
      </c>
      <c r="P993" s="78"/>
      <c r="Q993" s="44"/>
    </row>
    <row r="994" spans="1:17" x14ac:dyDescent="0.25">
      <c r="A994" s="30" t="s">
        <v>72</v>
      </c>
      <c r="B994" s="30" t="s">
        <v>333</v>
      </c>
      <c r="C994" s="30">
        <v>25</v>
      </c>
      <c r="D994" s="190">
        <v>203681.52</v>
      </c>
      <c r="E994" s="30" t="s">
        <v>10</v>
      </c>
      <c r="F994" s="190">
        <v>2419.5169999999998</v>
      </c>
      <c r="G994" s="30" t="s">
        <v>335</v>
      </c>
      <c r="H994" s="30"/>
      <c r="J994" s="6">
        <v>100000</v>
      </c>
      <c r="K994" s="119">
        <f>D993</f>
        <v>555073.83400000003</v>
      </c>
      <c r="L994" s="119">
        <f>D994</f>
        <v>203681.52</v>
      </c>
      <c r="M994" s="18">
        <f>(K994/L994-1)</f>
        <v>1.725204692109525</v>
      </c>
      <c r="N994" s="73">
        <f>D995</f>
        <v>395160.89500000002</v>
      </c>
      <c r="O994" s="22">
        <f>(K994/N994-1)</f>
        <v>0.40467804639424143</v>
      </c>
    </row>
    <row r="995" spans="1:17" x14ac:dyDescent="0.25">
      <c r="A995" s="30" t="s">
        <v>73</v>
      </c>
      <c r="B995" s="30" t="s">
        <v>333</v>
      </c>
      <c r="C995" s="30">
        <v>25</v>
      </c>
      <c r="D995" s="190">
        <v>395160.89500000002</v>
      </c>
      <c r="E995" s="30" t="s">
        <v>10</v>
      </c>
      <c r="F995" s="190">
        <v>2419.0329999999999</v>
      </c>
      <c r="G995" s="30" t="s">
        <v>335</v>
      </c>
      <c r="H995" s="30"/>
      <c r="J995" s="6">
        <v>50000</v>
      </c>
      <c r="K995" s="119">
        <f>D996</f>
        <v>271382.25300000003</v>
      </c>
      <c r="L995" s="119">
        <f>D997</f>
        <v>72814.346000000005</v>
      </c>
      <c r="M995" s="18">
        <f t="shared" ref="M995:M996" si="97">(K995/L995-1)</f>
        <v>2.7270437476702738</v>
      </c>
      <c r="N995" s="73">
        <f>D998</f>
        <v>411366.83</v>
      </c>
      <c r="O995" s="22">
        <f t="shared" ref="O995:O996" si="98">(K995/N995-1)</f>
        <v>-0.34029135747284234</v>
      </c>
    </row>
    <row r="996" spans="1:17" ht="20" thickBot="1" x14ac:dyDescent="0.3">
      <c r="A996" s="30" t="s">
        <v>74</v>
      </c>
      <c r="B996" s="30" t="s">
        <v>333</v>
      </c>
      <c r="C996" s="30">
        <v>25</v>
      </c>
      <c r="D996" s="190">
        <v>271382.25300000003</v>
      </c>
      <c r="E996" s="30" t="s">
        <v>10</v>
      </c>
      <c r="F996" s="190">
        <v>1075.047</v>
      </c>
      <c r="G996" s="30" t="s">
        <v>335</v>
      </c>
      <c r="H996" s="30"/>
      <c r="J996" s="7">
        <v>10000</v>
      </c>
      <c r="K996" s="120">
        <f>D999</f>
        <v>40140.843000000001</v>
      </c>
      <c r="L996" s="120">
        <f>D1000</f>
        <v>11204.880999999999</v>
      </c>
      <c r="M996" s="19">
        <f t="shared" si="97"/>
        <v>2.5824425980070651</v>
      </c>
      <c r="N996" s="74">
        <f>D1001</f>
        <v>28335.776999999998</v>
      </c>
      <c r="O996" s="23">
        <f t="shared" si="98"/>
        <v>0.41661345655000059</v>
      </c>
    </row>
    <row r="997" spans="1:17" x14ac:dyDescent="0.25">
      <c r="A997" s="30" t="s">
        <v>75</v>
      </c>
      <c r="B997" s="30" t="s">
        <v>333</v>
      </c>
      <c r="C997" s="30">
        <v>25</v>
      </c>
      <c r="D997" s="190">
        <v>72814.346000000005</v>
      </c>
      <c r="E997" s="30" t="s">
        <v>10</v>
      </c>
      <c r="F997" s="190">
        <v>435.447</v>
      </c>
      <c r="G997" s="30" t="s">
        <v>335</v>
      </c>
      <c r="H997" s="30"/>
    </row>
    <row r="998" spans="1:17" x14ac:dyDescent="0.25">
      <c r="A998" s="30" t="s">
        <v>76</v>
      </c>
      <c r="B998" s="30" t="s">
        <v>333</v>
      </c>
      <c r="C998" s="30">
        <v>25</v>
      </c>
      <c r="D998" s="190">
        <v>411366.83</v>
      </c>
      <c r="E998" s="30" t="s">
        <v>10</v>
      </c>
      <c r="F998" s="190">
        <v>733.59900000000005</v>
      </c>
      <c r="G998" s="30" t="s">
        <v>335</v>
      </c>
      <c r="H998" s="30"/>
    </row>
    <row r="999" spans="1:17" x14ac:dyDescent="0.25">
      <c r="A999" s="30" t="s">
        <v>77</v>
      </c>
      <c r="B999" s="30" t="s">
        <v>333</v>
      </c>
      <c r="C999" s="30">
        <v>25</v>
      </c>
      <c r="D999" s="190">
        <v>40140.843000000001</v>
      </c>
      <c r="E999" s="30" t="s">
        <v>10</v>
      </c>
      <c r="F999" s="190">
        <v>148.953</v>
      </c>
      <c r="G999" s="30" t="s">
        <v>335</v>
      </c>
      <c r="H999" s="30"/>
    </row>
    <row r="1000" spans="1:17" x14ac:dyDescent="0.25">
      <c r="A1000" s="30" t="s">
        <v>78</v>
      </c>
      <c r="B1000" s="30" t="s">
        <v>333</v>
      </c>
      <c r="C1000" s="30">
        <v>25</v>
      </c>
      <c r="D1000" s="190">
        <v>11204.880999999999</v>
      </c>
      <c r="E1000" s="30" t="s">
        <v>10</v>
      </c>
      <c r="F1000" s="190">
        <v>48.374000000000002</v>
      </c>
      <c r="G1000" s="30" t="s">
        <v>335</v>
      </c>
      <c r="H1000" s="30"/>
    </row>
    <row r="1001" spans="1:17" x14ac:dyDescent="0.25">
      <c r="A1001" s="30" t="s">
        <v>79</v>
      </c>
      <c r="B1001" s="30" t="s">
        <v>333</v>
      </c>
      <c r="C1001" s="30">
        <v>25</v>
      </c>
      <c r="D1001" s="190">
        <v>28335.776999999998</v>
      </c>
      <c r="E1001" s="30" t="s">
        <v>10</v>
      </c>
      <c r="F1001" s="190">
        <v>103.438</v>
      </c>
      <c r="G1001" s="30" t="s">
        <v>335</v>
      </c>
      <c r="H1001" s="30"/>
    </row>
    <row r="1002" spans="1:17" x14ac:dyDescent="0.25">
      <c r="A1002" s="30"/>
      <c r="B1002" s="30"/>
      <c r="C1002" s="30"/>
      <c r="D1002" s="190"/>
      <c r="E1002" s="30"/>
      <c r="F1002" s="190"/>
      <c r="G1002" s="30"/>
      <c r="H1002" s="30"/>
    </row>
    <row r="1003" spans="1:17" x14ac:dyDescent="0.25">
      <c r="A1003" s="30" t="s">
        <v>0</v>
      </c>
      <c r="B1003" s="30" t="s">
        <v>1</v>
      </c>
      <c r="C1003" s="30"/>
      <c r="D1003" s="190"/>
      <c r="E1003" s="30"/>
      <c r="F1003" s="190"/>
      <c r="G1003" s="30"/>
      <c r="H1003" s="30"/>
    </row>
    <row r="1004" spans="1:17" ht="20" thickBot="1" x14ac:dyDescent="0.3">
      <c r="A1004" s="30" t="s">
        <v>2</v>
      </c>
      <c r="B1004" s="30" t="s">
        <v>3</v>
      </c>
      <c r="C1004" s="30" t="s">
        <v>4</v>
      </c>
      <c r="D1004" s="190" t="s">
        <v>5</v>
      </c>
      <c r="E1004" s="30" t="s">
        <v>6</v>
      </c>
      <c r="F1004" s="190" t="s">
        <v>7</v>
      </c>
      <c r="G1004" s="30"/>
      <c r="H1004" s="30"/>
    </row>
    <row r="1005" spans="1:17" x14ac:dyDescent="0.25">
      <c r="A1005" s="30" t="s">
        <v>86</v>
      </c>
      <c r="B1005" s="30" t="s">
        <v>333</v>
      </c>
      <c r="C1005" s="30">
        <v>25</v>
      </c>
      <c r="D1005" s="190">
        <v>930803.51199999999</v>
      </c>
      <c r="E1005" s="30" t="s">
        <v>10</v>
      </c>
      <c r="F1005" s="190">
        <v>2492.4940000000001</v>
      </c>
      <c r="G1005" s="30" t="s">
        <v>335</v>
      </c>
      <c r="H1005" s="30"/>
      <c r="J1005" s="5" t="s">
        <v>497</v>
      </c>
      <c r="K1005" s="72" t="s">
        <v>340</v>
      </c>
      <c r="L1005" s="72" t="s">
        <v>341</v>
      </c>
      <c r="M1005" s="17" t="s">
        <v>162</v>
      </c>
      <c r="N1005" s="72" t="s">
        <v>342</v>
      </c>
      <c r="O1005" s="21" t="s">
        <v>162</v>
      </c>
    </row>
    <row r="1006" spans="1:17" x14ac:dyDescent="0.25">
      <c r="A1006" s="30" t="s">
        <v>87</v>
      </c>
      <c r="B1006" s="30" t="s">
        <v>333</v>
      </c>
      <c r="C1006" s="30">
        <v>25</v>
      </c>
      <c r="D1006" s="190">
        <v>484973.446</v>
      </c>
      <c r="E1006" s="30" t="s">
        <v>10</v>
      </c>
      <c r="F1006" s="190">
        <v>22936.027999999998</v>
      </c>
      <c r="G1006" s="30" t="s">
        <v>335</v>
      </c>
      <c r="H1006" s="30"/>
      <c r="J1006" s="6">
        <v>100000</v>
      </c>
      <c r="K1006" s="119">
        <f>D1005</f>
        <v>930803.51199999999</v>
      </c>
      <c r="L1006" s="119">
        <f>D1006</f>
        <v>484973.446</v>
      </c>
      <c r="M1006" s="18">
        <f>(K1006/L1006-1)</f>
        <v>0.91928758095345287</v>
      </c>
      <c r="N1006" s="73">
        <f>D1007</f>
        <v>608285.39199999999</v>
      </c>
      <c r="O1006" s="22">
        <f>(K1006/N1006-1)</f>
        <v>0.53020855710439285</v>
      </c>
    </row>
    <row r="1007" spans="1:17" x14ac:dyDescent="0.25">
      <c r="A1007" s="30" t="s">
        <v>88</v>
      </c>
      <c r="B1007" s="30" t="s">
        <v>333</v>
      </c>
      <c r="C1007" s="30">
        <v>25</v>
      </c>
      <c r="D1007" s="190">
        <v>608285.39199999999</v>
      </c>
      <c r="E1007" s="30" t="s">
        <v>10</v>
      </c>
      <c r="F1007" s="190">
        <v>1590.518</v>
      </c>
      <c r="G1007" s="30" t="s">
        <v>335</v>
      </c>
      <c r="H1007" s="30"/>
      <c r="J1007" s="6">
        <v>50000</v>
      </c>
      <c r="K1007" s="119">
        <f>D1008</f>
        <v>466029.49300000002</v>
      </c>
      <c r="L1007" s="119">
        <f>D1009</f>
        <v>232866.48699999999</v>
      </c>
      <c r="M1007" s="18">
        <f t="shared" ref="M1007:M1008" si="99">(K1007/L1007-1)</f>
        <v>1.0012733433815231</v>
      </c>
      <c r="N1007" s="73">
        <f>D1010</f>
        <v>298260.63699999999</v>
      </c>
      <c r="O1007" s="22">
        <f t="shared" ref="O1007:O1008" si="100">(K1007/N1007-1)</f>
        <v>0.56249077212290688</v>
      </c>
    </row>
    <row r="1008" spans="1:17" ht="20" thickBot="1" x14ac:dyDescent="0.3">
      <c r="A1008" s="30" t="s">
        <v>89</v>
      </c>
      <c r="B1008" s="30" t="s">
        <v>333</v>
      </c>
      <c r="C1008" s="30">
        <v>25</v>
      </c>
      <c r="D1008" s="190">
        <v>466029.49300000002</v>
      </c>
      <c r="E1008" s="30" t="s">
        <v>10</v>
      </c>
      <c r="F1008" s="190">
        <v>2787.9780000000001</v>
      </c>
      <c r="G1008" s="30" t="s">
        <v>335</v>
      </c>
      <c r="H1008" s="30"/>
      <c r="J1008" s="7">
        <v>10000</v>
      </c>
      <c r="K1008" s="120">
        <f>D1011</f>
        <v>83954.061000000002</v>
      </c>
      <c r="L1008" s="120">
        <f>D1012</f>
        <v>42129.752</v>
      </c>
      <c r="M1008" s="19">
        <f t="shared" si="99"/>
        <v>0.99274994545422435</v>
      </c>
      <c r="N1008" s="74">
        <f>D1013</f>
        <v>54998.343999999997</v>
      </c>
      <c r="O1008" s="23">
        <f t="shared" si="100"/>
        <v>0.52648343375575091</v>
      </c>
    </row>
    <row r="1009" spans="1:17" x14ac:dyDescent="0.25">
      <c r="A1009" s="30" t="s">
        <v>90</v>
      </c>
      <c r="B1009" s="30" t="s">
        <v>333</v>
      </c>
      <c r="C1009" s="30">
        <v>25</v>
      </c>
      <c r="D1009" s="190">
        <v>232866.48699999999</v>
      </c>
      <c r="E1009" s="30" t="s">
        <v>10</v>
      </c>
      <c r="F1009" s="190">
        <v>3068.3090000000002</v>
      </c>
      <c r="G1009" s="30" t="s">
        <v>335</v>
      </c>
      <c r="H1009" s="30"/>
    </row>
    <row r="1010" spans="1:17" x14ac:dyDescent="0.25">
      <c r="A1010" s="30" t="s">
        <v>91</v>
      </c>
      <c r="B1010" s="30" t="s">
        <v>333</v>
      </c>
      <c r="C1010" s="30">
        <v>25</v>
      </c>
      <c r="D1010" s="190">
        <v>298260.63699999999</v>
      </c>
      <c r="E1010" s="30" t="s">
        <v>10</v>
      </c>
      <c r="F1010" s="190">
        <v>759.44899999999996</v>
      </c>
      <c r="G1010" s="30" t="s">
        <v>335</v>
      </c>
      <c r="H1010" s="30"/>
    </row>
    <row r="1011" spans="1:17" x14ac:dyDescent="0.25">
      <c r="A1011" s="30" t="s">
        <v>92</v>
      </c>
      <c r="B1011" s="30" t="s">
        <v>333</v>
      </c>
      <c r="C1011" s="30">
        <v>25</v>
      </c>
      <c r="D1011" s="190">
        <v>83954.061000000002</v>
      </c>
      <c r="E1011" s="30" t="s">
        <v>10</v>
      </c>
      <c r="F1011" s="190">
        <v>577.21199999999999</v>
      </c>
      <c r="G1011" s="30" t="s">
        <v>335</v>
      </c>
      <c r="H1011" s="30"/>
    </row>
    <row r="1012" spans="1:17" x14ac:dyDescent="0.25">
      <c r="A1012" s="30" t="s">
        <v>93</v>
      </c>
      <c r="B1012" s="30" t="s">
        <v>333</v>
      </c>
      <c r="C1012" s="30">
        <v>25</v>
      </c>
      <c r="D1012" s="190">
        <v>42129.752</v>
      </c>
      <c r="E1012" s="30" t="s">
        <v>10</v>
      </c>
      <c r="F1012" s="190">
        <v>190.25399999999999</v>
      </c>
      <c r="G1012" s="30" t="s">
        <v>335</v>
      </c>
      <c r="H1012" s="30"/>
    </row>
    <row r="1013" spans="1:17" x14ac:dyDescent="0.25">
      <c r="A1013" s="30" t="s">
        <v>94</v>
      </c>
      <c r="B1013" s="30" t="s">
        <v>333</v>
      </c>
      <c r="C1013" s="30">
        <v>25</v>
      </c>
      <c r="D1013" s="190">
        <v>54998.343999999997</v>
      </c>
      <c r="E1013" s="30" t="s">
        <v>10</v>
      </c>
      <c r="F1013" s="190">
        <v>238.87799999999999</v>
      </c>
      <c r="G1013" s="30" t="s">
        <v>335</v>
      </c>
      <c r="H1013" s="30"/>
    </row>
    <row r="1014" spans="1:17" x14ac:dyDescent="0.25">
      <c r="A1014" s="30"/>
      <c r="B1014" s="30"/>
      <c r="C1014" s="30"/>
      <c r="D1014" s="190"/>
      <c r="E1014" s="30"/>
      <c r="F1014" s="190"/>
      <c r="G1014" s="30"/>
      <c r="H1014" s="30"/>
    </row>
    <row r="1015" spans="1:17" x14ac:dyDescent="0.25">
      <c r="A1015" s="30" t="s">
        <v>0</v>
      </c>
      <c r="B1015" s="30" t="s">
        <v>1</v>
      </c>
      <c r="C1015" s="30"/>
      <c r="D1015" s="190"/>
      <c r="E1015" s="30"/>
      <c r="F1015" s="190"/>
      <c r="G1015" s="30"/>
      <c r="H1015" s="30"/>
    </row>
    <row r="1016" spans="1:17" ht="20" thickBot="1" x14ac:dyDescent="0.3">
      <c r="A1016" s="30" t="s">
        <v>2</v>
      </c>
      <c r="B1016" s="30" t="s">
        <v>3</v>
      </c>
      <c r="C1016" s="30" t="s">
        <v>4</v>
      </c>
      <c r="D1016" s="190" t="s">
        <v>5</v>
      </c>
      <c r="E1016" s="30" t="s">
        <v>6</v>
      </c>
      <c r="F1016" s="190" t="s">
        <v>7</v>
      </c>
      <c r="G1016" s="30"/>
      <c r="H1016" s="30"/>
    </row>
    <row r="1017" spans="1:17" x14ac:dyDescent="0.25">
      <c r="A1017" s="30" t="s">
        <v>141</v>
      </c>
      <c r="B1017" s="30" t="s">
        <v>333</v>
      </c>
      <c r="C1017" s="30">
        <v>25</v>
      </c>
      <c r="D1017" s="190">
        <v>9670257.0020000003</v>
      </c>
      <c r="E1017" s="30" t="s">
        <v>10</v>
      </c>
      <c r="F1017" s="190">
        <v>107101.36</v>
      </c>
      <c r="G1017" s="30" t="s">
        <v>335</v>
      </c>
      <c r="H1017" s="30"/>
      <c r="J1017" s="5" t="s">
        <v>503</v>
      </c>
      <c r="K1017" s="72" t="s">
        <v>344</v>
      </c>
      <c r="L1017" s="72" t="s">
        <v>341</v>
      </c>
      <c r="M1017" s="17" t="s">
        <v>162</v>
      </c>
      <c r="N1017" s="72" t="s">
        <v>343</v>
      </c>
      <c r="O1017" s="21" t="s">
        <v>162</v>
      </c>
      <c r="P1017" s="72" t="s">
        <v>342</v>
      </c>
      <c r="Q1017" s="21" t="s">
        <v>162</v>
      </c>
    </row>
    <row r="1018" spans="1:17" x14ac:dyDescent="0.25">
      <c r="A1018" s="30" t="s">
        <v>142</v>
      </c>
      <c r="B1018" s="30" t="s">
        <v>333</v>
      </c>
      <c r="C1018" s="30">
        <v>25</v>
      </c>
      <c r="D1018" s="190">
        <v>7518777.1550000003</v>
      </c>
      <c r="E1018" s="30" t="s">
        <v>10</v>
      </c>
      <c r="F1018" s="190">
        <v>82106.517999999996</v>
      </c>
      <c r="G1018" s="30" t="s">
        <v>335</v>
      </c>
      <c r="H1018" s="30"/>
      <c r="J1018" s="6">
        <v>100000</v>
      </c>
      <c r="K1018" s="119">
        <f>D1017</f>
        <v>9670257.0020000003</v>
      </c>
      <c r="L1018" s="119">
        <f>D1018</f>
        <v>7518777.1550000003</v>
      </c>
      <c r="M1018" s="18">
        <f>(K1018/L1018-1)</f>
        <v>0.28614757461846874</v>
      </c>
      <c r="N1018" s="73">
        <f>D1019</f>
        <v>5300519.284</v>
      </c>
      <c r="O1018" s="22">
        <f>(K1018/N1018-1)</f>
        <v>0.82439804175231823</v>
      </c>
      <c r="P1018" s="73">
        <f>D1020</f>
        <v>12193701.436000001</v>
      </c>
      <c r="Q1018" s="22">
        <f>(K1018/P1018-1)</f>
        <v>-0.20694654918726518</v>
      </c>
    </row>
    <row r="1019" spans="1:17" x14ac:dyDescent="0.25">
      <c r="A1019" s="30" t="s">
        <v>143</v>
      </c>
      <c r="B1019" s="30" t="s">
        <v>333</v>
      </c>
      <c r="C1019" s="30">
        <v>25</v>
      </c>
      <c r="D1019" s="190">
        <v>5300519.284</v>
      </c>
      <c r="E1019" s="30" t="s">
        <v>10</v>
      </c>
      <c r="F1019" s="190">
        <v>51012.474999999999</v>
      </c>
      <c r="G1019" s="30" t="s">
        <v>335</v>
      </c>
      <c r="H1019" s="30"/>
      <c r="J1019" s="6">
        <v>50000</v>
      </c>
      <c r="K1019" s="119">
        <f>D1021</f>
        <v>3839435.95</v>
      </c>
      <c r="L1019" s="119">
        <f>D1022</f>
        <v>3052491.2310000001</v>
      </c>
      <c r="M1019" s="18">
        <f t="shared" ref="M1019:M1020" si="101">(K1019/L1019-1)</f>
        <v>0.25780408834858326</v>
      </c>
      <c r="N1019" s="73">
        <f>D1023</f>
        <v>1870210.64</v>
      </c>
      <c r="O1019" s="22">
        <f t="shared" ref="O1019:O1020" si="102">(K1019/N1019-1)</f>
        <v>1.0529430577937471</v>
      </c>
      <c r="P1019" s="73">
        <f>D1024</f>
        <v>6623660.2089999998</v>
      </c>
      <c r="Q1019" s="22">
        <f t="shared" ref="Q1019:Q1020" si="103">(K1019/P1019-1)</f>
        <v>-0.42034527302848235</v>
      </c>
    </row>
    <row r="1020" spans="1:17" ht="20" thickBot="1" x14ac:dyDescent="0.3">
      <c r="A1020" s="30" t="s">
        <v>144</v>
      </c>
      <c r="B1020" s="30" t="s">
        <v>333</v>
      </c>
      <c r="C1020" s="30">
        <v>25</v>
      </c>
      <c r="D1020" s="190">
        <v>12193701.436000001</v>
      </c>
      <c r="E1020" s="30" t="s">
        <v>10</v>
      </c>
      <c r="F1020" s="190">
        <v>127187.86500000001</v>
      </c>
      <c r="G1020" s="30" t="s">
        <v>335</v>
      </c>
      <c r="H1020" s="30"/>
      <c r="J1020" s="7">
        <v>10000</v>
      </c>
      <c r="K1020" s="120">
        <f>D1025</f>
        <v>477162.592</v>
      </c>
      <c r="L1020" s="120">
        <f>D1026</f>
        <v>511689.685</v>
      </c>
      <c r="M1020" s="19">
        <f t="shared" si="101"/>
        <v>-6.7476625017367731E-2</v>
      </c>
      <c r="N1020" s="74">
        <f>D1027</f>
        <v>355237.02</v>
      </c>
      <c r="O1020" s="23">
        <f t="shared" si="102"/>
        <v>0.34322315844221407</v>
      </c>
      <c r="P1020" s="74">
        <f>D1028</f>
        <v>1207992.5930000001</v>
      </c>
      <c r="Q1020" s="23">
        <f t="shared" si="103"/>
        <v>-0.60499543228573427</v>
      </c>
    </row>
    <row r="1021" spans="1:17" x14ac:dyDescent="0.25">
      <c r="A1021" s="30" t="s">
        <v>157</v>
      </c>
      <c r="B1021" s="30" t="s">
        <v>333</v>
      </c>
      <c r="C1021" s="30">
        <v>25</v>
      </c>
      <c r="D1021" s="190">
        <v>3839435.95</v>
      </c>
      <c r="E1021" s="30" t="s">
        <v>10</v>
      </c>
      <c r="F1021" s="190">
        <v>39144.631000000001</v>
      </c>
      <c r="G1021" s="30" t="s">
        <v>335</v>
      </c>
      <c r="H1021" s="30"/>
    </row>
    <row r="1022" spans="1:17" x14ac:dyDescent="0.25">
      <c r="A1022" s="30" t="s">
        <v>158</v>
      </c>
      <c r="B1022" s="30" t="s">
        <v>333</v>
      </c>
      <c r="C1022" s="30">
        <v>25</v>
      </c>
      <c r="D1022" s="190">
        <v>3052491.2310000001</v>
      </c>
      <c r="E1022" s="30" t="s">
        <v>10</v>
      </c>
      <c r="F1022" s="190">
        <v>8099.9319999999998</v>
      </c>
      <c r="G1022" s="30" t="s">
        <v>335</v>
      </c>
      <c r="H1022" s="30"/>
    </row>
    <row r="1023" spans="1:17" x14ac:dyDescent="0.25">
      <c r="A1023" s="30" t="s">
        <v>159</v>
      </c>
      <c r="B1023" s="30" t="s">
        <v>333</v>
      </c>
      <c r="C1023" s="30">
        <v>25</v>
      </c>
      <c r="D1023" s="190">
        <v>1870210.64</v>
      </c>
      <c r="E1023" s="30" t="s">
        <v>10</v>
      </c>
      <c r="F1023" s="190">
        <v>47915.196000000004</v>
      </c>
      <c r="G1023" s="30" t="s">
        <v>335</v>
      </c>
      <c r="H1023" s="30"/>
    </row>
    <row r="1024" spans="1:17" x14ac:dyDescent="0.25">
      <c r="A1024" s="30" t="s">
        <v>160</v>
      </c>
      <c r="B1024" s="30" t="s">
        <v>333</v>
      </c>
      <c r="C1024" s="30">
        <v>25</v>
      </c>
      <c r="D1024" s="190">
        <v>6623660.2089999998</v>
      </c>
      <c r="E1024" s="30" t="s">
        <v>10</v>
      </c>
      <c r="F1024" s="190">
        <v>41656.504000000001</v>
      </c>
      <c r="G1024" s="30" t="s">
        <v>335</v>
      </c>
      <c r="H1024" s="30"/>
    </row>
    <row r="1025" spans="1:15" x14ac:dyDescent="0.25">
      <c r="A1025" s="30" t="s">
        <v>145</v>
      </c>
      <c r="B1025" s="30" t="s">
        <v>333</v>
      </c>
      <c r="C1025" s="30">
        <v>25</v>
      </c>
      <c r="D1025" s="190">
        <v>477162.592</v>
      </c>
      <c r="E1025" s="30" t="s">
        <v>10</v>
      </c>
      <c r="F1025" s="190">
        <v>3206.4929999999999</v>
      </c>
      <c r="G1025" s="30" t="s">
        <v>335</v>
      </c>
      <c r="H1025" s="30"/>
    </row>
    <row r="1026" spans="1:15" x14ac:dyDescent="0.25">
      <c r="A1026" s="30" t="s">
        <v>146</v>
      </c>
      <c r="B1026" s="30" t="s">
        <v>333</v>
      </c>
      <c r="C1026" s="30">
        <v>25</v>
      </c>
      <c r="D1026" s="190">
        <v>511689.685</v>
      </c>
      <c r="E1026" s="30" t="s">
        <v>10</v>
      </c>
      <c r="F1026" s="190">
        <v>26002.880000000001</v>
      </c>
      <c r="G1026" s="30" t="s">
        <v>335</v>
      </c>
      <c r="H1026" s="30"/>
    </row>
    <row r="1027" spans="1:15" x14ac:dyDescent="0.25">
      <c r="A1027" s="30" t="s">
        <v>147</v>
      </c>
      <c r="B1027" s="30" t="s">
        <v>333</v>
      </c>
      <c r="C1027" s="30">
        <v>25</v>
      </c>
      <c r="D1027" s="190">
        <v>355237.02</v>
      </c>
      <c r="E1027" s="30" t="s">
        <v>10</v>
      </c>
      <c r="F1027" s="190">
        <v>1832.7449999999999</v>
      </c>
      <c r="G1027" s="30" t="s">
        <v>335</v>
      </c>
      <c r="H1027" s="30"/>
    </row>
    <row r="1028" spans="1:15" x14ac:dyDescent="0.25">
      <c r="A1028" s="30" t="s">
        <v>148</v>
      </c>
      <c r="B1028" s="30" t="s">
        <v>333</v>
      </c>
      <c r="C1028" s="30">
        <v>25</v>
      </c>
      <c r="D1028" s="190">
        <v>1207992.5930000001</v>
      </c>
      <c r="E1028" s="30" t="s">
        <v>10</v>
      </c>
      <c r="F1028" s="190">
        <v>6363.2290000000003</v>
      </c>
      <c r="G1028" s="30" t="s">
        <v>335</v>
      </c>
      <c r="H1028" s="30"/>
    </row>
    <row r="1029" spans="1:15" x14ac:dyDescent="0.25">
      <c r="A1029" s="66"/>
    </row>
    <row r="1030" spans="1:15" x14ac:dyDescent="0.25">
      <c r="A1030" s="30" t="s">
        <v>161</v>
      </c>
      <c r="B1030" s="30"/>
      <c r="C1030" s="30"/>
      <c r="D1030" s="190"/>
      <c r="E1030" s="30"/>
      <c r="F1030" s="190"/>
      <c r="G1030" s="30"/>
      <c r="H1030" s="30"/>
    </row>
    <row r="1031" spans="1:15" ht="20" thickBot="1" x14ac:dyDescent="0.3">
      <c r="A1031" s="30" t="s">
        <v>2</v>
      </c>
      <c r="B1031" s="30" t="s">
        <v>3</v>
      </c>
      <c r="C1031" s="30" t="s">
        <v>4</v>
      </c>
      <c r="D1031" s="190" t="s">
        <v>5</v>
      </c>
      <c r="E1031" s="30" t="s">
        <v>6</v>
      </c>
      <c r="F1031" s="190" t="s">
        <v>7</v>
      </c>
      <c r="G1031" s="30"/>
      <c r="H1031" s="30"/>
    </row>
    <row r="1032" spans="1:15" x14ac:dyDescent="0.25">
      <c r="A1032" s="30" t="s">
        <v>8</v>
      </c>
      <c r="B1032" s="30" t="s">
        <v>333</v>
      </c>
      <c r="C1032" s="30">
        <v>25</v>
      </c>
      <c r="D1032" s="190">
        <v>3708755.6779999998</v>
      </c>
      <c r="E1032" s="30" t="s">
        <v>10</v>
      </c>
      <c r="F1032" s="190">
        <v>5132.49</v>
      </c>
      <c r="G1032" s="30" t="s">
        <v>335</v>
      </c>
      <c r="H1032" s="30"/>
      <c r="J1032" s="5" t="s">
        <v>161</v>
      </c>
      <c r="K1032" s="72" t="s">
        <v>340</v>
      </c>
      <c r="L1032" s="72" t="s">
        <v>341</v>
      </c>
      <c r="M1032" s="17" t="s">
        <v>162</v>
      </c>
      <c r="N1032" s="72" t="s">
        <v>342</v>
      </c>
      <c r="O1032" s="21" t="s">
        <v>162</v>
      </c>
    </row>
    <row r="1033" spans="1:15" x14ac:dyDescent="0.25">
      <c r="A1033" s="30" t="s">
        <v>12</v>
      </c>
      <c r="B1033" s="30" t="s">
        <v>333</v>
      </c>
      <c r="C1033" s="30">
        <v>25</v>
      </c>
      <c r="D1033" s="190">
        <v>8644878.5449999999</v>
      </c>
      <c r="E1033" s="30" t="s">
        <v>10</v>
      </c>
      <c r="F1033" s="190">
        <v>81559.540999999997</v>
      </c>
      <c r="G1033" s="30" t="s">
        <v>335</v>
      </c>
      <c r="H1033" s="30"/>
      <c r="J1033" s="6">
        <v>100000</v>
      </c>
      <c r="K1033" s="119">
        <f>D1032</f>
        <v>3708755.6779999998</v>
      </c>
      <c r="L1033" s="119">
        <f>D1033</f>
        <v>8644878.5449999999</v>
      </c>
      <c r="M1033" s="18">
        <f>(K1033/L1033-1)</f>
        <v>-0.57098811062590815</v>
      </c>
      <c r="N1033" s="73">
        <f>D1034</f>
        <v>5646293.4309999999</v>
      </c>
      <c r="O1033" s="22">
        <f>(K1033/N1033-1)</f>
        <v>-0.34315215400642896</v>
      </c>
    </row>
    <row r="1034" spans="1:15" x14ac:dyDescent="0.25">
      <c r="A1034" s="30" t="s">
        <v>13</v>
      </c>
      <c r="B1034" s="30" t="s">
        <v>333</v>
      </c>
      <c r="C1034" s="30">
        <v>25</v>
      </c>
      <c r="D1034" s="190">
        <v>5646293.4309999999</v>
      </c>
      <c r="E1034" s="30" t="s">
        <v>10</v>
      </c>
      <c r="F1034" s="190">
        <v>18705.769</v>
      </c>
      <c r="G1034" s="30" t="s">
        <v>335</v>
      </c>
      <c r="H1034" s="30"/>
      <c r="J1034" s="6">
        <v>50000</v>
      </c>
      <c r="K1034" s="119">
        <f>D1035</f>
        <v>1856633.243</v>
      </c>
      <c r="L1034" s="119">
        <f>D1036</f>
        <v>4261345.5889999997</v>
      </c>
      <c r="M1034" s="18">
        <f t="shared" ref="M1034:M1037" si="104">(K1034/L1034-1)</f>
        <v>-0.56430822043802087</v>
      </c>
      <c r="N1034" s="73">
        <f>D1037</f>
        <v>2805558.7379999999</v>
      </c>
      <c r="O1034" s="22">
        <f t="shared" ref="O1034:O1037" si="105">(K1034/N1034-1)</f>
        <v>-0.33823048583771975</v>
      </c>
    </row>
    <row r="1035" spans="1:15" x14ac:dyDescent="0.25">
      <c r="A1035" s="30" t="s">
        <v>14</v>
      </c>
      <c r="B1035" s="30" t="s">
        <v>333</v>
      </c>
      <c r="C1035" s="30">
        <v>25</v>
      </c>
      <c r="D1035" s="190">
        <v>1856633.243</v>
      </c>
      <c r="E1035" s="30" t="s">
        <v>10</v>
      </c>
      <c r="F1035" s="190">
        <v>6008.7879999999996</v>
      </c>
      <c r="G1035" s="30" t="s">
        <v>335</v>
      </c>
      <c r="H1035" s="30"/>
      <c r="J1035" s="6">
        <v>10000</v>
      </c>
      <c r="K1035" s="119">
        <f>D1038</f>
        <v>381917.12900000002</v>
      </c>
      <c r="L1035" s="119">
        <f>D1039</f>
        <v>840184.17200000002</v>
      </c>
      <c r="M1035" s="18">
        <f t="shared" si="104"/>
        <v>-0.54543641533870746</v>
      </c>
      <c r="N1035" s="73">
        <f>D1040</f>
        <v>564293.06700000004</v>
      </c>
      <c r="O1035" s="22">
        <f t="shared" si="105"/>
        <v>-0.32319365355591023</v>
      </c>
    </row>
    <row r="1036" spans="1:15" x14ac:dyDescent="0.25">
      <c r="A1036" s="30" t="s">
        <v>15</v>
      </c>
      <c r="B1036" s="30" t="s">
        <v>333</v>
      </c>
      <c r="C1036" s="30">
        <v>25</v>
      </c>
      <c r="D1036" s="190">
        <v>4261345.5889999997</v>
      </c>
      <c r="E1036" s="30" t="s">
        <v>10</v>
      </c>
      <c r="F1036" s="190">
        <v>36218.779000000002</v>
      </c>
      <c r="G1036" s="30" t="s">
        <v>335</v>
      </c>
      <c r="H1036" s="30"/>
      <c r="J1036" s="67">
        <v>1000</v>
      </c>
      <c r="K1036" s="119">
        <f>D1041</f>
        <v>52713.432999999997</v>
      </c>
      <c r="L1036" s="119">
        <f>D1042</f>
        <v>93004.27</v>
      </c>
      <c r="M1036" s="18">
        <f t="shared" si="104"/>
        <v>-0.43321491583128391</v>
      </c>
      <c r="N1036" s="73">
        <f>D1043</f>
        <v>57893.173000000003</v>
      </c>
      <c r="O1036" s="22">
        <f t="shared" si="105"/>
        <v>-8.9470653128651323E-2</v>
      </c>
    </row>
    <row r="1037" spans="1:15" ht="20" thickBot="1" x14ac:dyDescent="0.3">
      <c r="A1037" s="30" t="s">
        <v>16</v>
      </c>
      <c r="B1037" s="30" t="s">
        <v>333</v>
      </c>
      <c r="C1037" s="30">
        <v>25</v>
      </c>
      <c r="D1037" s="190">
        <v>2805558.7379999999</v>
      </c>
      <c r="E1037" s="30" t="s">
        <v>10</v>
      </c>
      <c r="F1037" s="190">
        <v>4349.2809999999999</v>
      </c>
      <c r="G1037" s="30" t="s">
        <v>335</v>
      </c>
      <c r="H1037" s="30"/>
      <c r="J1037" s="68">
        <v>100</v>
      </c>
      <c r="K1037" s="120">
        <f>D1044</f>
        <v>3772.5169999999998</v>
      </c>
      <c r="L1037" s="120">
        <f>D1045</f>
        <v>5675.8770000000004</v>
      </c>
      <c r="M1037" s="19">
        <f t="shared" si="104"/>
        <v>-0.33534200970176076</v>
      </c>
      <c r="N1037" s="74">
        <f>D1046</f>
        <v>5576.4059999999999</v>
      </c>
      <c r="O1037" s="23">
        <f t="shared" si="105"/>
        <v>-0.32348595134572344</v>
      </c>
    </row>
    <row r="1038" spans="1:15" x14ac:dyDescent="0.25">
      <c r="A1038" s="30" t="s">
        <v>17</v>
      </c>
      <c r="B1038" s="30" t="s">
        <v>333</v>
      </c>
      <c r="C1038" s="30">
        <v>25</v>
      </c>
      <c r="D1038" s="190">
        <v>381917.12900000002</v>
      </c>
      <c r="E1038" s="30" t="s">
        <v>10</v>
      </c>
      <c r="F1038" s="190">
        <v>707.86400000000003</v>
      </c>
      <c r="G1038" s="30" t="s">
        <v>335</v>
      </c>
      <c r="H1038" s="30"/>
    </row>
    <row r="1039" spans="1:15" x14ac:dyDescent="0.25">
      <c r="A1039" s="30" t="s">
        <v>18</v>
      </c>
      <c r="B1039" s="30" t="s">
        <v>333</v>
      </c>
      <c r="C1039" s="30">
        <v>25</v>
      </c>
      <c r="D1039" s="190">
        <v>840184.17200000002</v>
      </c>
      <c r="E1039" s="30" t="s">
        <v>10</v>
      </c>
      <c r="F1039" s="190">
        <v>15804.745000000001</v>
      </c>
      <c r="G1039" s="30" t="s">
        <v>335</v>
      </c>
      <c r="H1039" s="30"/>
    </row>
    <row r="1040" spans="1:15" x14ac:dyDescent="0.25">
      <c r="A1040" s="30" t="s">
        <v>19</v>
      </c>
      <c r="B1040" s="30" t="s">
        <v>333</v>
      </c>
      <c r="C1040" s="30">
        <v>25</v>
      </c>
      <c r="D1040" s="190">
        <v>564293.06700000004</v>
      </c>
      <c r="E1040" s="30" t="s">
        <v>10</v>
      </c>
      <c r="F1040" s="190">
        <v>1027.748</v>
      </c>
      <c r="G1040" s="30" t="s">
        <v>335</v>
      </c>
      <c r="H1040" s="30"/>
    </row>
    <row r="1041" spans="1:15" x14ac:dyDescent="0.25">
      <c r="A1041" s="30" t="s">
        <v>20</v>
      </c>
      <c r="B1041" s="30" t="s">
        <v>333</v>
      </c>
      <c r="C1041" s="30">
        <v>25</v>
      </c>
      <c r="D1041" s="190">
        <v>52713.432999999997</v>
      </c>
      <c r="E1041" s="30" t="s">
        <v>10</v>
      </c>
      <c r="F1041" s="190">
        <v>125.73</v>
      </c>
      <c r="G1041" s="30" t="s">
        <v>335</v>
      </c>
      <c r="H1041" s="30"/>
    </row>
    <row r="1042" spans="1:15" x14ac:dyDescent="0.25">
      <c r="A1042" s="30" t="s">
        <v>21</v>
      </c>
      <c r="B1042" s="30" t="s">
        <v>333</v>
      </c>
      <c r="C1042" s="30">
        <v>25</v>
      </c>
      <c r="D1042" s="190">
        <v>93004.27</v>
      </c>
      <c r="E1042" s="30" t="s">
        <v>10</v>
      </c>
      <c r="F1042" s="190">
        <v>173.68299999999999</v>
      </c>
      <c r="G1042" s="30" t="s">
        <v>335</v>
      </c>
      <c r="H1042" s="30"/>
    </row>
    <row r="1043" spans="1:15" x14ac:dyDescent="0.25">
      <c r="A1043" s="30" t="s">
        <v>22</v>
      </c>
      <c r="B1043" s="30" t="s">
        <v>333</v>
      </c>
      <c r="C1043" s="30">
        <v>25</v>
      </c>
      <c r="D1043" s="190">
        <v>57893.173000000003</v>
      </c>
      <c r="E1043" s="30" t="s">
        <v>10</v>
      </c>
      <c r="F1043" s="190">
        <v>121.095</v>
      </c>
      <c r="G1043" s="30" t="s">
        <v>335</v>
      </c>
      <c r="H1043" s="30"/>
    </row>
    <row r="1044" spans="1:15" x14ac:dyDescent="0.25">
      <c r="A1044" s="30" t="s">
        <v>23</v>
      </c>
      <c r="B1044" s="30" t="s">
        <v>333</v>
      </c>
      <c r="C1044" s="30">
        <v>25</v>
      </c>
      <c r="D1044" s="190">
        <v>3772.5169999999998</v>
      </c>
      <c r="E1044" s="30" t="s">
        <v>10</v>
      </c>
      <c r="F1044" s="190">
        <v>32.991</v>
      </c>
      <c r="G1044" s="30" t="s">
        <v>335</v>
      </c>
      <c r="H1044" s="30"/>
    </row>
    <row r="1045" spans="1:15" x14ac:dyDescent="0.25">
      <c r="A1045" s="30" t="s">
        <v>24</v>
      </c>
      <c r="B1045" s="30" t="s">
        <v>333</v>
      </c>
      <c r="C1045" s="30">
        <v>25</v>
      </c>
      <c r="D1045" s="190">
        <v>5675.8770000000004</v>
      </c>
      <c r="E1045" s="30" t="s">
        <v>10</v>
      </c>
      <c r="F1045" s="190">
        <v>16.135999999999999</v>
      </c>
      <c r="G1045" s="30" t="s">
        <v>335</v>
      </c>
      <c r="H1045" s="30"/>
    </row>
    <row r="1046" spans="1:15" x14ac:dyDescent="0.25">
      <c r="A1046" s="30" t="s">
        <v>25</v>
      </c>
      <c r="B1046" s="30" t="s">
        <v>333</v>
      </c>
      <c r="C1046" s="30">
        <v>25</v>
      </c>
      <c r="D1046" s="190">
        <v>5576.4059999999999</v>
      </c>
      <c r="E1046" s="30" t="s">
        <v>10</v>
      </c>
      <c r="F1046" s="190">
        <v>7.3239999999999998</v>
      </c>
      <c r="G1046" s="30" t="s">
        <v>335</v>
      </c>
      <c r="H1046" s="30"/>
    </row>
    <row r="1048" spans="1:15" x14ac:dyDescent="0.25">
      <c r="A1048" s="30" t="s">
        <v>163</v>
      </c>
      <c r="B1048" s="30"/>
      <c r="C1048" s="30"/>
      <c r="D1048" s="190"/>
      <c r="E1048" s="30"/>
      <c r="F1048" s="190"/>
      <c r="G1048" s="30"/>
      <c r="H1048" s="30"/>
    </row>
    <row r="1049" spans="1:15" ht="20" thickBot="1" x14ac:dyDescent="0.3">
      <c r="A1049" s="30" t="s">
        <v>2</v>
      </c>
      <c r="B1049" s="30" t="s">
        <v>3</v>
      </c>
      <c r="C1049" s="30" t="s">
        <v>4</v>
      </c>
      <c r="D1049" s="190" t="s">
        <v>5</v>
      </c>
      <c r="E1049" s="30" t="s">
        <v>6</v>
      </c>
      <c r="F1049" s="190" t="s">
        <v>7</v>
      </c>
      <c r="G1049" s="30"/>
      <c r="H1049" s="30"/>
    </row>
    <row r="1050" spans="1:15" x14ac:dyDescent="0.25">
      <c r="A1050" s="30" t="s">
        <v>26</v>
      </c>
      <c r="B1050" s="30" t="s">
        <v>333</v>
      </c>
      <c r="C1050" s="30">
        <v>25</v>
      </c>
      <c r="D1050" s="190">
        <v>2041325.0009999999</v>
      </c>
      <c r="E1050" s="30" t="s">
        <v>10</v>
      </c>
      <c r="F1050" s="190">
        <v>16332.222</v>
      </c>
      <c r="G1050" s="30" t="s">
        <v>335</v>
      </c>
      <c r="H1050" s="30"/>
      <c r="J1050" s="5" t="s">
        <v>163</v>
      </c>
      <c r="K1050" s="72" t="s">
        <v>340</v>
      </c>
      <c r="L1050" s="72" t="s">
        <v>341</v>
      </c>
      <c r="M1050" s="17" t="s">
        <v>162</v>
      </c>
      <c r="N1050" s="72" t="s">
        <v>342</v>
      </c>
      <c r="O1050" s="21" t="s">
        <v>162</v>
      </c>
    </row>
    <row r="1051" spans="1:15" x14ac:dyDescent="0.25">
      <c r="A1051" s="30" t="s">
        <v>27</v>
      </c>
      <c r="B1051" s="30" t="s">
        <v>333</v>
      </c>
      <c r="C1051" s="30">
        <v>25</v>
      </c>
      <c r="D1051" s="190">
        <v>2718860.7779999999</v>
      </c>
      <c r="E1051" s="30" t="s">
        <v>10</v>
      </c>
      <c r="F1051" s="190">
        <v>142272.54800000001</v>
      </c>
      <c r="G1051" s="30" t="s">
        <v>335</v>
      </c>
      <c r="H1051" s="30"/>
      <c r="J1051" s="6">
        <v>100000</v>
      </c>
      <c r="K1051" s="119">
        <f>D1050</f>
        <v>2041325.0009999999</v>
      </c>
      <c r="L1051" s="119">
        <f>D1051</f>
        <v>2718860.7779999999</v>
      </c>
      <c r="M1051" s="18">
        <f>(K1051/L1051-1)</f>
        <v>-0.24919840783403291</v>
      </c>
      <c r="N1051" s="73">
        <f>D1052</f>
        <v>2913118.5279999999</v>
      </c>
      <c r="O1051" s="22">
        <f>(K1051/N1051-1)</f>
        <v>-0.2992646947319817</v>
      </c>
    </row>
    <row r="1052" spans="1:15" x14ac:dyDescent="0.25">
      <c r="A1052" s="30" t="s">
        <v>28</v>
      </c>
      <c r="B1052" s="30" t="s">
        <v>333</v>
      </c>
      <c r="C1052" s="30">
        <v>25</v>
      </c>
      <c r="D1052" s="190">
        <v>2913118.5279999999</v>
      </c>
      <c r="E1052" s="30" t="s">
        <v>10</v>
      </c>
      <c r="F1052" s="190">
        <v>24606.620999999999</v>
      </c>
      <c r="G1052" s="30" t="s">
        <v>335</v>
      </c>
      <c r="H1052" s="30"/>
      <c r="J1052" s="6">
        <v>50000</v>
      </c>
      <c r="K1052" s="119">
        <f>D1053</f>
        <v>1018806.447</v>
      </c>
      <c r="L1052" s="119">
        <f>D1054</f>
        <v>1297886.817</v>
      </c>
      <c r="M1052" s="18">
        <f t="shared" ref="M1052:M1055" si="106">(K1052/L1052-1)</f>
        <v>-0.21502673911511039</v>
      </c>
      <c r="N1052" s="73">
        <f>D1055</f>
        <v>1411830.5819999999</v>
      </c>
      <c r="O1052" s="22">
        <f t="shared" ref="O1052:O1055" si="107">(K1052/N1052-1)</f>
        <v>-0.27837910582956893</v>
      </c>
    </row>
    <row r="1053" spans="1:15" x14ac:dyDescent="0.25">
      <c r="A1053" s="30" t="s">
        <v>29</v>
      </c>
      <c r="B1053" s="30" t="s">
        <v>333</v>
      </c>
      <c r="C1053" s="30">
        <v>25</v>
      </c>
      <c r="D1053" s="190">
        <v>1018806.447</v>
      </c>
      <c r="E1053" s="30" t="s">
        <v>10</v>
      </c>
      <c r="F1053" s="190">
        <v>14930.186</v>
      </c>
      <c r="G1053" s="30" t="s">
        <v>335</v>
      </c>
      <c r="H1053" s="30"/>
      <c r="J1053" s="6">
        <v>10000</v>
      </c>
      <c r="K1053" s="119">
        <f>D1056</f>
        <v>208903.511</v>
      </c>
      <c r="L1053" s="119">
        <f>D1057</f>
        <v>254268.27299999999</v>
      </c>
      <c r="M1053" s="18">
        <f t="shared" si="106"/>
        <v>-0.17841298666467909</v>
      </c>
      <c r="N1053" s="73">
        <f>D1058</f>
        <v>287563.43099999998</v>
      </c>
      <c r="O1053" s="22">
        <f t="shared" si="107"/>
        <v>-0.27353937086666624</v>
      </c>
    </row>
    <row r="1054" spans="1:15" x14ac:dyDescent="0.25">
      <c r="A1054" s="30" t="s">
        <v>30</v>
      </c>
      <c r="B1054" s="30" t="s">
        <v>333</v>
      </c>
      <c r="C1054" s="30">
        <v>25</v>
      </c>
      <c r="D1054" s="190">
        <v>1297886.817</v>
      </c>
      <c r="E1054" s="30" t="s">
        <v>10</v>
      </c>
      <c r="F1054" s="190">
        <v>72424.334000000003</v>
      </c>
      <c r="G1054" s="30" t="s">
        <v>335</v>
      </c>
      <c r="H1054" s="30"/>
      <c r="J1054" s="67">
        <v>1000</v>
      </c>
      <c r="K1054" s="119">
        <f>D1059</f>
        <v>27064.084999999999</v>
      </c>
      <c r="L1054" s="119">
        <f>D1060</f>
        <v>39690.934999999998</v>
      </c>
      <c r="M1054" s="18">
        <f t="shared" si="106"/>
        <v>-0.31812931592566407</v>
      </c>
      <c r="N1054" s="73">
        <f>D1061</f>
        <v>27574.386999999999</v>
      </c>
      <c r="O1054" s="22">
        <f t="shared" si="107"/>
        <v>-1.8506376950464976E-2</v>
      </c>
    </row>
    <row r="1055" spans="1:15" ht="20" thickBot="1" x14ac:dyDescent="0.3">
      <c r="A1055" s="30" t="s">
        <v>31</v>
      </c>
      <c r="B1055" s="30" t="s">
        <v>333</v>
      </c>
      <c r="C1055" s="30">
        <v>25</v>
      </c>
      <c r="D1055" s="190">
        <v>1411830.5819999999</v>
      </c>
      <c r="E1055" s="30" t="s">
        <v>10</v>
      </c>
      <c r="F1055" s="190">
        <v>42025.402999999998</v>
      </c>
      <c r="G1055" s="30" t="s">
        <v>335</v>
      </c>
      <c r="H1055" s="30"/>
      <c r="J1055" s="68">
        <v>100</v>
      </c>
      <c r="K1055" s="120">
        <f>D1062</f>
        <v>2029.9280000000001</v>
      </c>
      <c r="L1055" s="120">
        <f>D1063</f>
        <v>2230.0709999999999</v>
      </c>
      <c r="M1055" s="19">
        <f t="shared" si="106"/>
        <v>-8.9747366787873539E-2</v>
      </c>
      <c r="N1055" s="74">
        <f>D1064</f>
        <v>2544.2489999999998</v>
      </c>
      <c r="O1055" s="23">
        <f t="shared" si="107"/>
        <v>-0.20215041845353965</v>
      </c>
    </row>
    <row r="1056" spans="1:15" x14ac:dyDescent="0.25">
      <c r="A1056" s="30" t="s">
        <v>32</v>
      </c>
      <c r="B1056" s="30" t="s">
        <v>333</v>
      </c>
      <c r="C1056" s="30">
        <v>25</v>
      </c>
      <c r="D1056" s="190">
        <v>208903.511</v>
      </c>
      <c r="E1056" s="30" t="s">
        <v>10</v>
      </c>
      <c r="F1056" s="190">
        <v>2309.085</v>
      </c>
      <c r="G1056" s="30" t="s">
        <v>335</v>
      </c>
      <c r="H1056" s="30"/>
    </row>
    <row r="1057" spans="1:15" x14ac:dyDescent="0.25">
      <c r="A1057" s="30" t="s">
        <v>33</v>
      </c>
      <c r="B1057" s="30" t="s">
        <v>333</v>
      </c>
      <c r="C1057" s="30">
        <v>25</v>
      </c>
      <c r="D1057" s="190">
        <v>254268.27299999999</v>
      </c>
      <c r="E1057" s="30" t="s">
        <v>10</v>
      </c>
      <c r="F1057" s="190">
        <v>1239.3399999999999</v>
      </c>
      <c r="G1057" s="30" t="s">
        <v>335</v>
      </c>
      <c r="H1057" s="30"/>
    </row>
    <row r="1058" spans="1:15" x14ac:dyDescent="0.25">
      <c r="A1058" s="30" t="s">
        <v>34</v>
      </c>
      <c r="B1058" s="30" t="s">
        <v>333</v>
      </c>
      <c r="C1058" s="30">
        <v>25</v>
      </c>
      <c r="D1058" s="190">
        <v>287563.43099999998</v>
      </c>
      <c r="E1058" s="30" t="s">
        <v>10</v>
      </c>
      <c r="F1058" s="190">
        <v>1941.162</v>
      </c>
      <c r="G1058" s="30" t="s">
        <v>335</v>
      </c>
      <c r="H1058" s="30"/>
    </row>
    <row r="1059" spans="1:15" x14ac:dyDescent="0.25">
      <c r="A1059" s="30" t="s">
        <v>35</v>
      </c>
      <c r="B1059" s="30" t="s">
        <v>333</v>
      </c>
      <c r="C1059" s="30">
        <v>25</v>
      </c>
      <c r="D1059" s="190">
        <v>27064.084999999999</v>
      </c>
      <c r="E1059" s="30" t="s">
        <v>10</v>
      </c>
      <c r="F1059" s="190">
        <v>104.056</v>
      </c>
      <c r="G1059" s="30" t="s">
        <v>335</v>
      </c>
      <c r="H1059" s="30"/>
    </row>
    <row r="1060" spans="1:15" x14ac:dyDescent="0.25">
      <c r="A1060" s="30" t="s">
        <v>36</v>
      </c>
      <c r="B1060" s="30" t="s">
        <v>333</v>
      </c>
      <c r="C1060" s="30">
        <v>25</v>
      </c>
      <c r="D1060" s="190">
        <v>39690.934999999998</v>
      </c>
      <c r="E1060" s="30" t="s">
        <v>10</v>
      </c>
      <c r="F1060" s="190">
        <v>368.97699999999998</v>
      </c>
      <c r="G1060" s="30" t="s">
        <v>335</v>
      </c>
      <c r="H1060" s="30"/>
    </row>
    <row r="1061" spans="1:15" x14ac:dyDescent="0.25">
      <c r="A1061" s="30" t="s">
        <v>37</v>
      </c>
      <c r="B1061" s="30" t="s">
        <v>333</v>
      </c>
      <c r="C1061" s="30">
        <v>25</v>
      </c>
      <c r="D1061" s="190">
        <v>27574.386999999999</v>
      </c>
      <c r="E1061" s="30" t="s">
        <v>10</v>
      </c>
      <c r="F1061" s="190">
        <v>106.611</v>
      </c>
      <c r="G1061" s="30" t="s">
        <v>335</v>
      </c>
      <c r="H1061" s="30"/>
    </row>
    <row r="1062" spans="1:15" x14ac:dyDescent="0.25">
      <c r="A1062" s="30" t="s">
        <v>38</v>
      </c>
      <c r="B1062" s="30" t="s">
        <v>333</v>
      </c>
      <c r="C1062" s="30">
        <v>25</v>
      </c>
      <c r="D1062" s="190">
        <v>2029.9280000000001</v>
      </c>
      <c r="E1062" s="30" t="s">
        <v>10</v>
      </c>
      <c r="F1062" s="190">
        <v>2.964</v>
      </c>
      <c r="G1062" s="30" t="s">
        <v>335</v>
      </c>
      <c r="H1062" s="30"/>
    </row>
    <row r="1063" spans="1:15" x14ac:dyDescent="0.25">
      <c r="A1063" s="30" t="s">
        <v>39</v>
      </c>
      <c r="B1063" s="30" t="s">
        <v>333</v>
      </c>
      <c r="C1063" s="30">
        <v>25</v>
      </c>
      <c r="D1063" s="190">
        <v>2230.0709999999999</v>
      </c>
      <c r="E1063" s="30" t="s">
        <v>10</v>
      </c>
      <c r="F1063" s="190">
        <v>5.3970000000000002</v>
      </c>
      <c r="G1063" s="30" t="s">
        <v>335</v>
      </c>
      <c r="H1063" s="30"/>
    </row>
    <row r="1064" spans="1:15" x14ac:dyDescent="0.25">
      <c r="A1064" s="30" t="s">
        <v>40</v>
      </c>
      <c r="B1064" s="30" t="s">
        <v>333</v>
      </c>
      <c r="C1064" s="30">
        <v>25</v>
      </c>
      <c r="D1064" s="190">
        <v>2544.2489999999998</v>
      </c>
      <c r="E1064" s="30" t="s">
        <v>10</v>
      </c>
      <c r="F1064" s="190">
        <v>3.4910000000000001</v>
      </c>
      <c r="G1064" s="30" t="s">
        <v>335</v>
      </c>
      <c r="H1064" s="30"/>
    </row>
    <row r="1066" spans="1:15" x14ac:dyDescent="0.25">
      <c r="A1066" s="30" t="s">
        <v>164</v>
      </c>
      <c r="B1066" s="30"/>
      <c r="C1066" s="30"/>
      <c r="D1066" s="190"/>
      <c r="E1066" s="30"/>
      <c r="F1066" s="190"/>
      <c r="G1066" s="30"/>
      <c r="H1066" s="30"/>
    </row>
    <row r="1067" spans="1:15" ht="20" thickBot="1" x14ac:dyDescent="0.3">
      <c r="A1067" s="30" t="s">
        <v>2</v>
      </c>
      <c r="B1067" s="30" t="s">
        <v>3</v>
      </c>
      <c r="C1067" s="30" t="s">
        <v>4</v>
      </c>
      <c r="D1067" s="190" t="s">
        <v>5</v>
      </c>
      <c r="E1067" s="30" t="s">
        <v>6</v>
      </c>
      <c r="F1067" s="190" t="s">
        <v>7</v>
      </c>
      <c r="G1067" s="30"/>
      <c r="H1067" s="30"/>
    </row>
    <row r="1068" spans="1:15" x14ac:dyDescent="0.25">
      <c r="A1068" s="30" t="s">
        <v>41</v>
      </c>
      <c r="B1068" s="30" t="s">
        <v>333</v>
      </c>
      <c r="C1068" s="30">
        <v>25</v>
      </c>
      <c r="D1068" s="190">
        <v>1312468.7279999999</v>
      </c>
      <c r="E1068" s="30" t="s">
        <v>10</v>
      </c>
      <c r="F1068" s="190">
        <v>3443.799</v>
      </c>
      <c r="G1068" s="30" t="s">
        <v>335</v>
      </c>
      <c r="H1068" s="30"/>
      <c r="J1068" s="5" t="s">
        <v>164</v>
      </c>
      <c r="K1068" s="72" t="s">
        <v>340</v>
      </c>
      <c r="L1068" s="72" t="s">
        <v>341</v>
      </c>
      <c r="M1068" s="17" t="s">
        <v>162</v>
      </c>
      <c r="N1068" s="72" t="s">
        <v>342</v>
      </c>
      <c r="O1068" s="21" t="s">
        <v>162</v>
      </c>
    </row>
    <row r="1069" spans="1:15" x14ac:dyDescent="0.25">
      <c r="A1069" s="30" t="s">
        <v>42</v>
      </c>
      <c r="B1069" s="30" t="s">
        <v>333</v>
      </c>
      <c r="C1069" s="30">
        <v>25</v>
      </c>
      <c r="D1069" s="190">
        <v>1355619.0290000001</v>
      </c>
      <c r="E1069" s="30" t="s">
        <v>10</v>
      </c>
      <c r="F1069" s="190">
        <v>41216.067999999999</v>
      </c>
      <c r="G1069" s="30" t="s">
        <v>335</v>
      </c>
      <c r="H1069" s="30"/>
      <c r="J1069" s="6">
        <v>100000</v>
      </c>
      <c r="K1069" s="119">
        <f>D1068</f>
        <v>1312468.7279999999</v>
      </c>
      <c r="L1069" s="119">
        <f>D1069</f>
        <v>1355619.0290000001</v>
      </c>
      <c r="M1069" s="18">
        <f>(K1069/L1069-1)</f>
        <v>-3.1830698800260238E-2</v>
      </c>
      <c r="N1069" s="73">
        <f>D1070</f>
        <v>1657467.308</v>
      </c>
      <c r="O1069" s="22">
        <f>(K1069/N1069-1)</f>
        <v>-0.2081480451136597</v>
      </c>
    </row>
    <row r="1070" spans="1:15" x14ac:dyDescent="0.25">
      <c r="A1070" s="30" t="s">
        <v>43</v>
      </c>
      <c r="B1070" s="30" t="s">
        <v>333</v>
      </c>
      <c r="C1070" s="30">
        <v>25</v>
      </c>
      <c r="D1070" s="190">
        <v>1657467.308</v>
      </c>
      <c r="E1070" s="30" t="s">
        <v>10</v>
      </c>
      <c r="F1070" s="190">
        <v>94792.998999999996</v>
      </c>
      <c r="G1070" s="30" t="s">
        <v>335</v>
      </c>
      <c r="H1070" s="30"/>
      <c r="J1070" s="6">
        <v>50000</v>
      </c>
      <c r="K1070" s="119">
        <f>D1071</f>
        <v>656265.06700000004</v>
      </c>
      <c r="L1070" s="119">
        <f>D1072</f>
        <v>675858.97199999995</v>
      </c>
      <c r="M1070" s="18">
        <f t="shared" ref="M1070:M1073" si="108">(K1070/L1070-1)</f>
        <v>-2.8991114732142553E-2</v>
      </c>
      <c r="N1070" s="73">
        <f>D1073</f>
        <v>860601.39399999997</v>
      </c>
      <c r="O1070" s="22">
        <f t="shared" ref="O1070:O1073" si="109">(K1070/N1070-1)</f>
        <v>-0.23743434350049397</v>
      </c>
    </row>
    <row r="1071" spans="1:15" x14ac:dyDescent="0.25">
      <c r="A1071" s="30" t="s">
        <v>44</v>
      </c>
      <c r="B1071" s="30" t="s">
        <v>333</v>
      </c>
      <c r="C1071" s="30">
        <v>25</v>
      </c>
      <c r="D1071" s="190">
        <v>656265.06700000004</v>
      </c>
      <c r="E1071" s="30" t="s">
        <v>10</v>
      </c>
      <c r="F1071" s="190">
        <v>3737.5010000000002</v>
      </c>
      <c r="G1071" s="30" t="s">
        <v>335</v>
      </c>
      <c r="H1071" s="30"/>
      <c r="J1071" s="6">
        <v>10000</v>
      </c>
      <c r="K1071" s="119">
        <f>D1074</f>
        <v>134780.201</v>
      </c>
      <c r="L1071" s="119">
        <f>D1075</f>
        <v>134823.53400000001</v>
      </c>
      <c r="M1071" s="18">
        <f t="shared" si="108"/>
        <v>-3.2140531192437205E-4</v>
      </c>
      <c r="N1071" s="73">
        <f>D1076</f>
        <v>149164.08499999999</v>
      </c>
      <c r="O1071" s="22">
        <f t="shared" si="109"/>
        <v>-9.6429941564016519E-2</v>
      </c>
    </row>
    <row r="1072" spans="1:15" x14ac:dyDescent="0.25">
      <c r="A1072" s="30" t="s">
        <v>45</v>
      </c>
      <c r="B1072" s="30" t="s">
        <v>333</v>
      </c>
      <c r="C1072" s="30">
        <v>25</v>
      </c>
      <c r="D1072" s="190">
        <v>675858.97199999995</v>
      </c>
      <c r="E1072" s="30" t="s">
        <v>10</v>
      </c>
      <c r="F1072" s="190">
        <v>13975.606</v>
      </c>
      <c r="G1072" s="30" t="s">
        <v>335</v>
      </c>
      <c r="H1072" s="30"/>
      <c r="J1072" s="67">
        <v>1000</v>
      </c>
      <c r="K1072" s="119">
        <f>D1077</f>
        <v>17338.062000000002</v>
      </c>
      <c r="L1072" s="119">
        <f>D1078</f>
        <v>15219.365</v>
      </c>
      <c r="M1072" s="18">
        <f t="shared" si="108"/>
        <v>0.13921060438461152</v>
      </c>
      <c r="N1072" s="73">
        <f>D1079</f>
        <v>16028.921</v>
      </c>
      <c r="O1072" s="22">
        <f t="shared" si="109"/>
        <v>8.1673682214791654E-2</v>
      </c>
    </row>
    <row r="1073" spans="1:15" ht="20" thickBot="1" x14ac:dyDescent="0.3">
      <c r="A1073" s="30" t="s">
        <v>46</v>
      </c>
      <c r="B1073" s="30" t="s">
        <v>333</v>
      </c>
      <c r="C1073" s="30">
        <v>25</v>
      </c>
      <c r="D1073" s="190">
        <v>860601.39399999997</v>
      </c>
      <c r="E1073" s="30" t="s">
        <v>10</v>
      </c>
      <c r="F1073" s="190">
        <v>35618.292999999998</v>
      </c>
      <c r="G1073" s="30" t="s">
        <v>335</v>
      </c>
      <c r="H1073" s="30"/>
      <c r="J1073" s="68">
        <v>100</v>
      </c>
      <c r="K1073" s="120">
        <f>D1080</f>
        <v>1323.7840000000001</v>
      </c>
      <c r="L1073" s="120">
        <f>D1081</f>
        <v>1300.566</v>
      </c>
      <c r="M1073" s="19">
        <f t="shared" si="108"/>
        <v>1.7852227414833388E-2</v>
      </c>
      <c r="N1073" s="74">
        <f>D1082</f>
        <v>1446.47</v>
      </c>
      <c r="O1073" s="23">
        <f t="shared" si="109"/>
        <v>-8.4817521275933783E-2</v>
      </c>
    </row>
    <row r="1074" spans="1:15" x14ac:dyDescent="0.25">
      <c r="A1074" s="30" t="s">
        <v>47</v>
      </c>
      <c r="B1074" s="30" t="s">
        <v>333</v>
      </c>
      <c r="C1074" s="30">
        <v>25</v>
      </c>
      <c r="D1074" s="190">
        <v>134780.201</v>
      </c>
      <c r="E1074" s="30" t="s">
        <v>10</v>
      </c>
      <c r="F1074" s="190">
        <v>133.624</v>
      </c>
      <c r="G1074" s="30" t="s">
        <v>335</v>
      </c>
      <c r="H1074" s="30"/>
    </row>
    <row r="1075" spans="1:15" x14ac:dyDescent="0.25">
      <c r="A1075" s="30" t="s">
        <v>48</v>
      </c>
      <c r="B1075" s="30" t="s">
        <v>333</v>
      </c>
      <c r="C1075" s="30">
        <v>25</v>
      </c>
      <c r="D1075" s="190">
        <v>134823.53400000001</v>
      </c>
      <c r="E1075" s="30" t="s">
        <v>10</v>
      </c>
      <c r="F1075" s="190">
        <v>1431.15</v>
      </c>
      <c r="G1075" s="30" t="s">
        <v>335</v>
      </c>
      <c r="H1075" s="30"/>
    </row>
    <row r="1076" spans="1:15" x14ac:dyDescent="0.25">
      <c r="A1076" s="30" t="s">
        <v>49</v>
      </c>
      <c r="B1076" s="30" t="s">
        <v>333</v>
      </c>
      <c r="C1076" s="30">
        <v>25</v>
      </c>
      <c r="D1076" s="190">
        <v>149164.08499999999</v>
      </c>
      <c r="E1076" s="30" t="s">
        <v>10</v>
      </c>
      <c r="F1076" s="190">
        <v>3025.721</v>
      </c>
      <c r="G1076" s="30" t="s">
        <v>335</v>
      </c>
      <c r="H1076" s="30"/>
    </row>
    <row r="1077" spans="1:15" x14ac:dyDescent="0.25">
      <c r="A1077" s="30" t="s">
        <v>50</v>
      </c>
      <c r="B1077" s="30" t="s">
        <v>333</v>
      </c>
      <c r="C1077" s="30">
        <v>25</v>
      </c>
      <c r="D1077" s="190">
        <v>17338.062000000002</v>
      </c>
      <c r="E1077" s="30" t="s">
        <v>10</v>
      </c>
      <c r="F1077" s="190">
        <v>189.892</v>
      </c>
      <c r="G1077" s="30" t="s">
        <v>335</v>
      </c>
      <c r="H1077" s="30"/>
    </row>
    <row r="1078" spans="1:15" x14ac:dyDescent="0.25">
      <c r="A1078" s="30" t="s">
        <v>51</v>
      </c>
      <c r="B1078" s="30" t="s">
        <v>333</v>
      </c>
      <c r="C1078" s="30">
        <v>25</v>
      </c>
      <c r="D1078" s="190">
        <v>15219.365</v>
      </c>
      <c r="E1078" s="30" t="s">
        <v>10</v>
      </c>
      <c r="F1078" s="190">
        <v>24.367999999999999</v>
      </c>
      <c r="G1078" s="30" t="s">
        <v>335</v>
      </c>
      <c r="H1078" s="30"/>
    </row>
    <row r="1079" spans="1:15" x14ac:dyDescent="0.25">
      <c r="A1079" s="30" t="s">
        <v>52</v>
      </c>
      <c r="B1079" s="30" t="s">
        <v>333</v>
      </c>
      <c r="C1079" s="30">
        <v>25</v>
      </c>
      <c r="D1079" s="190">
        <v>16028.921</v>
      </c>
      <c r="E1079" s="30" t="s">
        <v>10</v>
      </c>
      <c r="F1079" s="190">
        <v>269.86900000000003</v>
      </c>
      <c r="G1079" s="30" t="s">
        <v>335</v>
      </c>
      <c r="H1079" s="30"/>
    </row>
    <row r="1080" spans="1:15" x14ac:dyDescent="0.25">
      <c r="A1080" s="30" t="s">
        <v>53</v>
      </c>
      <c r="B1080" s="30" t="s">
        <v>333</v>
      </c>
      <c r="C1080" s="30">
        <v>25</v>
      </c>
      <c r="D1080" s="190">
        <v>1323.7840000000001</v>
      </c>
      <c r="E1080" s="30" t="s">
        <v>10</v>
      </c>
      <c r="F1080" s="190">
        <v>3.4369999999999998</v>
      </c>
      <c r="G1080" s="30" t="s">
        <v>335</v>
      </c>
      <c r="H1080" s="30"/>
    </row>
    <row r="1081" spans="1:15" x14ac:dyDescent="0.25">
      <c r="A1081" s="30" t="s">
        <v>54</v>
      </c>
      <c r="B1081" s="30" t="s">
        <v>333</v>
      </c>
      <c r="C1081" s="30">
        <v>25</v>
      </c>
      <c r="D1081" s="190">
        <v>1300.566</v>
      </c>
      <c r="E1081" s="30" t="s">
        <v>10</v>
      </c>
      <c r="F1081" s="190">
        <v>17.55</v>
      </c>
      <c r="G1081" s="30" t="s">
        <v>335</v>
      </c>
      <c r="H1081" s="30"/>
    </row>
    <row r="1082" spans="1:15" x14ac:dyDescent="0.25">
      <c r="A1082" s="30" t="s">
        <v>55</v>
      </c>
      <c r="B1082" s="30" t="s">
        <v>333</v>
      </c>
      <c r="C1082" s="30">
        <v>25</v>
      </c>
      <c r="D1082" s="190">
        <v>1446.47</v>
      </c>
      <c r="E1082" s="30" t="s">
        <v>10</v>
      </c>
      <c r="F1082" s="190">
        <v>22.731999999999999</v>
      </c>
      <c r="G1082" s="30" t="s">
        <v>335</v>
      </c>
      <c r="H1082" s="30"/>
    </row>
    <row r="1084" spans="1:15" x14ac:dyDescent="0.25">
      <c r="A1084" s="30" t="s">
        <v>165</v>
      </c>
      <c r="B1084" s="30"/>
      <c r="C1084" s="30"/>
      <c r="D1084" s="190"/>
      <c r="E1084" s="30"/>
      <c r="F1084" s="190"/>
      <c r="G1084" s="30"/>
      <c r="H1084" s="30"/>
    </row>
    <row r="1085" spans="1:15" ht="20" thickBot="1" x14ac:dyDescent="0.3">
      <c r="A1085" s="30" t="s">
        <v>2</v>
      </c>
      <c r="B1085" s="30" t="s">
        <v>3</v>
      </c>
      <c r="C1085" s="30" t="s">
        <v>4</v>
      </c>
      <c r="D1085" s="190" t="s">
        <v>5</v>
      </c>
      <c r="E1085" s="30" t="s">
        <v>6</v>
      </c>
      <c r="F1085" s="190" t="s">
        <v>7</v>
      </c>
      <c r="G1085" s="30"/>
      <c r="H1085" s="30"/>
    </row>
    <row r="1086" spans="1:15" x14ac:dyDescent="0.25">
      <c r="A1086" s="30" t="s">
        <v>56</v>
      </c>
      <c r="B1086" s="30" t="s">
        <v>333</v>
      </c>
      <c r="C1086" s="30">
        <v>25</v>
      </c>
      <c r="D1086" s="190">
        <v>965056.978</v>
      </c>
      <c r="E1086" s="30" t="s">
        <v>10</v>
      </c>
      <c r="F1086" s="190">
        <v>2409.0729999999999</v>
      </c>
      <c r="G1086" s="30" t="s">
        <v>335</v>
      </c>
      <c r="H1086" s="30"/>
      <c r="J1086" s="5" t="s">
        <v>165</v>
      </c>
      <c r="K1086" s="72" t="s">
        <v>340</v>
      </c>
      <c r="L1086" s="72" t="s">
        <v>341</v>
      </c>
      <c r="M1086" s="17" t="s">
        <v>162</v>
      </c>
      <c r="N1086" s="72" t="s">
        <v>342</v>
      </c>
      <c r="O1086" s="21" t="s">
        <v>162</v>
      </c>
    </row>
    <row r="1087" spans="1:15" x14ac:dyDescent="0.25">
      <c r="A1087" s="30" t="s">
        <v>57</v>
      </c>
      <c r="B1087" s="30" t="s">
        <v>333</v>
      </c>
      <c r="C1087" s="30">
        <v>25</v>
      </c>
      <c r="D1087" s="190">
        <v>710467.53</v>
      </c>
      <c r="E1087" s="30" t="s">
        <v>10</v>
      </c>
      <c r="F1087" s="190">
        <v>2168.1149999999998</v>
      </c>
      <c r="G1087" s="30" t="s">
        <v>335</v>
      </c>
      <c r="H1087" s="30"/>
      <c r="J1087" s="6">
        <v>100000</v>
      </c>
      <c r="K1087" s="119">
        <f>D1086</f>
        <v>965056.978</v>
      </c>
      <c r="L1087" s="119">
        <f>D1087</f>
        <v>710467.53</v>
      </c>
      <c r="M1087" s="18">
        <f>(K1087/L1087-1)</f>
        <v>0.35834072248171567</v>
      </c>
      <c r="N1087" s="73">
        <f>D1088</f>
        <v>748714.29500000004</v>
      </c>
      <c r="O1087" s="22">
        <f>(K1087/N1087-1)</f>
        <v>0.28895225380997958</v>
      </c>
    </row>
    <row r="1088" spans="1:15" x14ac:dyDescent="0.25">
      <c r="A1088" s="30" t="s">
        <v>58</v>
      </c>
      <c r="B1088" s="30" t="s">
        <v>333</v>
      </c>
      <c r="C1088" s="30">
        <v>25</v>
      </c>
      <c r="D1088" s="190">
        <v>748714.29500000004</v>
      </c>
      <c r="E1088" s="30" t="s">
        <v>10</v>
      </c>
      <c r="F1088" s="190">
        <v>1867.19</v>
      </c>
      <c r="G1088" s="30" t="s">
        <v>335</v>
      </c>
      <c r="H1088" s="30"/>
      <c r="J1088" s="6">
        <v>50000</v>
      </c>
      <c r="K1088" s="119">
        <f>D1089</f>
        <v>478768.20699999999</v>
      </c>
      <c r="L1088" s="119">
        <f>D1090</f>
        <v>336820.21600000001</v>
      </c>
      <c r="M1088" s="18">
        <f t="shared" ref="M1088:M1091" si="110">(K1088/L1088-1)</f>
        <v>0.42143548473943127</v>
      </c>
      <c r="N1088" s="73">
        <f>D1091</f>
        <v>375657.58100000001</v>
      </c>
      <c r="O1088" s="22">
        <f t="shared" ref="O1088:O1091" si="111">(K1088/N1088-1)</f>
        <v>0.27448035449070307</v>
      </c>
    </row>
    <row r="1089" spans="1:15" x14ac:dyDescent="0.25">
      <c r="A1089" s="30" t="s">
        <v>59</v>
      </c>
      <c r="B1089" s="30" t="s">
        <v>333</v>
      </c>
      <c r="C1089" s="30">
        <v>25</v>
      </c>
      <c r="D1089" s="190">
        <v>478768.20699999999</v>
      </c>
      <c r="E1089" s="30" t="s">
        <v>10</v>
      </c>
      <c r="F1089" s="190">
        <v>1536.2950000000001</v>
      </c>
      <c r="G1089" s="30" t="s">
        <v>335</v>
      </c>
      <c r="H1089" s="30"/>
      <c r="J1089" s="6">
        <v>10000</v>
      </c>
      <c r="K1089" s="119">
        <f>D1092</f>
        <v>98200.721000000005</v>
      </c>
      <c r="L1089" s="119">
        <f>D1093</f>
        <v>68766.883000000002</v>
      </c>
      <c r="M1089" s="18">
        <f t="shared" si="110"/>
        <v>0.42802344262135605</v>
      </c>
      <c r="N1089" s="73">
        <f>D1094</f>
        <v>77397.751000000004</v>
      </c>
      <c r="O1089" s="22">
        <f t="shared" si="111"/>
        <v>0.26878003212263879</v>
      </c>
    </row>
    <row r="1090" spans="1:15" x14ac:dyDescent="0.25">
      <c r="A1090" s="30" t="s">
        <v>60</v>
      </c>
      <c r="B1090" s="30" t="s">
        <v>333</v>
      </c>
      <c r="C1090" s="30">
        <v>25</v>
      </c>
      <c r="D1090" s="190">
        <v>336820.21600000001</v>
      </c>
      <c r="E1090" s="30" t="s">
        <v>10</v>
      </c>
      <c r="F1090" s="190">
        <v>595.84</v>
      </c>
      <c r="G1090" s="30" t="s">
        <v>335</v>
      </c>
      <c r="H1090" s="30"/>
      <c r="J1090" s="67">
        <v>1000</v>
      </c>
      <c r="K1090" s="119">
        <f>D1095</f>
        <v>12430.752</v>
      </c>
      <c r="L1090" s="119">
        <f>D1096</f>
        <v>7727.7240000000002</v>
      </c>
      <c r="M1090" s="18">
        <f t="shared" si="110"/>
        <v>0.60859161119108296</v>
      </c>
      <c r="N1090" s="73">
        <f>D1097</f>
        <v>8880.73</v>
      </c>
      <c r="O1090" s="22">
        <f t="shared" si="111"/>
        <v>0.39974439038232235</v>
      </c>
    </row>
    <row r="1091" spans="1:15" ht="20" thickBot="1" x14ac:dyDescent="0.3">
      <c r="A1091" s="30" t="s">
        <v>61</v>
      </c>
      <c r="B1091" s="30" t="s">
        <v>333</v>
      </c>
      <c r="C1091" s="30">
        <v>25</v>
      </c>
      <c r="D1091" s="190">
        <v>375657.58100000001</v>
      </c>
      <c r="E1091" s="30" t="s">
        <v>10</v>
      </c>
      <c r="F1091" s="190">
        <v>788.76900000000001</v>
      </c>
      <c r="G1091" s="30" t="s">
        <v>335</v>
      </c>
      <c r="H1091" s="30"/>
      <c r="J1091" s="68">
        <v>100</v>
      </c>
      <c r="K1091" s="120">
        <f>D1098</f>
        <v>965.07500000000005</v>
      </c>
      <c r="L1091" s="120">
        <f>D1099</f>
        <v>626.92100000000005</v>
      </c>
      <c r="M1091" s="19">
        <f t="shared" si="110"/>
        <v>0.53938853539760179</v>
      </c>
      <c r="N1091" s="74">
        <f>D1100</f>
        <v>1131.876</v>
      </c>
      <c r="O1091" s="23">
        <f t="shared" si="111"/>
        <v>-0.14736684937219269</v>
      </c>
    </row>
    <row r="1092" spans="1:15" x14ac:dyDescent="0.25">
      <c r="A1092" s="30" t="s">
        <v>62</v>
      </c>
      <c r="B1092" s="30" t="s">
        <v>333</v>
      </c>
      <c r="C1092" s="30">
        <v>25</v>
      </c>
      <c r="D1092" s="190">
        <v>98200.721000000005</v>
      </c>
      <c r="E1092" s="30" t="s">
        <v>10</v>
      </c>
      <c r="F1092" s="190">
        <v>112.652</v>
      </c>
      <c r="G1092" s="30" t="s">
        <v>335</v>
      </c>
      <c r="H1092" s="30"/>
    </row>
    <row r="1093" spans="1:15" x14ac:dyDescent="0.25">
      <c r="A1093" s="30" t="s">
        <v>63</v>
      </c>
      <c r="B1093" s="30" t="s">
        <v>333</v>
      </c>
      <c r="C1093" s="30">
        <v>25</v>
      </c>
      <c r="D1093" s="190">
        <v>68766.883000000002</v>
      </c>
      <c r="E1093" s="30" t="s">
        <v>10</v>
      </c>
      <c r="F1093" s="190">
        <v>576.92600000000004</v>
      </c>
      <c r="G1093" s="30" t="s">
        <v>335</v>
      </c>
      <c r="H1093" s="30"/>
    </row>
    <row r="1094" spans="1:15" x14ac:dyDescent="0.25">
      <c r="A1094" s="30" t="s">
        <v>64</v>
      </c>
      <c r="B1094" s="30" t="s">
        <v>333</v>
      </c>
      <c r="C1094" s="30">
        <v>25</v>
      </c>
      <c r="D1094" s="190">
        <v>77397.751000000004</v>
      </c>
      <c r="E1094" s="30" t="s">
        <v>10</v>
      </c>
      <c r="F1094" s="190">
        <v>164.40700000000001</v>
      </c>
      <c r="G1094" s="30" t="s">
        <v>335</v>
      </c>
      <c r="H1094" s="30"/>
    </row>
    <row r="1095" spans="1:15" x14ac:dyDescent="0.25">
      <c r="A1095" s="30" t="s">
        <v>65</v>
      </c>
      <c r="B1095" s="30" t="s">
        <v>333</v>
      </c>
      <c r="C1095" s="30">
        <v>25</v>
      </c>
      <c r="D1095" s="190">
        <v>12430.752</v>
      </c>
      <c r="E1095" s="30" t="s">
        <v>10</v>
      </c>
      <c r="F1095" s="190">
        <v>16.661000000000001</v>
      </c>
      <c r="G1095" s="30" t="s">
        <v>335</v>
      </c>
      <c r="H1095" s="30"/>
    </row>
    <row r="1096" spans="1:15" x14ac:dyDescent="0.25">
      <c r="A1096" s="30" t="s">
        <v>66</v>
      </c>
      <c r="B1096" s="30" t="s">
        <v>333</v>
      </c>
      <c r="C1096" s="30">
        <v>25</v>
      </c>
      <c r="D1096" s="190">
        <v>7727.7240000000002</v>
      </c>
      <c r="E1096" s="30" t="s">
        <v>10</v>
      </c>
      <c r="F1096" s="190">
        <v>46.39</v>
      </c>
      <c r="G1096" s="30" t="s">
        <v>335</v>
      </c>
      <c r="H1096" s="30"/>
    </row>
    <row r="1097" spans="1:15" x14ac:dyDescent="0.25">
      <c r="A1097" s="30" t="s">
        <v>67</v>
      </c>
      <c r="B1097" s="30" t="s">
        <v>333</v>
      </c>
      <c r="C1097" s="30">
        <v>25</v>
      </c>
      <c r="D1097" s="190">
        <v>8880.73</v>
      </c>
      <c r="E1097" s="30" t="s">
        <v>10</v>
      </c>
      <c r="F1097" s="190">
        <v>16.074999999999999</v>
      </c>
      <c r="G1097" s="30" t="s">
        <v>335</v>
      </c>
      <c r="H1097" s="30"/>
    </row>
    <row r="1098" spans="1:15" x14ac:dyDescent="0.25">
      <c r="A1098" s="30" t="s">
        <v>68</v>
      </c>
      <c r="B1098" s="30" t="s">
        <v>333</v>
      </c>
      <c r="C1098" s="30">
        <v>25</v>
      </c>
      <c r="D1098" s="190">
        <v>965.07500000000005</v>
      </c>
      <c r="E1098" s="30" t="s">
        <v>10</v>
      </c>
      <c r="F1098" s="190">
        <v>2.9449999999999998</v>
      </c>
      <c r="G1098" s="30" t="s">
        <v>335</v>
      </c>
      <c r="H1098" s="30"/>
    </row>
    <row r="1099" spans="1:15" x14ac:dyDescent="0.25">
      <c r="A1099" s="30" t="s">
        <v>69</v>
      </c>
      <c r="B1099" s="30" t="s">
        <v>333</v>
      </c>
      <c r="C1099" s="30">
        <v>25</v>
      </c>
      <c r="D1099" s="190">
        <v>626.92100000000005</v>
      </c>
      <c r="E1099" s="30" t="s">
        <v>10</v>
      </c>
      <c r="F1099" s="190">
        <v>1.363</v>
      </c>
      <c r="G1099" s="30" t="s">
        <v>335</v>
      </c>
      <c r="H1099" s="30"/>
    </row>
    <row r="1100" spans="1:15" x14ac:dyDescent="0.25">
      <c r="A1100" s="30" t="s">
        <v>70</v>
      </c>
      <c r="B1100" s="30" t="s">
        <v>333</v>
      </c>
      <c r="C1100" s="30">
        <v>25</v>
      </c>
      <c r="D1100" s="190">
        <v>1131.876</v>
      </c>
      <c r="E1100" s="30" t="s">
        <v>10</v>
      </c>
      <c r="F1100" s="190">
        <v>27.42</v>
      </c>
      <c r="G1100" s="30" t="s">
        <v>335</v>
      </c>
      <c r="H1100" s="30"/>
    </row>
    <row r="1102" spans="1:15" x14ac:dyDescent="0.25">
      <c r="A1102" s="30" t="s">
        <v>571</v>
      </c>
      <c r="B1102" s="30"/>
      <c r="C1102" s="30"/>
      <c r="D1102" s="190"/>
      <c r="E1102" s="30"/>
      <c r="F1102" s="190"/>
      <c r="G1102" s="30"/>
      <c r="H1102" s="30"/>
    </row>
    <row r="1103" spans="1:15" ht="20" thickBot="1" x14ac:dyDescent="0.3">
      <c r="A1103" s="30" t="s">
        <v>2</v>
      </c>
      <c r="B1103" s="30" t="s">
        <v>3</v>
      </c>
      <c r="C1103" s="30" t="s">
        <v>4</v>
      </c>
      <c r="D1103" s="190" t="s">
        <v>5</v>
      </c>
      <c r="E1103" s="30" t="s">
        <v>6</v>
      </c>
      <c r="F1103" s="190" t="s">
        <v>7</v>
      </c>
      <c r="G1103" s="30"/>
      <c r="H1103" s="30"/>
    </row>
    <row r="1104" spans="1:15" x14ac:dyDescent="0.25">
      <c r="A1104" s="30" t="s">
        <v>71</v>
      </c>
      <c r="B1104" s="30" t="s">
        <v>333</v>
      </c>
      <c r="C1104" s="30">
        <v>25</v>
      </c>
      <c r="D1104" s="190">
        <v>535070.51800000004</v>
      </c>
      <c r="E1104" s="30" t="s">
        <v>10</v>
      </c>
      <c r="F1104" s="190">
        <v>1189.1400000000001</v>
      </c>
      <c r="G1104" s="30" t="s">
        <v>335</v>
      </c>
      <c r="H1104" s="30"/>
      <c r="J1104" s="5" t="s">
        <v>571</v>
      </c>
      <c r="K1104" s="72" t="s">
        <v>340</v>
      </c>
      <c r="L1104" s="72" t="s">
        <v>341</v>
      </c>
      <c r="M1104" s="17" t="s">
        <v>162</v>
      </c>
      <c r="N1104" s="72" t="s">
        <v>342</v>
      </c>
      <c r="O1104" s="21" t="s">
        <v>162</v>
      </c>
    </row>
    <row r="1105" spans="1:15" x14ac:dyDescent="0.25">
      <c r="A1105" s="30" t="s">
        <v>72</v>
      </c>
      <c r="B1105" s="30" t="s">
        <v>333</v>
      </c>
      <c r="C1105" s="30">
        <v>25</v>
      </c>
      <c r="D1105" s="190">
        <v>188004.514</v>
      </c>
      <c r="E1105" s="30" t="s">
        <v>10</v>
      </c>
      <c r="F1105" s="190">
        <v>5829.9759999999997</v>
      </c>
      <c r="G1105" s="30" t="s">
        <v>335</v>
      </c>
      <c r="H1105" s="30"/>
      <c r="J1105" s="6">
        <v>100000</v>
      </c>
      <c r="K1105" s="119">
        <f>D1104</f>
        <v>535070.51800000004</v>
      </c>
      <c r="L1105" s="119">
        <f>D1105</f>
        <v>188004.514</v>
      </c>
      <c r="M1105" s="18">
        <f>(K1105/L1105-1)</f>
        <v>1.8460514410840161</v>
      </c>
      <c r="N1105" s="73">
        <f>D1106</f>
        <v>379568.08600000001</v>
      </c>
      <c r="O1105" s="22">
        <f>(K1105/N1105-1)</f>
        <v>0.40968257800261965</v>
      </c>
    </row>
    <row r="1106" spans="1:15" x14ac:dyDescent="0.25">
      <c r="A1106" s="30" t="s">
        <v>73</v>
      </c>
      <c r="B1106" s="30" t="s">
        <v>333</v>
      </c>
      <c r="C1106" s="30">
        <v>25</v>
      </c>
      <c r="D1106" s="190">
        <v>379568.08600000001</v>
      </c>
      <c r="E1106" s="30" t="s">
        <v>10</v>
      </c>
      <c r="F1106" s="190">
        <v>1519.56</v>
      </c>
      <c r="G1106" s="30" t="s">
        <v>335</v>
      </c>
      <c r="H1106" s="30"/>
      <c r="J1106" s="6">
        <v>50000</v>
      </c>
      <c r="K1106" s="119">
        <f>D1107</f>
        <v>262414.49200000003</v>
      </c>
      <c r="L1106" s="119">
        <f>D1108</f>
        <v>67055.985000000001</v>
      </c>
      <c r="M1106" s="18">
        <f t="shared" ref="M1106:M1109" si="112">(K1106/L1106-1)</f>
        <v>2.9133642135001079</v>
      </c>
      <c r="N1106" s="73">
        <f>D1109</f>
        <v>179327.93900000001</v>
      </c>
      <c r="O1106" s="22">
        <f t="shared" ref="O1106:O1109" si="113">(K1106/N1106-1)</f>
        <v>0.46332185304376927</v>
      </c>
    </row>
    <row r="1107" spans="1:15" x14ac:dyDescent="0.25">
      <c r="A1107" s="30" t="s">
        <v>74</v>
      </c>
      <c r="B1107" s="30" t="s">
        <v>333</v>
      </c>
      <c r="C1107" s="30">
        <v>25</v>
      </c>
      <c r="D1107" s="190">
        <v>262414.49200000003</v>
      </c>
      <c r="E1107" s="30" t="s">
        <v>10</v>
      </c>
      <c r="F1107" s="190">
        <v>703.08799999999997</v>
      </c>
      <c r="G1107" s="30" t="s">
        <v>335</v>
      </c>
      <c r="H1107" s="30"/>
      <c r="J1107" s="6">
        <v>10000</v>
      </c>
      <c r="K1107" s="119">
        <f>D1110</f>
        <v>47104.345000000001</v>
      </c>
      <c r="L1107" s="119">
        <f>D1111</f>
        <v>11001.585999999999</v>
      </c>
      <c r="M1107" s="18">
        <f t="shared" si="112"/>
        <v>3.2815958535432985</v>
      </c>
      <c r="N1107" s="73">
        <f>D1112</f>
        <v>27750.521000000001</v>
      </c>
      <c r="O1107" s="22">
        <f t="shared" si="113"/>
        <v>0.69742200515802932</v>
      </c>
    </row>
    <row r="1108" spans="1:15" x14ac:dyDescent="0.25">
      <c r="A1108" s="30" t="s">
        <v>75</v>
      </c>
      <c r="B1108" s="30" t="s">
        <v>333</v>
      </c>
      <c r="C1108" s="30">
        <v>25</v>
      </c>
      <c r="D1108" s="190">
        <v>67055.985000000001</v>
      </c>
      <c r="E1108" s="30" t="s">
        <v>10</v>
      </c>
      <c r="F1108" s="190">
        <v>3259.384</v>
      </c>
      <c r="G1108" s="30" t="s">
        <v>335</v>
      </c>
      <c r="H1108" s="30"/>
      <c r="J1108" s="67">
        <v>1000</v>
      </c>
      <c r="K1108" s="119">
        <f>D1113</f>
        <v>4590.7</v>
      </c>
      <c r="L1108" s="119">
        <f>D1114</f>
        <v>1210.8910000000001</v>
      </c>
      <c r="M1108" s="18">
        <f t="shared" si="112"/>
        <v>2.7911752585492828</v>
      </c>
      <c r="N1108" s="73">
        <f>D1115</f>
        <v>2801.8270000000002</v>
      </c>
      <c r="O1108" s="22">
        <f t="shared" si="113"/>
        <v>0.63846661481954436</v>
      </c>
    </row>
    <row r="1109" spans="1:15" ht="20" thickBot="1" x14ac:dyDescent="0.3">
      <c r="A1109" s="30" t="s">
        <v>76</v>
      </c>
      <c r="B1109" s="30" t="s">
        <v>333</v>
      </c>
      <c r="C1109" s="30">
        <v>25</v>
      </c>
      <c r="D1109" s="190">
        <v>179327.93900000001</v>
      </c>
      <c r="E1109" s="30" t="s">
        <v>10</v>
      </c>
      <c r="F1109" s="190">
        <v>1476.5519999999999</v>
      </c>
      <c r="G1109" s="30" t="s">
        <v>335</v>
      </c>
      <c r="H1109" s="30"/>
      <c r="J1109" s="68">
        <v>100</v>
      </c>
      <c r="K1109" s="120">
        <f>D1116</f>
        <v>396.10300000000001</v>
      </c>
      <c r="L1109" s="120">
        <f>D1117</f>
        <v>132.70699999999999</v>
      </c>
      <c r="M1109" s="19">
        <f t="shared" si="112"/>
        <v>1.9847935677846689</v>
      </c>
      <c r="N1109" s="74">
        <f>D1118</f>
        <v>307.16899999999998</v>
      </c>
      <c r="O1109" s="23">
        <f t="shared" si="113"/>
        <v>0.28952791460075744</v>
      </c>
    </row>
    <row r="1110" spans="1:15" x14ac:dyDescent="0.25">
      <c r="A1110" s="30" t="s">
        <v>77</v>
      </c>
      <c r="B1110" s="30" t="s">
        <v>333</v>
      </c>
      <c r="C1110" s="30">
        <v>25</v>
      </c>
      <c r="D1110" s="190">
        <v>47104.345000000001</v>
      </c>
      <c r="E1110" s="30" t="s">
        <v>10</v>
      </c>
      <c r="F1110" s="190">
        <v>176.30500000000001</v>
      </c>
      <c r="G1110" s="30" t="s">
        <v>335</v>
      </c>
      <c r="H1110" s="30"/>
    </row>
    <row r="1111" spans="1:15" x14ac:dyDescent="0.25">
      <c r="A1111" s="30" t="s">
        <v>78</v>
      </c>
      <c r="B1111" s="30" t="s">
        <v>333</v>
      </c>
      <c r="C1111" s="30">
        <v>25</v>
      </c>
      <c r="D1111" s="190">
        <v>11001.585999999999</v>
      </c>
      <c r="E1111" s="30" t="s">
        <v>10</v>
      </c>
      <c r="F1111" s="190">
        <v>39.927999999999997</v>
      </c>
      <c r="G1111" s="30" t="s">
        <v>335</v>
      </c>
      <c r="H1111" s="30"/>
    </row>
    <row r="1112" spans="1:15" x14ac:dyDescent="0.25">
      <c r="A1112" s="30" t="s">
        <v>79</v>
      </c>
      <c r="B1112" s="30" t="s">
        <v>333</v>
      </c>
      <c r="C1112" s="30">
        <v>25</v>
      </c>
      <c r="D1112" s="190">
        <v>27750.521000000001</v>
      </c>
      <c r="E1112" s="30" t="s">
        <v>10</v>
      </c>
      <c r="F1112" s="190">
        <v>110.714</v>
      </c>
      <c r="G1112" s="30" t="s">
        <v>335</v>
      </c>
      <c r="H1112" s="30"/>
    </row>
    <row r="1113" spans="1:15" x14ac:dyDescent="0.25">
      <c r="A1113" s="30" t="s">
        <v>80</v>
      </c>
      <c r="B1113" s="30" t="s">
        <v>333</v>
      </c>
      <c r="C1113" s="30">
        <v>25</v>
      </c>
      <c r="D1113" s="190">
        <v>4590.7</v>
      </c>
      <c r="E1113" s="30" t="s">
        <v>10</v>
      </c>
      <c r="F1113" s="190">
        <v>8.9920000000000009</v>
      </c>
      <c r="G1113" s="30" t="s">
        <v>335</v>
      </c>
      <c r="H1113" s="30"/>
    </row>
    <row r="1114" spans="1:15" x14ac:dyDescent="0.25">
      <c r="A1114" s="30" t="s">
        <v>81</v>
      </c>
      <c r="B1114" s="30" t="s">
        <v>333</v>
      </c>
      <c r="C1114" s="30">
        <v>25</v>
      </c>
      <c r="D1114" s="190">
        <v>1210.8910000000001</v>
      </c>
      <c r="E1114" s="30" t="s">
        <v>10</v>
      </c>
      <c r="F1114" s="190">
        <v>2.1749999999999998</v>
      </c>
      <c r="G1114" s="30" t="s">
        <v>335</v>
      </c>
      <c r="H1114" s="30"/>
    </row>
    <row r="1115" spans="1:15" x14ac:dyDescent="0.25">
      <c r="A1115" s="30" t="s">
        <v>82</v>
      </c>
      <c r="B1115" s="30" t="s">
        <v>333</v>
      </c>
      <c r="C1115" s="30">
        <v>25</v>
      </c>
      <c r="D1115" s="190">
        <v>2801.8270000000002</v>
      </c>
      <c r="E1115" s="30" t="s">
        <v>10</v>
      </c>
      <c r="F1115" s="190">
        <v>26.513999999999999</v>
      </c>
      <c r="G1115" s="30" t="s">
        <v>335</v>
      </c>
      <c r="H1115" s="30"/>
    </row>
    <row r="1116" spans="1:15" x14ac:dyDescent="0.25">
      <c r="A1116" s="30" t="s">
        <v>83</v>
      </c>
      <c r="B1116" s="30" t="s">
        <v>333</v>
      </c>
      <c r="C1116" s="30">
        <v>25</v>
      </c>
      <c r="D1116" s="190">
        <v>396.10300000000001</v>
      </c>
      <c r="E1116" s="30" t="s">
        <v>10</v>
      </c>
      <c r="F1116" s="190">
        <v>0.42899999999999999</v>
      </c>
      <c r="G1116" s="30" t="s">
        <v>335</v>
      </c>
      <c r="H1116" s="30"/>
    </row>
    <row r="1117" spans="1:15" x14ac:dyDescent="0.25">
      <c r="A1117" s="30" t="s">
        <v>84</v>
      </c>
      <c r="B1117" s="30" t="s">
        <v>333</v>
      </c>
      <c r="C1117" s="30">
        <v>25</v>
      </c>
      <c r="D1117" s="190">
        <v>132.70699999999999</v>
      </c>
      <c r="E1117" s="30" t="s">
        <v>10</v>
      </c>
      <c r="F1117" s="190">
        <v>0.13100000000000001</v>
      </c>
      <c r="G1117" s="30" t="s">
        <v>335</v>
      </c>
      <c r="H1117" s="30"/>
    </row>
    <row r="1118" spans="1:15" x14ac:dyDescent="0.25">
      <c r="A1118" s="30" t="s">
        <v>85</v>
      </c>
      <c r="B1118" s="30" t="s">
        <v>333</v>
      </c>
      <c r="C1118" s="30">
        <v>25</v>
      </c>
      <c r="D1118" s="190">
        <v>307.16899999999998</v>
      </c>
      <c r="E1118" s="30" t="s">
        <v>10</v>
      </c>
      <c r="F1118" s="190">
        <v>0.39900000000000002</v>
      </c>
      <c r="G1118" s="30" t="s">
        <v>335</v>
      </c>
      <c r="H1118" s="30"/>
    </row>
    <row r="1119" spans="1:15" x14ac:dyDescent="0.25">
      <c r="A1119" s="30"/>
      <c r="B1119" s="30"/>
      <c r="C1119" s="30"/>
      <c r="D1119" s="190"/>
      <c r="E1119" s="30"/>
      <c r="F1119" s="190"/>
      <c r="G1119" s="30"/>
      <c r="H1119" s="30"/>
    </row>
    <row r="1120" spans="1:15" x14ac:dyDescent="0.25">
      <c r="A1120" s="30" t="s">
        <v>572</v>
      </c>
      <c r="B1120" s="30"/>
      <c r="C1120" s="30"/>
      <c r="D1120" s="190"/>
      <c r="E1120" s="30"/>
      <c r="F1120" s="190"/>
      <c r="G1120" s="30"/>
      <c r="H1120" s="30"/>
    </row>
    <row r="1121" spans="1:15" ht="20" thickBot="1" x14ac:dyDescent="0.3">
      <c r="A1121" s="30" t="s">
        <v>2</v>
      </c>
      <c r="B1121" s="30" t="s">
        <v>3</v>
      </c>
      <c r="C1121" s="30" t="s">
        <v>4</v>
      </c>
      <c r="D1121" s="190" t="s">
        <v>5</v>
      </c>
      <c r="E1121" s="30" t="s">
        <v>6</v>
      </c>
      <c r="F1121" s="190" t="s">
        <v>7</v>
      </c>
      <c r="G1121" s="30"/>
      <c r="H1121" s="30"/>
    </row>
    <row r="1122" spans="1:15" x14ac:dyDescent="0.25">
      <c r="A1122" s="30" t="s">
        <v>86</v>
      </c>
      <c r="B1122" s="30" t="s">
        <v>333</v>
      </c>
      <c r="C1122" s="30">
        <v>25</v>
      </c>
      <c r="D1122" s="190">
        <v>906850.89399999997</v>
      </c>
      <c r="E1122" s="30" t="s">
        <v>10</v>
      </c>
      <c r="F1122" s="190">
        <v>1353.2660000000001</v>
      </c>
      <c r="G1122" s="30" t="s">
        <v>335</v>
      </c>
      <c r="H1122" s="30"/>
      <c r="J1122" s="5" t="s">
        <v>572</v>
      </c>
      <c r="K1122" s="72" t="s">
        <v>340</v>
      </c>
      <c r="L1122" s="72" t="s">
        <v>341</v>
      </c>
      <c r="M1122" s="17" t="s">
        <v>162</v>
      </c>
      <c r="N1122" s="72" t="s">
        <v>342</v>
      </c>
      <c r="O1122" s="21" t="s">
        <v>162</v>
      </c>
    </row>
    <row r="1123" spans="1:15" x14ac:dyDescent="0.25">
      <c r="A1123" s="30" t="s">
        <v>87</v>
      </c>
      <c r="B1123" s="30" t="s">
        <v>333</v>
      </c>
      <c r="C1123" s="30">
        <v>25</v>
      </c>
      <c r="D1123" s="190">
        <v>469791.40899999999</v>
      </c>
      <c r="E1123" s="30" t="s">
        <v>10</v>
      </c>
      <c r="F1123" s="190">
        <v>20185.946</v>
      </c>
      <c r="G1123" s="30" t="s">
        <v>335</v>
      </c>
      <c r="H1123" s="30"/>
      <c r="J1123" s="6">
        <v>100000</v>
      </c>
      <c r="K1123" s="119">
        <f>D1122</f>
        <v>906850.89399999997</v>
      </c>
      <c r="L1123" s="119">
        <f>D1123</f>
        <v>469791.40899999999</v>
      </c>
      <c r="M1123" s="18">
        <f>(K1123/L1123-1)</f>
        <v>0.93032668675301378</v>
      </c>
      <c r="N1123" s="73">
        <f>D1124</f>
        <v>594426.07200000004</v>
      </c>
      <c r="O1123" s="22">
        <f>(K1123/N1123-1)</f>
        <v>0.52559071130379342</v>
      </c>
    </row>
    <row r="1124" spans="1:15" x14ac:dyDescent="0.25">
      <c r="A1124" s="30" t="s">
        <v>88</v>
      </c>
      <c r="B1124" s="30" t="s">
        <v>333</v>
      </c>
      <c r="C1124" s="30">
        <v>25</v>
      </c>
      <c r="D1124" s="190">
        <v>594426.07200000004</v>
      </c>
      <c r="E1124" s="30" t="s">
        <v>10</v>
      </c>
      <c r="F1124" s="190">
        <v>996.17600000000004</v>
      </c>
      <c r="G1124" s="30" t="s">
        <v>335</v>
      </c>
      <c r="H1124" s="30"/>
      <c r="J1124" s="6">
        <v>50000</v>
      </c>
      <c r="K1124" s="119">
        <f>D1125</f>
        <v>439993.24599999998</v>
      </c>
      <c r="L1124" s="119">
        <f>D1126</f>
        <v>225473.136</v>
      </c>
      <c r="M1124" s="18">
        <f t="shared" ref="M1124:M1127" si="114">(K1124/L1124-1)</f>
        <v>0.95142203548364179</v>
      </c>
      <c r="N1124" s="73">
        <f>D1127</f>
        <v>494119.60700000002</v>
      </c>
      <c r="O1124" s="22">
        <f t="shared" ref="O1124:O1127" si="115">(K1124/N1124-1)</f>
        <v>-0.10954101038131858</v>
      </c>
    </row>
    <row r="1125" spans="1:15" x14ac:dyDescent="0.25">
      <c r="A1125" s="30" t="s">
        <v>89</v>
      </c>
      <c r="B1125" s="30" t="s">
        <v>333</v>
      </c>
      <c r="C1125" s="30">
        <v>25</v>
      </c>
      <c r="D1125" s="190">
        <v>439993.24599999998</v>
      </c>
      <c r="E1125" s="30" t="s">
        <v>10</v>
      </c>
      <c r="F1125" s="190">
        <v>1251.998</v>
      </c>
      <c r="G1125" s="30" t="s">
        <v>335</v>
      </c>
      <c r="H1125" s="30"/>
      <c r="J1125" s="6">
        <v>10000</v>
      </c>
      <c r="K1125" s="119">
        <f>D1128</f>
        <v>82713.054000000004</v>
      </c>
      <c r="L1125" s="119">
        <f>D1129</f>
        <v>41043.177000000003</v>
      </c>
      <c r="M1125" s="18">
        <f t="shared" si="114"/>
        <v>1.0152692858060184</v>
      </c>
      <c r="N1125" s="73">
        <f>D1130</f>
        <v>55144.357000000004</v>
      </c>
      <c r="O1125" s="22">
        <f t="shared" si="115"/>
        <v>0.49993686570685725</v>
      </c>
    </row>
    <row r="1126" spans="1:15" x14ac:dyDescent="0.25">
      <c r="A1126" s="30" t="s">
        <v>90</v>
      </c>
      <c r="B1126" s="30" t="s">
        <v>333</v>
      </c>
      <c r="C1126" s="30">
        <v>25</v>
      </c>
      <c r="D1126" s="190">
        <v>225473.136</v>
      </c>
      <c r="E1126" s="30" t="s">
        <v>10</v>
      </c>
      <c r="F1126" s="190">
        <v>595.85400000000004</v>
      </c>
      <c r="G1126" s="30" t="s">
        <v>335</v>
      </c>
      <c r="H1126" s="30"/>
      <c r="J1126" s="67">
        <v>1000</v>
      </c>
      <c r="K1126" s="119">
        <f>D1131</f>
        <v>8365.6129999999994</v>
      </c>
      <c r="L1126" s="119">
        <f>D1132</f>
        <v>3770.297</v>
      </c>
      <c r="M1126" s="18">
        <f t="shared" si="114"/>
        <v>1.218820692375163</v>
      </c>
      <c r="N1126" s="73">
        <f>D1133</f>
        <v>5048.6509999999998</v>
      </c>
      <c r="O1126" s="22">
        <f t="shared" si="115"/>
        <v>0.65699966188987902</v>
      </c>
    </row>
    <row r="1127" spans="1:15" ht="20" thickBot="1" x14ac:dyDescent="0.3">
      <c r="A1127" s="30" t="s">
        <v>91</v>
      </c>
      <c r="B1127" s="30" t="s">
        <v>333</v>
      </c>
      <c r="C1127" s="30">
        <v>25</v>
      </c>
      <c r="D1127" s="190">
        <v>494119.60700000002</v>
      </c>
      <c r="E1127" s="30" t="s">
        <v>10</v>
      </c>
      <c r="F1127" s="190">
        <v>1156.8989999999999</v>
      </c>
      <c r="G1127" s="30" t="s">
        <v>335</v>
      </c>
      <c r="H1127" s="30"/>
      <c r="J1127" s="68">
        <v>100</v>
      </c>
      <c r="K1127" s="120">
        <f>D1134</f>
        <v>775.08799999999997</v>
      </c>
      <c r="L1127" s="120">
        <f>D1135</f>
        <v>404.36900000000003</v>
      </c>
      <c r="M1127" s="19">
        <f t="shared" si="114"/>
        <v>0.91678392755132054</v>
      </c>
      <c r="N1127" s="74">
        <f>D1136</f>
        <v>525.596</v>
      </c>
      <c r="O1127" s="23">
        <f t="shared" si="115"/>
        <v>0.47468397780805027</v>
      </c>
    </row>
    <row r="1128" spans="1:15" x14ac:dyDescent="0.25">
      <c r="A1128" s="30" t="s">
        <v>92</v>
      </c>
      <c r="B1128" s="30" t="s">
        <v>333</v>
      </c>
      <c r="C1128" s="30">
        <v>25</v>
      </c>
      <c r="D1128" s="190">
        <v>82713.054000000004</v>
      </c>
      <c r="E1128" s="30" t="s">
        <v>10</v>
      </c>
      <c r="F1128" s="190">
        <v>209.35</v>
      </c>
      <c r="G1128" s="30" t="s">
        <v>335</v>
      </c>
      <c r="H1128" s="30"/>
    </row>
    <row r="1129" spans="1:15" x14ac:dyDescent="0.25">
      <c r="A1129" s="30" t="s">
        <v>93</v>
      </c>
      <c r="B1129" s="30" t="s">
        <v>333</v>
      </c>
      <c r="C1129" s="30">
        <v>25</v>
      </c>
      <c r="D1129" s="190">
        <v>41043.177000000003</v>
      </c>
      <c r="E1129" s="30" t="s">
        <v>10</v>
      </c>
      <c r="F1129" s="190">
        <v>119.85899999999999</v>
      </c>
      <c r="G1129" s="30" t="s">
        <v>335</v>
      </c>
      <c r="H1129" s="30"/>
    </row>
    <row r="1130" spans="1:15" x14ac:dyDescent="0.25">
      <c r="A1130" s="30" t="s">
        <v>94</v>
      </c>
      <c r="B1130" s="30" t="s">
        <v>333</v>
      </c>
      <c r="C1130" s="30">
        <v>25</v>
      </c>
      <c r="D1130" s="190">
        <v>55144.357000000004</v>
      </c>
      <c r="E1130" s="30" t="s">
        <v>10</v>
      </c>
      <c r="F1130" s="190">
        <v>372.73200000000003</v>
      </c>
      <c r="G1130" s="30" t="s">
        <v>335</v>
      </c>
      <c r="H1130" s="30"/>
    </row>
    <row r="1131" spans="1:15" x14ac:dyDescent="0.25">
      <c r="A1131" s="30" t="s">
        <v>95</v>
      </c>
      <c r="B1131" s="30" t="s">
        <v>333</v>
      </c>
      <c r="C1131" s="30">
        <v>25</v>
      </c>
      <c r="D1131" s="190">
        <v>8365.6129999999994</v>
      </c>
      <c r="E1131" s="30" t="s">
        <v>10</v>
      </c>
      <c r="F1131" s="190">
        <v>28.497</v>
      </c>
      <c r="G1131" s="30" t="s">
        <v>335</v>
      </c>
      <c r="H1131" s="30"/>
    </row>
    <row r="1132" spans="1:15" x14ac:dyDescent="0.25">
      <c r="A1132" s="30" t="s">
        <v>96</v>
      </c>
      <c r="B1132" s="30" t="s">
        <v>333</v>
      </c>
      <c r="C1132" s="30">
        <v>25</v>
      </c>
      <c r="D1132" s="190">
        <v>3770.297</v>
      </c>
      <c r="E1132" s="30" t="s">
        <v>10</v>
      </c>
      <c r="F1132" s="190">
        <v>22.190999999999999</v>
      </c>
      <c r="G1132" s="30" t="s">
        <v>335</v>
      </c>
      <c r="H1132" s="30"/>
    </row>
    <row r="1133" spans="1:15" x14ac:dyDescent="0.25">
      <c r="A1133" s="30" t="s">
        <v>97</v>
      </c>
      <c r="B1133" s="30" t="s">
        <v>333</v>
      </c>
      <c r="C1133" s="30">
        <v>25</v>
      </c>
      <c r="D1133" s="190">
        <v>5048.6509999999998</v>
      </c>
      <c r="E1133" s="30" t="s">
        <v>10</v>
      </c>
      <c r="F1133" s="190">
        <v>36.732999999999997</v>
      </c>
      <c r="G1133" s="30" t="s">
        <v>335</v>
      </c>
      <c r="H1133" s="30"/>
    </row>
    <row r="1134" spans="1:15" x14ac:dyDescent="0.25">
      <c r="A1134" s="30" t="s">
        <v>98</v>
      </c>
      <c r="B1134" s="30" t="s">
        <v>333</v>
      </c>
      <c r="C1134" s="30">
        <v>25</v>
      </c>
      <c r="D1134" s="190">
        <v>775.08799999999997</v>
      </c>
      <c r="E1134" s="30" t="s">
        <v>10</v>
      </c>
      <c r="F1134" s="190">
        <v>4.8600000000000003</v>
      </c>
      <c r="G1134" s="30" t="s">
        <v>335</v>
      </c>
      <c r="H1134" s="30"/>
    </row>
    <row r="1135" spans="1:15" x14ac:dyDescent="0.25">
      <c r="A1135" s="30" t="s">
        <v>99</v>
      </c>
      <c r="B1135" s="30" t="s">
        <v>333</v>
      </c>
      <c r="C1135" s="30">
        <v>25</v>
      </c>
      <c r="D1135" s="190">
        <v>404.36900000000003</v>
      </c>
      <c r="E1135" s="30" t="s">
        <v>10</v>
      </c>
      <c r="F1135" s="190">
        <v>1.542</v>
      </c>
      <c r="G1135" s="30" t="s">
        <v>335</v>
      </c>
      <c r="H1135" s="30"/>
    </row>
    <row r="1136" spans="1:15" x14ac:dyDescent="0.25">
      <c r="A1136" s="30" t="s">
        <v>100</v>
      </c>
      <c r="B1136" s="30" t="s">
        <v>333</v>
      </c>
      <c r="C1136" s="30">
        <v>25</v>
      </c>
      <c r="D1136" s="190">
        <v>525.596</v>
      </c>
      <c r="E1136" s="30" t="s">
        <v>10</v>
      </c>
      <c r="F1136" s="190">
        <v>2.61</v>
      </c>
      <c r="G1136" s="30" t="s">
        <v>335</v>
      </c>
      <c r="H1136" s="30"/>
    </row>
    <row r="1138" spans="1:17" x14ac:dyDescent="0.25">
      <c r="A1138" s="30" t="s">
        <v>569</v>
      </c>
      <c r="B1138" s="30"/>
      <c r="C1138" s="30"/>
      <c r="D1138" s="190"/>
      <c r="E1138" s="30"/>
      <c r="F1138" s="190"/>
      <c r="G1138" s="30"/>
      <c r="H1138" s="30"/>
    </row>
    <row r="1139" spans="1:17" ht="20" thickBot="1" x14ac:dyDescent="0.3">
      <c r="A1139" s="30" t="s">
        <v>2</v>
      </c>
      <c r="B1139" s="30" t="s">
        <v>3</v>
      </c>
      <c r="C1139" s="30" t="s">
        <v>4</v>
      </c>
      <c r="D1139" s="190" t="s">
        <v>5</v>
      </c>
      <c r="E1139" s="30" t="s">
        <v>6</v>
      </c>
      <c r="F1139" s="190" t="s">
        <v>7</v>
      </c>
      <c r="G1139" s="30"/>
      <c r="H1139" s="30"/>
    </row>
    <row r="1140" spans="1:17" x14ac:dyDescent="0.25">
      <c r="A1140" s="30" t="s">
        <v>101</v>
      </c>
      <c r="B1140" s="30" t="s">
        <v>333</v>
      </c>
      <c r="C1140" s="30">
        <v>25</v>
      </c>
      <c r="D1140" s="190">
        <v>1350370.0379999999</v>
      </c>
      <c r="E1140" s="30" t="s">
        <v>10</v>
      </c>
      <c r="F1140" s="190">
        <v>1365.75</v>
      </c>
      <c r="G1140" s="30" t="s">
        <v>335</v>
      </c>
      <c r="H1140" s="30"/>
      <c r="J1140" s="70" t="s">
        <v>569</v>
      </c>
      <c r="K1140" s="72" t="s">
        <v>344</v>
      </c>
      <c r="L1140" s="72" t="s">
        <v>341</v>
      </c>
      <c r="M1140" s="17" t="s">
        <v>162</v>
      </c>
      <c r="N1140" s="72" t="s">
        <v>343</v>
      </c>
      <c r="O1140" s="17" t="s">
        <v>162</v>
      </c>
      <c r="P1140" s="72" t="s">
        <v>342</v>
      </c>
      <c r="Q1140" s="21" t="s">
        <v>162</v>
      </c>
    </row>
    <row r="1141" spans="1:17" x14ac:dyDescent="0.25">
      <c r="A1141" s="30" t="s">
        <v>102</v>
      </c>
      <c r="B1141" s="30" t="s">
        <v>333</v>
      </c>
      <c r="C1141" s="30">
        <v>25</v>
      </c>
      <c r="D1141" s="190">
        <v>1771627.9779999999</v>
      </c>
      <c r="E1141" s="30" t="s">
        <v>10</v>
      </c>
      <c r="F1141" s="190">
        <v>9805.36</v>
      </c>
      <c r="G1141" s="30" t="s">
        <v>335</v>
      </c>
      <c r="H1141" s="30"/>
      <c r="J1141" s="6">
        <v>100000</v>
      </c>
      <c r="K1141" s="119">
        <f>D1140</f>
        <v>1350370.0379999999</v>
      </c>
      <c r="L1141" s="119">
        <f>D1141</f>
        <v>1771627.9779999999</v>
      </c>
      <c r="M1141" s="18">
        <f>(K1141/L1141-1)</f>
        <v>-0.23778013512496021</v>
      </c>
      <c r="N1141" s="73">
        <f>D1142</f>
        <v>1467588.686</v>
      </c>
      <c r="O1141" s="18">
        <f>(K1141/N1141-1)</f>
        <v>-7.9871594213148711E-2</v>
      </c>
      <c r="P1141" s="73">
        <f>D1143</f>
        <v>1647808.845</v>
      </c>
      <c r="Q1141" s="22">
        <f>(K1141/P1141-1)</f>
        <v>-0.1805056502169704</v>
      </c>
    </row>
    <row r="1142" spans="1:17" x14ac:dyDescent="0.25">
      <c r="A1142" s="30" t="s">
        <v>103</v>
      </c>
      <c r="B1142" s="30" t="s">
        <v>333</v>
      </c>
      <c r="C1142" s="30">
        <v>25</v>
      </c>
      <c r="D1142" s="190">
        <v>1467588.686</v>
      </c>
      <c r="E1142" s="30" t="s">
        <v>10</v>
      </c>
      <c r="F1142" s="190">
        <v>12943.928</v>
      </c>
      <c r="G1142" s="30" t="s">
        <v>335</v>
      </c>
      <c r="H1142" s="30"/>
      <c r="J1142" s="6">
        <v>50000</v>
      </c>
      <c r="K1142" s="119">
        <f>D1144</f>
        <v>658289.24800000002</v>
      </c>
      <c r="L1142" s="119">
        <f>D1145</f>
        <v>876187.21100000001</v>
      </c>
      <c r="M1142" s="18">
        <f t="shared" ref="M1142:M1145" si="116">(K1142/L1142-1)</f>
        <v>-0.24868881931215492</v>
      </c>
      <c r="N1142" s="73">
        <f>D1146</f>
        <v>699984.23800000001</v>
      </c>
      <c r="O1142" s="18">
        <f t="shared" ref="O1142:O1145" si="117">(K1142/N1142-1)</f>
        <v>-5.9565612675981372E-2</v>
      </c>
      <c r="P1142" s="73">
        <f>D1147</f>
        <v>829671.67299999995</v>
      </c>
      <c r="Q1142" s="22">
        <f t="shared" ref="Q1142:Q1145" si="118">(K1142/P1142-1)</f>
        <v>-0.2065665619030963</v>
      </c>
    </row>
    <row r="1143" spans="1:17" x14ac:dyDescent="0.25">
      <c r="A1143" s="30" t="s">
        <v>104</v>
      </c>
      <c r="B1143" s="30" t="s">
        <v>333</v>
      </c>
      <c r="C1143" s="30">
        <v>25</v>
      </c>
      <c r="D1143" s="190">
        <v>1647808.845</v>
      </c>
      <c r="E1143" s="30" t="s">
        <v>10</v>
      </c>
      <c r="F1143" s="190">
        <v>6391.38</v>
      </c>
      <c r="G1143" s="30" t="s">
        <v>335</v>
      </c>
      <c r="H1143" s="30"/>
      <c r="J1143" s="6">
        <v>10000</v>
      </c>
      <c r="K1143" s="119">
        <f>D1148</f>
        <v>117173.397</v>
      </c>
      <c r="L1143" s="119">
        <f>D1149</f>
        <v>157813.826</v>
      </c>
      <c r="M1143" s="18">
        <f t="shared" si="116"/>
        <v>-0.25752134670380533</v>
      </c>
      <c r="N1143" s="73">
        <f>D1150</f>
        <v>141401.64000000001</v>
      </c>
      <c r="O1143" s="18">
        <f t="shared" si="117"/>
        <v>-0.17134343703510102</v>
      </c>
      <c r="P1143" s="73">
        <f>D1151</f>
        <v>163869.93100000001</v>
      </c>
      <c r="Q1143" s="22">
        <f t="shared" si="118"/>
        <v>-0.28496096700010209</v>
      </c>
    </row>
    <row r="1144" spans="1:17" x14ac:dyDescent="0.25">
      <c r="A1144" s="30" t="s">
        <v>117</v>
      </c>
      <c r="B1144" s="30" t="s">
        <v>333</v>
      </c>
      <c r="C1144" s="30">
        <v>25</v>
      </c>
      <c r="D1144" s="190">
        <v>658289.24800000002</v>
      </c>
      <c r="E1144" s="30" t="s">
        <v>10</v>
      </c>
      <c r="F1144" s="190">
        <v>1621.39</v>
      </c>
      <c r="G1144" s="30" t="s">
        <v>335</v>
      </c>
      <c r="H1144" s="30"/>
      <c r="J1144" s="67">
        <v>1000</v>
      </c>
      <c r="K1144" s="119">
        <f>D1152</f>
        <v>11470.361999999999</v>
      </c>
      <c r="L1144" s="119">
        <f>D1153</f>
        <v>11192.414000000001</v>
      </c>
      <c r="M1144" s="18">
        <f t="shared" si="116"/>
        <v>2.4833606047810486E-2</v>
      </c>
      <c r="N1144" s="73">
        <f>D1154</f>
        <v>14598.489</v>
      </c>
      <c r="O1144" s="18">
        <f t="shared" si="117"/>
        <v>-0.21427745022104694</v>
      </c>
      <c r="P1144" s="73">
        <f>D1155</f>
        <v>8213.5159999999996</v>
      </c>
      <c r="Q1144" s="22">
        <f t="shared" si="118"/>
        <v>0.39652275590624031</v>
      </c>
    </row>
    <row r="1145" spans="1:17" ht="20" thickBot="1" x14ac:dyDescent="0.3">
      <c r="A1145" s="30" t="s">
        <v>118</v>
      </c>
      <c r="B1145" s="30" t="s">
        <v>333</v>
      </c>
      <c r="C1145" s="30">
        <v>25</v>
      </c>
      <c r="D1145" s="190">
        <v>876187.21100000001</v>
      </c>
      <c r="E1145" s="30" t="s">
        <v>10</v>
      </c>
      <c r="F1145" s="190">
        <v>5868.03</v>
      </c>
      <c r="G1145" s="30" t="s">
        <v>335</v>
      </c>
      <c r="H1145" s="30"/>
      <c r="J1145" s="68">
        <v>100</v>
      </c>
      <c r="K1145" s="120">
        <f>D1156</f>
        <v>910.255</v>
      </c>
      <c r="L1145" s="120">
        <f>D1157</f>
        <v>942.57</v>
      </c>
      <c r="M1145" s="19">
        <f t="shared" si="116"/>
        <v>-3.4283925862270248E-2</v>
      </c>
      <c r="N1145" s="74">
        <f>D1158</f>
        <v>728.42899999999997</v>
      </c>
      <c r="O1145" s="19">
        <f t="shared" si="117"/>
        <v>0.24961389510851428</v>
      </c>
      <c r="P1145" s="74">
        <f>D1159</f>
        <v>1161.8499999999999</v>
      </c>
      <c r="Q1145" s="23">
        <f t="shared" si="118"/>
        <v>-0.21654688643112274</v>
      </c>
    </row>
    <row r="1146" spans="1:17" x14ac:dyDescent="0.25">
      <c r="A1146" s="30" t="s">
        <v>119</v>
      </c>
      <c r="B1146" s="30" t="s">
        <v>333</v>
      </c>
      <c r="C1146" s="30">
        <v>25</v>
      </c>
      <c r="D1146" s="190">
        <v>699984.23800000001</v>
      </c>
      <c r="E1146" s="30" t="s">
        <v>10</v>
      </c>
      <c r="F1146" s="190">
        <v>8783.884</v>
      </c>
      <c r="G1146" s="30" t="s">
        <v>335</v>
      </c>
      <c r="H1146" s="30"/>
    </row>
    <row r="1147" spans="1:17" x14ac:dyDescent="0.25">
      <c r="A1147" s="30" t="s">
        <v>120</v>
      </c>
      <c r="B1147" s="30" t="s">
        <v>333</v>
      </c>
      <c r="C1147" s="30">
        <v>25</v>
      </c>
      <c r="D1147" s="190">
        <v>829671.67299999995</v>
      </c>
      <c r="E1147" s="30" t="s">
        <v>10</v>
      </c>
      <c r="F1147" s="190">
        <v>3209.3310000000001</v>
      </c>
      <c r="G1147" s="30" t="s">
        <v>335</v>
      </c>
      <c r="H1147" s="30"/>
    </row>
    <row r="1148" spans="1:17" x14ac:dyDescent="0.25">
      <c r="A1148" s="30" t="s">
        <v>105</v>
      </c>
      <c r="B1148" s="30" t="s">
        <v>333</v>
      </c>
      <c r="C1148" s="30">
        <v>25</v>
      </c>
      <c r="D1148" s="190">
        <v>117173.397</v>
      </c>
      <c r="E1148" s="30" t="s">
        <v>10</v>
      </c>
      <c r="F1148" s="190">
        <v>604.35699999999997</v>
      </c>
      <c r="G1148" s="30" t="s">
        <v>335</v>
      </c>
      <c r="H1148" s="30"/>
    </row>
    <row r="1149" spans="1:17" x14ac:dyDescent="0.25">
      <c r="A1149" s="30" t="s">
        <v>106</v>
      </c>
      <c r="B1149" s="30" t="s">
        <v>333</v>
      </c>
      <c r="C1149" s="30">
        <v>25</v>
      </c>
      <c r="D1149" s="190">
        <v>157813.826</v>
      </c>
      <c r="E1149" s="30" t="s">
        <v>10</v>
      </c>
      <c r="F1149" s="190">
        <v>647.53399999999999</v>
      </c>
      <c r="G1149" s="30" t="s">
        <v>335</v>
      </c>
      <c r="H1149" s="30"/>
    </row>
    <row r="1150" spans="1:17" x14ac:dyDescent="0.25">
      <c r="A1150" s="30" t="s">
        <v>107</v>
      </c>
      <c r="B1150" s="30" t="s">
        <v>333</v>
      </c>
      <c r="C1150" s="30">
        <v>25</v>
      </c>
      <c r="D1150" s="190">
        <v>141401.64000000001</v>
      </c>
      <c r="E1150" s="30" t="s">
        <v>10</v>
      </c>
      <c r="F1150" s="190">
        <v>861.20100000000002</v>
      </c>
      <c r="G1150" s="30" t="s">
        <v>335</v>
      </c>
      <c r="H1150" s="30"/>
    </row>
    <row r="1151" spans="1:17" x14ac:dyDescent="0.25">
      <c r="A1151" s="30" t="s">
        <v>108</v>
      </c>
      <c r="B1151" s="30" t="s">
        <v>333</v>
      </c>
      <c r="C1151" s="30">
        <v>25</v>
      </c>
      <c r="D1151" s="190">
        <v>163869.93100000001</v>
      </c>
      <c r="E1151" s="30" t="s">
        <v>10</v>
      </c>
      <c r="F1151" s="190">
        <v>347.43599999999998</v>
      </c>
      <c r="G1151" s="30" t="s">
        <v>335</v>
      </c>
      <c r="H1151" s="30"/>
    </row>
    <row r="1152" spans="1:17" x14ac:dyDescent="0.25">
      <c r="A1152" s="30" t="s">
        <v>109</v>
      </c>
      <c r="B1152" s="30" t="s">
        <v>333</v>
      </c>
      <c r="C1152" s="30">
        <v>25</v>
      </c>
      <c r="D1152" s="190">
        <v>11470.361999999999</v>
      </c>
      <c r="E1152" s="30" t="s">
        <v>10</v>
      </c>
      <c r="F1152" s="190">
        <v>19.533999999999999</v>
      </c>
      <c r="G1152" s="30" t="s">
        <v>335</v>
      </c>
      <c r="H1152" s="30"/>
    </row>
    <row r="1153" spans="1:17" x14ac:dyDescent="0.25">
      <c r="A1153" s="30" t="s">
        <v>110</v>
      </c>
      <c r="B1153" s="30" t="s">
        <v>333</v>
      </c>
      <c r="C1153" s="30">
        <v>25</v>
      </c>
      <c r="D1153" s="190">
        <v>11192.414000000001</v>
      </c>
      <c r="E1153" s="30" t="s">
        <v>10</v>
      </c>
      <c r="F1153" s="190">
        <v>113.964</v>
      </c>
      <c r="G1153" s="30" t="s">
        <v>335</v>
      </c>
      <c r="H1153" s="30"/>
    </row>
    <row r="1154" spans="1:17" x14ac:dyDescent="0.25">
      <c r="A1154" s="30" t="s">
        <v>111</v>
      </c>
      <c r="B1154" s="30" t="s">
        <v>333</v>
      </c>
      <c r="C1154" s="30">
        <v>25</v>
      </c>
      <c r="D1154" s="190">
        <v>14598.489</v>
      </c>
      <c r="E1154" s="30" t="s">
        <v>10</v>
      </c>
      <c r="F1154" s="190">
        <v>40.207000000000001</v>
      </c>
      <c r="G1154" s="30" t="s">
        <v>335</v>
      </c>
      <c r="H1154" s="30"/>
    </row>
    <row r="1155" spans="1:17" x14ac:dyDescent="0.25">
      <c r="A1155" s="30" t="s">
        <v>112</v>
      </c>
      <c r="B1155" s="30" t="s">
        <v>333</v>
      </c>
      <c r="C1155" s="30">
        <v>25</v>
      </c>
      <c r="D1155" s="190">
        <v>8213.5159999999996</v>
      </c>
      <c r="E1155" s="30" t="s">
        <v>10</v>
      </c>
      <c r="F1155" s="190">
        <v>14.45</v>
      </c>
      <c r="G1155" s="30" t="s">
        <v>335</v>
      </c>
      <c r="H1155" s="30"/>
    </row>
    <row r="1156" spans="1:17" x14ac:dyDescent="0.25">
      <c r="A1156" s="30" t="s">
        <v>113</v>
      </c>
      <c r="B1156" s="30" t="s">
        <v>333</v>
      </c>
      <c r="C1156" s="30">
        <v>25</v>
      </c>
      <c r="D1156" s="190">
        <v>910.255</v>
      </c>
      <c r="E1156" s="30" t="s">
        <v>10</v>
      </c>
      <c r="F1156" s="190">
        <v>1.76</v>
      </c>
      <c r="G1156" s="30" t="s">
        <v>335</v>
      </c>
      <c r="H1156" s="30"/>
    </row>
    <row r="1157" spans="1:17" x14ac:dyDescent="0.25">
      <c r="A1157" s="30" t="s">
        <v>114</v>
      </c>
      <c r="B1157" s="30" t="s">
        <v>333</v>
      </c>
      <c r="C1157" s="30">
        <v>25</v>
      </c>
      <c r="D1157" s="190">
        <v>942.57</v>
      </c>
      <c r="E1157" s="30" t="s">
        <v>10</v>
      </c>
      <c r="F1157" s="190">
        <v>5.0469999999999997</v>
      </c>
      <c r="G1157" s="30" t="s">
        <v>335</v>
      </c>
      <c r="H1157" s="30"/>
    </row>
    <row r="1158" spans="1:17" x14ac:dyDescent="0.25">
      <c r="A1158" s="30" t="s">
        <v>115</v>
      </c>
      <c r="B1158" s="30" t="s">
        <v>333</v>
      </c>
      <c r="C1158" s="30">
        <v>25</v>
      </c>
      <c r="D1158" s="190">
        <v>728.42899999999997</v>
      </c>
      <c r="E1158" s="30" t="s">
        <v>10</v>
      </c>
      <c r="F1158" s="190">
        <v>1.369</v>
      </c>
      <c r="G1158" s="30" t="s">
        <v>335</v>
      </c>
      <c r="H1158" s="30"/>
    </row>
    <row r="1159" spans="1:17" x14ac:dyDescent="0.25">
      <c r="A1159" s="30" t="s">
        <v>116</v>
      </c>
      <c r="B1159" s="30" t="s">
        <v>333</v>
      </c>
      <c r="C1159" s="30">
        <v>25</v>
      </c>
      <c r="D1159" s="190">
        <v>1161.8499999999999</v>
      </c>
      <c r="E1159" s="30" t="s">
        <v>10</v>
      </c>
      <c r="F1159" s="190">
        <v>1.85</v>
      </c>
      <c r="G1159" s="30" t="s">
        <v>335</v>
      </c>
      <c r="H1159" s="30"/>
    </row>
    <row r="1160" spans="1:17" x14ac:dyDescent="0.25">
      <c r="A1160" s="30"/>
      <c r="B1160" s="30"/>
      <c r="C1160" s="30"/>
      <c r="D1160" s="190"/>
      <c r="E1160" s="30"/>
      <c r="F1160" s="190"/>
      <c r="G1160" s="30"/>
      <c r="H1160" s="30"/>
    </row>
    <row r="1161" spans="1:17" x14ac:dyDescent="0.25">
      <c r="A1161" s="30" t="s">
        <v>570</v>
      </c>
      <c r="B1161" s="30"/>
      <c r="C1161" s="30"/>
      <c r="D1161" s="190"/>
      <c r="E1161" s="30"/>
      <c r="F1161" s="190"/>
      <c r="G1161" s="30"/>
      <c r="H1161" s="30"/>
    </row>
    <row r="1162" spans="1:17" ht="20" thickBot="1" x14ac:dyDescent="0.3">
      <c r="A1162" s="30" t="s">
        <v>2</v>
      </c>
      <c r="B1162" s="30" t="s">
        <v>3</v>
      </c>
      <c r="C1162" s="30" t="s">
        <v>4</v>
      </c>
      <c r="D1162" s="190" t="s">
        <v>5</v>
      </c>
      <c r="E1162" s="30" t="s">
        <v>6</v>
      </c>
      <c r="F1162" s="190" t="s">
        <v>7</v>
      </c>
      <c r="G1162" s="30"/>
      <c r="H1162" s="30"/>
    </row>
    <row r="1163" spans="1:17" x14ac:dyDescent="0.25">
      <c r="A1163" s="30" t="s">
        <v>121</v>
      </c>
      <c r="B1163" s="30" t="s">
        <v>333</v>
      </c>
      <c r="C1163" s="30">
        <v>25</v>
      </c>
      <c r="D1163" s="190">
        <v>3220002.3939999999</v>
      </c>
      <c r="E1163" s="30" t="s">
        <v>10</v>
      </c>
      <c r="F1163" s="190">
        <v>13910.165000000001</v>
      </c>
      <c r="G1163" s="30" t="s">
        <v>335</v>
      </c>
      <c r="H1163" s="30"/>
      <c r="J1163" s="70" t="s">
        <v>570</v>
      </c>
      <c r="K1163" s="72" t="s">
        <v>344</v>
      </c>
      <c r="L1163" s="72" t="s">
        <v>341</v>
      </c>
      <c r="M1163" s="17" t="s">
        <v>162</v>
      </c>
      <c r="N1163" s="72" t="s">
        <v>343</v>
      </c>
      <c r="O1163" s="17" t="s">
        <v>162</v>
      </c>
      <c r="P1163" s="72" t="s">
        <v>342</v>
      </c>
      <c r="Q1163" s="21" t="s">
        <v>162</v>
      </c>
    </row>
    <row r="1164" spans="1:17" x14ac:dyDescent="0.25">
      <c r="A1164" s="30" t="s">
        <v>122</v>
      </c>
      <c r="B1164" s="30" t="s">
        <v>333</v>
      </c>
      <c r="C1164" s="30">
        <v>25</v>
      </c>
      <c r="D1164" s="190">
        <v>3847050.6710000001</v>
      </c>
      <c r="E1164" s="30" t="s">
        <v>10</v>
      </c>
      <c r="F1164" s="190">
        <v>55966.921999999999</v>
      </c>
      <c r="G1164" s="30" t="s">
        <v>335</v>
      </c>
      <c r="H1164" s="30"/>
      <c r="J1164" s="6">
        <v>100000</v>
      </c>
      <c r="K1164" s="119">
        <f>D1163</f>
        <v>3220002.3939999999</v>
      </c>
      <c r="L1164" s="119">
        <f>D1164</f>
        <v>3847050.6710000001</v>
      </c>
      <c r="M1164" s="18">
        <f>(K1164/L1164-1)</f>
        <v>-0.16299454585478745</v>
      </c>
      <c r="N1164" s="73">
        <f>D1165</f>
        <v>3059317.236</v>
      </c>
      <c r="O1164" s="18">
        <f>(K1164/N1164-1)</f>
        <v>5.2523208809195809E-2</v>
      </c>
      <c r="P1164" s="73">
        <f>D1166</f>
        <v>3194012.1740000001</v>
      </c>
      <c r="Q1164" s="22">
        <f>(K1164/P1164-1)</f>
        <v>8.1371699868793002E-3</v>
      </c>
    </row>
    <row r="1165" spans="1:17" x14ac:dyDescent="0.25">
      <c r="A1165" s="30" t="s">
        <v>123</v>
      </c>
      <c r="B1165" s="30" t="s">
        <v>333</v>
      </c>
      <c r="C1165" s="30">
        <v>25</v>
      </c>
      <c r="D1165" s="190">
        <v>3059317.236</v>
      </c>
      <c r="E1165" s="30" t="s">
        <v>10</v>
      </c>
      <c r="F1165" s="190">
        <v>44408.053</v>
      </c>
      <c r="G1165" s="30" t="s">
        <v>335</v>
      </c>
      <c r="H1165" s="30"/>
      <c r="J1165" s="6">
        <v>50000</v>
      </c>
      <c r="K1165" s="119">
        <f>D1167</f>
        <v>1538654.348</v>
      </c>
      <c r="L1165" s="119">
        <f>D1168</f>
        <v>1824058.1540000001</v>
      </c>
      <c r="M1165" s="18">
        <f t="shared" ref="M1165:M1168" si="119">(K1165/L1165-1)</f>
        <v>-0.15646639630109083</v>
      </c>
      <c r="N1165" s="73">
        <f>D1169</f>
        <v>1346381.797</v>
      </c>
      <c r="O1165" s="18">
        <f t="shared" ref="O1165:O1168" si="120">(K1165/N1165-1)</f>
        <v>0.14280685569904517</v>
      </c>
      <c r="P1165" s="73">
        <f>D1170</f>
        <v>1523379.1839999999</v>
      </c>
      <c r="Q1165" s="22">
        <f t="shared" ref="Q1165:Q1168" si="121">(K1165/P1165-1)</f>
        <v>1.002715814974664E-2</v>
      </c>
    </row>
    <row r="1166" spans="1:17" x14ac:dyDescent="0.25">
      <c r="A1166" s="30" t="s">
        <v>124</v>
      </c>
      <c r="B1166" s="30" t="s">
        <v>333</v>
      </c>
      <c r="C1166" s="30">
        <v>25</v>
      </c>
      <c r="D1166" s="190">
        <v>3194012.1740000001</v>
      </c>
      <c r="E1166" s="30" t="s">
        <v>10</v>
      </c>
      <c r="F1166" s="190">
        <v>20689.305</v>
      </c>
      <c r="G1166" s="30" t="s">
        <v>335</v>
      </c>
      <c r="H1166" s="30"/>
      <c r="J1166" s="6">
        <v>10000</v>
      </c>
      <c r="K1166" s="119">
        <f>D1171</f>
        <v>251816.804</v>
      </c>
      <c r="L1166" s="119">
        <f>D1172</f>
        <v>293431.58299999998</v>
      </c>
      <c r="M1166" s="18">
        <f t="shared" si="119"/>
        <v>-0.14182106293581898</v>
      </c>
      <c r="N1166" s="73">
        <f>D1173</f>
        <v>217982.07999999999</v>
      </c>
      <c r="O1166" s="18">
        <f t="shared" si="120"/>
        <v>0.15521791516073247</v>
      </c>
      <c r="P1166" s="73">
        <f>D1174</f>
        <v>235442.867</v>
      </c>
      <c r="Q1166" s="22">
        <f t="shared" si="121"/>
        <v>6.9545266792898852E-2</v>
      </c>
    </row>
    <row r="1167" spans="1:17" x14ac:dyDescent="0.25">
      <c r="A1167" s="30" t="s">
        <v>137</v>
      </c>
      <c r="B1167" s="30" t="s">
        <v>333</v>
      </c>
      <c r="C1167" s="30">
        <v>25</v>
      </c>
      <c r="D1167" s="190">
        <v>1538654.348</v>
      </c>
      <c r="E1167" s="30" t="s">
        <v>10</v>
      </c>
      <c r="F1167" s="190">
        <v>6558.6149999999998</v>
      </c>
      <c r="G1167" s="30" t="s">
        <v>335</v>
      </c>
      <c r="H1167" s="30"/>
      <c r="J1167" s="67">
        <v>1000</v>
      </c>
      <c r="K1167" s="119">
        <f>D1175</f>
        <v>18732.894</v>
      </c>
      <c r="L1167" s="119">
        <f>D1176</f>
        <v>19815.904999999999</v>
      </c>
      <c r="M1167" s="18">
        <f t="shared" si="119"/>
        <v>-5.4653622935717516E-2</v>
      </c>
      <c r="N1167" s="73">
        <f>D1177</f>
        <v>14361.888999999999</v>
      </c>
      <c r="O1167" s="18">
        <f t="shared" si="120"/>
        <v>0.30434749913468906</v>
      </c>
      <c r="P1167" s="73">
        <f>D1178</f>
        <v>18571.508999999998</v>
      </c>
      <c r="Q1167" s="22">
        <f t="shared" si="121"/>
        <v>8.6899239044064824E-3</v>
      </c>
    </row>
    <row r="1168" spans="1:17" ht="20" thickBot="1" x14ac:dyDescent="0.3">
      <c r="A1168" s="30" t="s">
        <v>138</v>
      </c>
      <c r="B1168" s="30" t="s">
        <v>333</v>
      </c>
      <c r="C1168" s="30">
        <v>25</v>
      </c>
      <c r="D1168" s="190">
        <v>1824058.1540000001</v>
      </c>
      <c r="E1168" s="30" t="s">
        <v>10</v>
      </c>
      <c r="F1168" s="190">
        <v>8956.2009999999991</v>
      </c>
      <c r="G1168" s="30" t="s">
        <v>335</v>
      </c>
      <c r="H1168" s="30"/>
      <c r="J1168" s="68">
        <v>100</v>
      </c>
      <c r="K1168" s="120">
        <f>D1179</f>
        <v>1623.923</v>
      </c>
      <c r="L1168" s="120">
        <f>D1180</f>
        <v>1277.6569999999999</v>
      </c>
      <c r="M1168" s="19">
        <f t="shared" si="119"/>
        <v>0.27101639955011403</v>
      </c>
      <c r="N1168" s="74">
        <f>D1181</f>
        <v>1108.788</v>
      </c>
      <c r="O1168" s="19">
        <f t="shared" si="120"/>
        <v>0.46459287077421463</v>
      </c>
      <c r="P1168" s="74">
        <f>D1182</f>
        <v>1613.9069999999999</v>
      </c>
      <c r="Q1168" s="23">
        <f t="shared" si="121"/>
        <v>6.2060577220373059E-3</v>
      </c>
    </row>
    <row r="1169" spans="1:8" x14ac:dyDescent="0.25">
      <c r="A1169" s="30" t="s">
        <v>139</v>
      </c>
      <c r="B1169" s="30" t="s">
        <v>333</v>
      </c>
      <c r="C1169" s="30">
        <v>25</v>
      </c>
      <c r="D1169" s="190">
        <v>1346381.797</v>
      </c>
      <c r="E1169" s="30" t="s">
        <v>10</v>
      </c>
      <c r="F1169" s="190">
        <v>1958.2449999999999</v>
      </c>
      <c r="G1169" s="30" t="s">
        <v>335</v>
      </c>
      <c r="H1169" s="30"/>
    </row>
    <row r="1170" spans="1:8" x14ac:dyDescent="0.25">
      <c r="A1170" s="30" t="s">
        <v>140</v>
      </c>
      <c r="B1170" s="30" t="s">
        <v>333</v>
      </c>
      <c r="C1170" s="30">
        <v>25</v>
      </c>
      <c r="D1170" s="190">
        <v>1523379.1839999999</v>
      </c>
      <c r="E1170" s="30" t="s">
        <v>10</v>
      </c>
      <c r="F1170" s="190">
        <v>4312.84</v>
      </c>
      <c r="G1170" s="30" t="s">
        <v>335</v>
      </c>
      <c r="H1170" s="30"/>
    </row>
    <row r="1171" spans="1:8" x14ac:dyDescent="0.25">
      <c r="A1171" s="30" t="s">
        <v>125</v>
      </c>
      <c r="B1171" s="30" t="s">
        <v>333</v>
      </c>
      <c r="C1171" s="30">
        <v>25</v>
      </c>
      <c r="D1171" s="190">
        <v>251816.804</v>
      </c>
      <c r="E1171" s="30" t="s">
        <v>10</v>
      </c>
      <c r="F1171" s="190">
        <v>1342.2670000000001</v>
      </c>
      <c r="G1171" s="30" t="s">
        <v>335</v>
      </c>
      <c r="H1171" s="30"/>
    </row>
    <row r="1172" spans="1:8" x14ac:dyDescent="0.25">
      <c r="A1172" s="30" t="s">
        <v>126</v>
      </c>
      <c r="B1172" s="30" t="s">
        <v>333</v>
      </c>
      <c r="C1172" s="30">
        <v>25</v>
      </c>
      <c r="D1172" s="190">
        <v>293431.58299999998</v>
      </c>
      <c r="E1172" s="30" t="s">
        <v>10</v>
      </c>
      <c r="F1172" s="190">
        <v>593.08900000000006</v>
      </c>
      <c r="G1172" s="30" t="s">
        <v>335</v>
      </c>
      <c r="H1172" s="30"/>
    </row>
    <row r="1173" spans="1:8" x14ac:dyDescent="0.25">
      <c r="A1173" s="30" t="s">
        <v>127</v>
      </c>
      <c r="B1173" s="30" t="s">
        <v>333</v>
      </c>
      <c r="C1173" s="30">
        <v>25</v>
      </c>
      <c r="D1173" s="190">
        <v>217982.07999999999</v>
      </c>
      <c r="E1173" s="30" t="s">
        <v>10</v>
      </c>
      <c r="F1173" s="190">
        <v>330.79500000000002</v>
      </c>
      <c r="G1173" s="30" t="s">
        <v>335</v>
      </c>
      <c r="H1173" s="30"/>
    </row>
    <row r="1174" spans="1:8" x14ac:dyDescent="0.25">
      <c r="A1174" s="30" t="s">
        <v>128</v>
      </c>
      <c r="B1174" s="30" t="s">
        <v>333</v>
      </c>
      <c r="C1174" s="30">
        <v>25</v>
      </c>
      <c r="D1174" s="190">
        <v>235442.867</v>
      </c>
      <c r="E1174" s="30" t="s">
        <v>10</v>
      </c>
      <c r="F1174" s="190">
        <v>1313.01</v>
      </c>
      <c r="G1174" s="30" t="s">
        <v>335</v>
      </c>
      <c r="H1174" s="30"/>
    </row>
    <row r="1175" spans="1:8" x14ac:dyDescent="0.25">
      <c r="A1175" s="30" t="s">
        <v>129</v>
      </c>
      <c r="B1175" s="30" t="s">
        <v>333</v>
      </c>
      <c r="C1175" s="30">
        <v>25</v>
      </c>
      <c r="D1175" s="190">
        <v>18732.894</v>
      </c>
      <c r="E1175" s="30" t="s">
        <v>10</v>
      </c>
      <c r="F1175" s="190">
        <v>35.698</v>
      </c>
      <c r="G1175" s="30" t="s">
        <v>335</v>
      </c>
      <c r="H1175" s="30"/>
    </row>
    <row r="1176" spans="1:8" x14ac:dyDescent="0.25">
      <c r="A1176" s="30" t="s">
        <v>130</v>
      </c>
      <c r="B1176" s="30" t="s">
        <v>333</v>
      </c>
      <c r="C1176" s="30">
        <v>25</v>
      </c>
      <c r="D1176" s="190">
        <v>19815.904999999999</v>
      </c>
      <c r="E1176" s="30" t="s">
        <v>10</v>
      </c>
      <c r="F1176" s="190">
        <v>58.616999999999997</v>
      </c>
      <c r="G1176" s="30" t="s">
        <v>335</v>
      </c>
      <c r="H1176" s="30"/>
    </row>
    <row r="1177" spans="1:8" x14ac:dyDescent="0.25">
      <c r="A1177" s="30" t="s">
        <v>131</v>
      </c>
      <c r="B1177" s="30" t="s">
        <v>333</v>
      </c>
      <c r="C1177" s="30">
        <v>25</v>
      </c>
      <c r="D1177" s="190">
        <v>14361.888999999999</v>
      </c>
      <c r="E1177" s="30" t="s">
        <v>10</v>
      </c>
      <c r="F1177" s="190">
        <v>30.117000000000001</v>
      </c>
      <c r="G1177" s="30" t="s">
        <v>335</v>
      </c>
      <c r="H1177" s="30"/>
    </row>
    <row r="1178" spans="1:8" x14ac:dyDescent="0.25">
      <c r="A1178" s="30" t="s">
        <v>132</v>
      </c>
      <c r="B1178" s="30" t="s">
        <v>333</v>
      </c>
      <c r="C1178" s="30">
        <v>25</v>
      </c>
      <c r="D1178" s="190">
        <v>18571.508999999998</v>
      </c>
      <c r="E1178" s="30" t="s">
        <v>10</v>
      </c>
      <c r="F1178" s="190">
        <v>34.646000000000001</v>
      </c>
      <c r="G1178" s="30" t="s">
        <v>335</v>
      </c>
      <c r="H1178" s="30"/>
    </row>
    <row r="1179" spans="1:8" x14ac:dyDescent="0.25">
      <c r="A1179" s="30" t="s">
        <v>133</v>
      </c>
      <c r="B1179" s="30" t="s">
        <v>333</v>
      </c>
      <c r="C1179" s="30">
        <v>25</v>
      </c>
      <c r="D1179" s="190">
        <v>1623.923</v>
      </c>
      <c r="E1179" s="30" t="s">
        <v>10</v>
      </c>
      <c r="F1179" s="190">
        <v>3.8980000000000001</v>
      </c>
      <c r="G1179" s="30" t="s">
        <v>335</v>
      </c>
      <c r="H1179" s="30"/>
    </row>
    <row r="1180" spans="1:8" x14ac:dyDescent="0.25">
      <c r="A1180" s="30" t="s">
        <v>134</v>
      </c>
      <c r="B1180" s="30" t="s">
        <v>333</v>
      </c>
      <c r="C1180" s="30">
        <v>25</v>
      </c>
      <c r="D1180" s="190">
        <v>1277.6569999999999</v>
      </c>
      <c r="E1180" s="30" t="s">
        <v>10</v>
      </c>
      <c r="F1180" s="190">
        <v>2.8650000000000002</v>
      </c>
      <c r="G1180" s="30" t="s">
        <v>335</v>
      </c>
      <c r="H1180" s="30"/>
    </row>
    <row r="1181" spans="1:8" x14ac:dyDescent="0.25">
      <c r="A1181" s="30" t="s">
        <v>135</v>
      </c>
      <c r="B1181" s="30" t="s">
        <v>333</v>
      </c>
      <c r="C1181" s="30">
        <v>25</v>
      </c>
      <c r="D1181" s="190">
        <v>1108.788</v>
      </c>
      <c r="E1181" s="30" t="s">
        <v>10</v>
      </c>
      <c r="F1181" s="190">
        <v>1.103</v>
      </c>
      <c r="G1181" s="30" t="s">
        <v>335</v>
      </c>
      <c r="H1181" s="30"/>
    </row>
    <row r="1182" spans="1:8" x14ac:dyDescent="0.25">
      <c r="A1182" s="30" t="s">
        <v>136</v>
      </c>
      <c r="B1182" s="30" t="s">
        <v>333</v>
      </c>
      <c r="C1182" s="30">
        <v>25</v>
      </c>
      <c r="D1182" s="190">
        <v>1613.9069999999999</v>
      </c>
      <c r="E1182" s="30" t="s">
        <v>10</v>
      </c>
      <c r="F1182" s="190">
        <v>14.613</v>
      </c>
      <c r="G1182" s="30" t="s">
        <v>335</v>
      </c>
      <c r="H1182" s="30"/>
    </row>
    <row r="1184" spans="1:8" x14ac:dyDescent="0.25">
      <c r="A1184" s="30" t="s">
        <v>168</v>
      </c>
      <c r="B1184" s="30"/>
      <c r="C1184" s="30"/>
      <c r="D1184" s="190"/>
      <c r="E1184" s="30"/>
      <c r="F1184" s="190"/>
      <c r="G1184" s="30"/>
      <c r="H1184" s="30"/>
    </row>
    <row r="1185" spans="1:17" ht="20" thickBot="1" x14ac:dyDescent="0.3">
      <c r="A1185" s="30" t="s">
        <v>2</v>
      </c>
      <c r="B1185" s="30" t="s">
        <v>3</v>
      </c>
      <c r="C1185" s="30" t="s">
        <v>4</v>
      </c>
      <c r="D1185" s="190" t="s">
        <v>5</v>
      </c>
      <c r="E1185" s="30" t="s">
        <v>6</v>
      </c>
      <c r="F1185" s="190" t="s">
        <v>7</v>
      </c>
      <c r="G1185" s="30"/>
      <c r="H1185" s="30"/>
    </row>
    <row r="1186" spans="1:17" x14ac:dyDescent="0.25">
      <c r="A1186" s="30" t="s">
        <v>141</v>
      </c>
      <c r="B1186" s="30" t="s">
        <v>333</v>
      </c>
      <c r="C1186" s="30">
        <v>25</v>
      </c>
      <c r="D1186" s="190">
        <v>8676850.7880000006</v>
      </c>
      <c r="E1186" s="30" t="s">
        <v>10</v>
      </c>
      <c r="F1186" s="190">
        <v>50346.025999999998</v>
      </c>
      <c r="G1186" s="30" t="s">
        <v>335</v>
      </c>
      <c r="H1186" s="30"/>
      <c r="J1186" s="70" t="s">
        <v>168</v>
      </c>
      <c r="K1186" s="72" t="s">
        <v>344</v>
      </c>
      <c r="L1186" s="72" t="s">
        <v>341</v>
      </c>
      <c r="M1186" s="17" t="s">
        <v>162</v>
      </c>
      <c r="N1186" s="72" t="s">
        <v>343</v>
      </c>
      <c r="O1186" s="17" t="s">
        <v>162</v>
      </c>
      <c r="P1186" s="72" t="s">
        <v>342</v>
      </c>
      <c r="Q1186" s="21" t="s">
        <v>162</v>
      </c>
    </row>
    <row r="1187" spans="1:17" x14ac:dyDescent="0.25">
      <c r="A1187" s="30" t="s">
        <v>142</v>
      </c>
      <c r="B1187" s="30" t="s">
        <v>333</v>
      </c>
      <c r="C1187" s="30">
        <v>25</v>
      </c>
      <c r="D1187" s="190">
        <v>6453226.1509999996</v>
      </c>
      <c r="E1187" s="30" t="s">
        <v>10</v>
      </c>
      <c r="F1187" s="190">
        <v>45247.923999999999</v>
      </c>
      <c r="G1187" s="30" t="s">
        <v>335</v>
      </c>
      <c r="H1187" s="30"/>
      <c r="J1187" s="6">
        <v>100000</v>
      </c>
      <c r="K1187" s="119">
        <f>D1186</f>
        <v>8676850.7880000006</v>
      </c>
      <c r="L1187" s="119">
        <f>D1187</f>
        <v>6453226.1509999996</v>
      </c>
      <c r="M1187" s="18">
        <f>(K1187/L1187-1)</f>
        <v>0.34457565641883248</v>
      </c>
      <c r="N1187" s="73">
        <f>D1188</f>
        <v>4166039.358</v>
      </c>
      <c r="O1187" s="18">
        <f>(K1187/N1187-1)</f>
        <v>1.0827577567979376</v>
      </c>
      <c r="P1187" s="73">
        <f>D1189</f>
        <v>13478122.329</v>
      </c>
      <c r="Q1187" s="22">
        <f>(K1187/P1187-1)</f>
        <v>-0.35622703398895672</v>
      </c>
    </row>
    <row r="1188" spans="1:17" x14ac:dyDescent="0.25">
      <c r="A1188" s="30" t="s">
        <v>143</v>
      </c>
      <c r="B1188" s="30" t="s">
        <v>333</v>
      </c>
      <c r="C1188" s="30">
        <v>25</v>
      </c>
      <c r="D1188" s="190">
        <v>4166039.358</v>
      </c>
      <c r="E1188" s="30" t="s">
        <v>10</v>
      </c>
      <c r="F1188" s="190">
        <v>61623.680999999997</v>
      </c>
      <c r="G1188" s="30" t="s">
        <v>335</v>
      </c>
      <c r="H1188" s="30"/>
      <c r="J1188" s="6">
        <v>50000</v>
      </c>
      <c r="K1188" s="119">
        <f>D1190</f>
        <v>3702057.7570000002</v>
      </c>
      <c r="L1188" s="119">
        <f>D1191</f>
        <v>2888760.892</v>
      </c>
      <c r="M1188" s="18">
        <f t="shared" ref="M1188:M1191" si="122">(K1188/L1188-1)</f>
        <v>0.28153831189431666</v>
      </c>
      <c r="N1188" s="73">
        <f>D1192</f>
        <v>1750926.709</v>
      </c>
      <c r="O1188" s="18">
        <f t="shared" ref="O1188:O1191" si="123">(K1188/N1188-1)</f>
        <v>1.1143419298882828</v>
      </c>
      <c r="P1188" s="73">
        <f>D1193</f>
        <v>5690673.7180000003</v>
      </c>
      <c r="Q1188" s="22">
        <f t="shared" ref="Q1188:Q1191" si="124">(K1188/P1188-1)</f>
        <v>-0.34945176257599664</v>
      </c>
    </row>
    <row r="1189" spans="1:17" x14ac:dyDescent="0.25">
      <c r="A1189" s="30" t="s">
        <v>144</v>
      </c>
      <c r="B1189" s="30" t="s">
        <v>333</v>
      </c>
      <c r="C1189" s="30">
        <v>25</v>
      </c>
      <c r="D1189" s="190">
        <v>13478122.329</v>
      </c>
      <c r="E1189" s="30" t="s">
        <v>10</v>
      </c>
      <c r="F1189" s="190">
        <v>231835.22</v>
      </c>
      <c r="G1189" s="30" t="s">
        <v>335</v>
      </c>
      <c r="H1189" s="30"/>
      <c r="J1189" s="6">
        <v>10000</v>
      </c>
      <c r="K1189" s="119">
        <f>D1194</f>
        <v>467473.36300000001</v>
      </c>
      <c r="L1189" s="119">
        <f>D1195</f>
        <v>501267.41399999999</v>
      </c>
      <c r="M1189" s="18">
        <f t="shared" si="122"/>
        <v>-6.7417210965961538E-2</v>
      </c>
      <c r="N1189" s="73">
        <f>D1196</f>
        <v>348160.81400000001</v>
      </c>
      <c r="O1189" s="18">
        <f t="shared" si="123"/>
        <v>0.34269379034712388</v>
      </c>
      <c r="P1189" s="73">
        <f>D1197</f>
        <v>1193474.689</v>
      </c>
      <c r="Q1189" s="22">
        <f t="shared" si="124"/>
        <v>-0.60830894252839918</v>
      </c>
    </row>
    <row r="1190" spans="1:17" x14ac:dyDescent="0.25">
      <c r="A1190" s="30" t="s">
        <v>157</v>
      </c>
      <c r="B1190" s="30" t="s">
        <v>333</v>
      </c>
      <c r="C1190" s="30">
        <v>25</v>
      </c>
      <c r="D1190" s="190">
        <v>3702057.7570000002</v>
      </c>
      <c r="E1190" s="30" t="s">
        <v>10</v>
      </c>
      <c r="F1190" s="190">
        <v>35085.302000000003</v>
      </c>
      <c r="G1190" s="30" t="s">
        <v>335</v>
      </c>
      <c r="H1190" s="30"/>
      <c r="J1190" s="67">
        <v>1000</v>
      </c>
      <c r="K1190" s="119">
        <f>D1198</f>
        <v>47560.93</v>
      </c>
      <c r="L1190" s="119">
        <f>D1199</f>
        <v>56386.519</v>
      </c>
      <c r="M1190" s="18">
        <f t="shared" si="122"/>
        <v>-0.15651948651059666</v>
      </c>
      <c r="N1190" s="73">
        <f>D1200</f>
        <v>34891.767</v>
      </c>
      <c r="O1190" s="18">
        <f t="shared" si="123"/>
        <v>0.3630989224478085</v>
      </c>
      <c r="P1190" s="73">
        <f>D1201</f>
        <v>125436.883</v>
      </c>
      <c r="Q1190" s="22">
        <f t="shared" si="124"/>
        <v>-0.62083775630808691</v>
      </c>
    </row>
    <row r="1191" spans="1:17" ht="20" thickBot="1" x14ac:dyDescent="0.3">
      <c r="A1191" s="30" t="s">
        <v>158</v>
      </c>
      <c r="B1191" s="30" t="s">
        <v>333</v>
      </c>
      <c r="C1191" s="30">
        <v>25</v>
      </c>
      <c r="D1191" s="190">
        <v>2888760.892</v>
      </c>
      <c r="E1191" s="30" t="s">
        <v>10</v>
      </c>
      <c r="F1191" s="190">
        <v>6464.241</v>
      </c>
      <c r="G1191" s="30" t="s">
        <v>335</v>
      </c>
      <c r="H1191" s="30"/>
      <c r="J1191" s="68">
        <v>100</v>
      </c>
      <c r="K1191" s="120">
        <f>D1202</f>
        <v>4725.37</v>
      </c>
      <c r="L1191" s="120">
        <f>D1203</f>
        <v>5674.23</v>
      </c>
      <c r="M1191" s="19">
        <f t="shared" si="122"/>
        <v>-0.16722268924594175</v>
      </c>
      <c r="N1191" s="74">
        <f>D1204</f>
        <v>3625.9679999999998</v>
      </c>
      <c r="O1191" s="19">
        <f t="shared" si="123"/>
        <v>0.30320234486349573</v>
      </c>
      <c r="P1191" s="74">
        <f>D1205</f>
        <v>10803.031000000001</v>
      </c>
      <c r="Q1191" s="23">
        <f t="shared" si="124"/>
        <v>-0.56258849946834366</v>
      </c>
    </row>
    <row r="1192" spans="1:17" x14ac:dyDescent="0.25">
      <c r="A1192" s="30" t="s">
        <v>159</v>
      </c>
      <c r="B1192" s="30" t="s">
        <v>333</v>
      </c>
      <c r="C1192" s="30">
        <v>25</v>
      </c>
      <c r="D1192" s="190">
        <v>1750926.709</v>
      </c>
      <c r="E1192" s="30" t="s">
        <v>10</v>
      </c>
      <c r="F1192" s="190">
        <v>41658.748</v>
      </c>
      <c r="G1192" s="30" t="s">
        <v>335</v>
      </c>
      <c r="H1192" s="30"/>
    </row>
    <row r="1193" spans="1:17" x14ac:dyDescent="0.25">
      <c r="A1193" s="30" t="s">
        <v>160</v>
      </c>
      <c r="B1193" s="30" t="s">
        <v>333</v>
      </c>
      <c r="C1193" s="30">
        <v>25</v>
      </c>
      <c r="D1193" s="190">
        <v>5690673.7180000003</v>
      </c>
      <c r="E1193" s="30" t="s">
        <v>10</v>
      </c>
      <c r="F1193" s="190">
        <v>27439.347000000002</v>
      </c>
      <c r="G1193" s="30" t="s">
        <v>335</v>
      </c>
      <c r="H1193" s="30"/>
    </row>
    <row r="1194" spans="1:17" x14ac:dyDescent="0.25">
      <c r="A1194" s="30" t="s">
        <v>145</v>
      </c>
      <c r="B1194" s="30" t="s">
        <v>333</v>
      </c>
      <c r="C1194" s="30">
        <v>25</v>
      </c>
      <c r="D1194" s="190">
        <v>467473.36300000001</v>
      </c>
      <c r="E1194" s="30" t="s">
        <v>10</v>
      </c>
      <c r="F1194" s="190">
        <v>1718.425</v>
      </c>
      <c r="G1194" s="30" t="s">
        <v>335</v>
      </c>
      <c r="H1194" s="30"/>
    </row>
    <row r="1195" spans="1:17" x14ac:dyDescent="0.25">
      <c r="A1195" s="30" t="s">
        <v>146</v>
      </c>
      <c r="B1195" s="30" t="s">
        <v>333</v>
      </c>
      <c r="C1195" s="30">
        <v>25</v>
      </c>
      <c r="D1195" s="190">
        <v>501267.41399999999</v>
      </c>
      <c r="E1195" s="30" t="s">
        <v>10</v>
      </c>
      <c r="F1195" s="190">
        <v>25775.137999999999</v>
      </c>
      <c r="G1195" s="30" t="s">
        <v>335</v>
      </c>
      <c r="H1195" s="30"/>
    </row>
    <row r="1196" spans="1:17" x14ac:dyDescent="0.25">
      <c r="A1196" s="30" t="s">
        <v>147</v>
      </c>
      <c r="B1196" s="30" t="s">
        <v>333</v>
      </c>
      <c r="C1196" s="30">
        <v>25</v>
      </c>
      <c r="D1196" s="190">
        <v>348160.81400000001</v>
      </c>
      <c r="E1196" s="30" t="s">
        <v>10</v>
      </c>
      <c r="F1196" s="190">
        <v>1753.2049999999999</v>
      </c>
      <c r="G1196" s="30" t="s">
        <v>335</v>
      </c>
      <c r="H1196" s="30"/>
    </row>
    <row r="1197" spans="1:17" x14ac:dyDescent="0.25">
      <c r="A1197" s="30" t="s">
        <v>148</v>
      </c>
      <c r="B1197" s="30" t="s">
        <v>333</v>
      </c>
      <c r="C1197" s="30">
        <v>25</v>
      </c>
      <c r="D1197" s="190">
        <v>1193474.689</v>
      </c>
      <c r="E1197" s="30" t="s">
        <v>10</v>
      </c>
      <c r="F1197" s="190">
        <v>1101.5619999999999</v>
      </c>
      <c r="G1197" s="30" t="s">
        <v>335</v>
      </c>
      <c r="H1197" s="30"/>
    </row>
    <row r="1198" spans="1:17" x14ac:dyDescent="0.25">
      <c r="A1198" s="30" t="s">
        <v>149</v>
      </c>
      <c r="B1198" s="30" t="s">
        <v>333</v>
      </c>
      <c r="C1198" s="30">
        <v>25</v>
      </c>
      <c r="D1198" s="190">
        <v>47560.93</v>
      </c>
      <c r="E1198" s="30" t="s">
        <v>10</v>
      </c>
      <c r="F1198" s="190">
        <v>120.79600000000001</v>
      </c>
      <c r="G1198" s="30" t="s">
        <v>335</v>
      </c>
      <c r="H1198" s="30"/>
    </row>
    <row r="1199" spans="1:17" x14ac:dyDescent="0.25">
      <c r="A1199" s="30" t="s">
        <v>150</v>
      </c>
      <c r="B1199" s="30" t="s">
        <v>333</v>
      </c>
      <c r="C1199" s="30">
        <v>25</v>
      </c>
      <c r="D1199" s="190">
        <v>56386.519</v>
      </c>
      <c r="E1199" s="30" t="s">
        <v>10</v>
      </c>
      <c r="F1199" s="190">
        <v>257.66800000000001</v>
      </c>
      <c r="G1199" s="30" t="s">
        <v>335</v>
      </c>
      <c r="H1199" s="30"/>
    </row>
    <row r="1200" spans="1:17" x14ac:dyDescent="0.25">
      <c r="A1200" s="30" t="s">
        <v>151</v>
      </c>
      <c r="B1200" s="30" t="s">
        <v>333</v>
      </c>
      <c r="C1200" s="30">
        <v>25</v>
      </c>
      <c r="D1200" s="190">
        <v>34891.767</v>
      </c>
      <c r="E1200" s="30" t="s">
        <v>10</v>
      </c>
      <c r="F1200" s="190">
        <v>106.85599999999999</v>
      </c>
      <c r="G1200" s="30" t="s">
        <v>335</v>
      </c>
      <c r="H1200" s="30"/>
    </row>
    <row r="1201" spans="1:15" x14ac:dyDescent="0.25">
      <c r="A1201" s="30" t="s">
        <v>152</v>
      </c>
      <c r="B1201" s="30" t="s">
        <v>333</v>
      </c>
      <c r="C1201" s="30">
        <v>25</v>
      </c>
      <c r="D1201" s="190">
        <v>125436.883</v>
      </c>
      <c r="E1201" s="30" t="s">
        <v>10</v>
      </c>
      <c r="F1201" s="190">
        <v>215.79400000000001</v>
      </c>
      <c r="G1201" s="30" t="s">
        <v>335</v>
      </c>
      <c r="H1201" s="30"/>
    </row>
    <row r="1202" spans="1:15" x14ac:dyDescent="0.25">
      <c r="A1202" s="30" t="s">
        <v>153</v>
      </c>
      <c r="B1202" s="30" t="s">
        <v>333</v>
      </c>
      <c r="C1202" s="30">
        <v>25</v>
      </c>
      <c r="D1202" s="190">
        <v>4725.37</v>
      </c>
      <c r="E1202" s="30" t="s">
        <v>10</v>
      </c>
      <c r="F1202" s="190">
        <v>14.561999999999999</v>
      </c>
      <c r="G1202" s="30" t="s">
        <v>335</v>
      </c>
      <c r="H1202" s="30"/>
    </row>
    <row r="1203" spans="1:15" x14ac:dyDescent="0.25">
      <c r="A1203" s="30" t="s">
        <v>154</v>
      </c>
      <c r="B1203" s="30" t="s">
        <v>333</v>
      </c>
      <c r="C1203" s="30">
        <v>25</v>
      </c>
      <c r="D1203" s="190">
        <v>5674.23</v>
      </c>
      <c r="E1203" s="30" t="s">
        <v>10</v>
      </c>
      <c r="F1203" s="190">
        <v>11.061</v>
      </c>
      <c r="G1203" s="30" t="s">
        <v>335</v>
      </c>
      <c r="H1203" s="30"/>
    </row>
    <row r="1204" spans="1:15" x14ac:dyDescent="0.25">
      <c r="A1204" s="30" t="s">
        <v>155</v>
      </c>
      <c r="B1204" s="30" t="s">
        <v>333</v>
      </c>
      <c r="C1204" s="30">
        <v>25</v>
      </c>
      <c r="D1204" s="190">
        <v>3625.9679999999998</v>
      </c>
      <c r="E1204" s="30" t="s">
        <v>10</v>
      </c>
      <c r="F1204" s="190">
        <v>9.8030000000000008</v>
      </c>
      <c r="G1204" s="30" t="s">
        <v>335</v>
      </c>
      <c r="H1204" s="30"/>
    </row>
    <row r="1205" spans="1:15" x14ac:dyDescent="0.25">
      <c r="A1205" s="30" t="s">
        <v>156</v>
      </c>
      <c r="B1205" s="30" t="s">
        <v>333</v>
      </c>
      <c r="C1205" s="30">
        <v>25</v>
      </c>
      <c r="D1205" s="190">
        <v>10803.031000000001</v>
      </c>
      <c r="E1205" s="30" t="s">
        <v>10</v>
      </c>
      <c r="F1205" s="190">
        <v>12.334</v>
      </c>
      <c r="G1205" s="30" t="s">
        <v>335</v>
      </c>
      <c r="H1205" s="30"/>
    </row>
    <row r="1207" spans="1:15" x14ac:dyDescent="0.25">
      <c r="A1207" s="30" t="s">
        <v>268</v>
      </c>
      <c r="B1207" s="30"/>
      <c r="C1207" s="30"/>
      <c r="D1207" s="190"/>
      <c r="E1207" s="30"/>
      <c r="F1207" s="190"/>
      <c r="G1207" s="30"/>
      <c r="H1207" s="30"/>
    </row>
    <row r="1208" spans="1:15" ht="20" thickBot="1" x14ac:dyDescent="0.3">
      <c r="A1208" s="30" t="s">
        <v>2</v>
      </c>
      <c r="B1208" s="30" t="s">
        <v>3</v>
      </c>
      <c r="C1208" s="30" t="s">
        <v>4</v>
      </c>
      <c r="D1208" s="190" t="s">
        <v>5</v>
      </c>
      <c r="E1208" s="30" t="s">
        <v>6</v>
      </c>
      <c r="F1208" s="190" t="s">
        <v>7</v>
      </c>
      <c r="G1208" s="30"/>
      <c r="H1208" s="30"/>
    </row>
    <row r="1209" spans="1:15" x14ac:dyDescent="0.25">
      <c r="A1209" s="30" t="s">
        <v>201</v>
      </c>
      <c r="B1209" s="30" t="s">
        <v>333</v>
      </c>
      <c r="C1209" s="30">
        <v>25</v>
      </c>
      <c r="D1209" s="190">
        <v>14128407.647</v>
      </c>
      <c r="E1209" s="30" t="s">
        <v>10</v>
      </c>
      <c r="F1209" s="190">
        <v>392643.571</v>
      </c>
      <c r="G1209" s="30" t="s">
        <v>335</v>
      </c>
      <c r="H1209" s="30"/>
      <c r="J1209" s="5" t="s">
        <v>268</v>
      </c>
      <c r="K1209" s="72" t="s">
        <v>340</v>
      </c>
      <c r="L1209" s="72" t="s">
        <v>341</v>
      </c>
      <c r="M1209" s="17" t="s">
        <v>162</v>
      </c>
      <c r="N1209" s="72" t="s">
        <v>342</v>
      </c>
      <c r="O1209" s="21" t="s">
        <v>162</v>
      </c>
    </row>
    <row r="1210" spans="1:15" x14ac:dyDescent="0.25">
      <c r="A1210" s="30" t="s">
        <v>202</v>
      </c>
      <c r="B1210" s="30" t="s">
        <v>333</v>
      </c>
      <c r="C1210" s="30">
        <v>25</v>
      </c>
      <c r="D1210" s="190">
        <v>15333047.555</v>
      </c>
      <c r="E1210" s="30" t="s">
        <v>10</v>
      </c>
      <c r="F1210" s="190">
        <v>822734.18799999997</v>
      </c>
      <c r="G1210" s="30" t="s">
        <v>335</v>
      </c>
      <c r="H1210" s="30"/>
      <c r="J1210" s="6">
        <v>100000</v>
      </c>
      <c r="K1210" s="119">
        <f>D1209</f>
        <v>14128407.647</v>
      </c>
      <c r="L1210" s="119">
        <f>D1210</f>
        <v>15333047.555</v>
      </c>
      <c r="M1210" s="18">
        <f>(K1210/L1210-1)</f>
        <v>-7.8564936531953511E-2</v>
      </c>
      <c r="N1210" s="73">
        <f>D1211</f>
        <v>15682405.51</v>
      </c>
      <c r="O1210" s="22">
        <f>(K1210/N1210-1)</f>
        <v>-9.909180463475975E-2</v>
      </c>
    </row>
    <row r="1211" spans="1:15" x14ac:dyDescent="0.25">
      <c r="A1211" s="30" t="s">
        <v>203</v>
      </c>
      <c r="B1211" s="30" t="s">
        <v>333</v>
      </c>
      <c r="C1211" s="30">
        <v>25</v>
      </c>
      <c r="D1211" s="190">
        <v>15682405.51</v>
      </c>
      <c r="E1211" s="30" t="s">
        <v>10</v>
      </c>
      <c r="F1211" s="190">
        <v>1910683.8330000001</v>
      </c>
      <c r="G1211" s="30" t="s">
        <v>335</v>
      </c>
      <c r="H1211" s="30"/>
      <c r="J1211" s="6">
        <v>50000</v>
      </c>
      <c r="K1211" s="119">
        <f>D1212</f>
        <v>6340678.9119999995</v>
      </c>
      <c r="L1211" s="119">
        <f>D1213</f>
        <v>6405952.727</v>
      </c>
      <c r="M1211" s="18">
        <f t="shared" ref="M1211:M1214" si="125">(K1211/L1211-1)</f>
        <v>-1.0189556149061585E-2</v>
      </c>
      <c r="N1211" s="73">
        <f>D1214</f>
        <v>6484845.1699999999</v>
      </c>
      <c r="O1211" s="22">
        <f t="shared" ref="O1211:O1214" si="126">(K1211/N1211-1)</f>
        <v>-2.2231256756435447E-2</v>
      </c>
    </row>
    <row r="1212" spans="1:15" x14ac:dyDescent="0.25">
      <c r="A1212" s="30" t="s">
        <v>204</v>
      </c>
      <c r="B1212" s="30" t="s">
        <v>333</v>
      </c>
      <c r="C1212" s="30">
        <v>25</v>
      </c>
      <c r="D1212" s="190">
        <v>6340678.9119999995</v>
      </c>
      <c r="E1212" s="30" t="s">
        <v>10</v>
      </c>
      <c r="F1212" s="190">
        <v>48131.110999999997</v>
      </c>
      <c r="G1212" s="30" t="s">
        <v>335</v>
      </c>
      <c r="H1212" s="30"/>
      <c r="J1212" s="6">
        <v>10000</v>
      </c>
      <c r="K1212" s="119">
        <f>D1215</f>
        <v>1066701.757</v>
      </c>
      <c r="L1212" s="119">
        <f>D1216</f>
        <v>1085807.392</v>
      </c>
      <c r="M1212" s="18">
        <f t="shared" si="125"/>
        <v>-1.7595786454178031E-2</v>
      </c>
      <c r="N1212" s="73">
        <f>D1217</f>
        <v>1193352.8489999999</v>
      </c>
      <c r="O1212" s="22">
        <f t="shared" si="126"/>
        <v>-0.10613046435187246</v>
      </c>
    </row>
    <row r="1213" spans="1:15" x14ac:dyDescent="0.25">
      <c r="A1213" s="30" t="s">
        <v>205</v>
      </c>
      <c r="B1213" s="30" t="s">
        <v>333</v>
      </c>
      <c r="C1213" s="30">
        <v>25</v>
      </c>
      <c r="D1213" s="190">
        <v>6405952.727</v>
      </c>
      <c r="E1213" s="30" t="s">
        <v>10</v>
      </c>
      <c r="F1213" s="190">
        <v>93355.433999999994</v>
      </c>
      <c r="G1213" s="30" t="s">
        <v>335</v>
      </c>
      <c r="H1213" s="30"/>
      <c r="J1213" s="67">
        <v>1000</v>
      </c>
      <c r="K1213" s="119">
        <f>D1218</f>
        <v>64760.56</v>
      </c>
      <c r="L1213" s="119">
        <f>D1219</f>
        <v>54074.642999999996</v>
      </c>
      <c r="M1213" s="18">
        <f t="shared" si="125"/>
        <v>0.19761419414271497</v>
      </c>
      <c r="N1213" s="73">
        <f>D1220</f>
        <v>47109.696000000004</v>
      </c>
      <c r="O1213" s="22">
        <f t="shared" si="126"/>
        <v>0.3746758204510594</v>
      </c>
    </row>
    <row r="1214" spans="1:15" ht="20" thickBot="1" x14ac:dyDescent="0.3">
      <c r="A1214" s="30" t="s">
        <v>206</v>
      </c>
      <c r="B1214" s="30" t="s">
        <v>333</v>
      </c>
      <c r="C1214" s="30">
        <v>25</v>
      </c>
      <c r="D1214" s="190">
        <v>6484845.1699999999</v>
      </c>
      <c r="E1214" s="30" t="s">
        <v>10</v>
      </c>
      <c r="F1214" s="190">
        <v>148150.41899999999</v>
      </c>
      <c r="G1214" s="30" t="s">
        <v>335</v>
      </c>
      <c r="H1214" s="30"/>
      <c r="J1214" s="68">
        <v>100</v>
      </c>
      <c r="K1214" s="120">
        <f>D1221</f>
        <v>2685.9270000000001</v>
      </c>
      <c r="L1214" s="120">
        <f>D1222</f>
        <v>2659.93</v>
      </c>
      <c r="M1214" s="19">
        <f t="shared" si="125"/>
        <v>9.7735654697681529E-3</v>
      </c>
      <c r="N1214" s="74">
        <f>D1223</f>
        <v>2522.0790000000002</v>
      </c>
      <c r="O1214" s="23">
        <f t="shared" si="126"/>
        <v>6.496545112187202E-2</v>
      </c>
    </row>
    <row r="1215" spans="1:15" x14ac:dyDescent="0.25">
      <c r="A1215" s="30" t="s">
        <v>207</v>
      </c>
      <c r="B1215" s="30" t="s">
        <v>333</v>
      </c>
      <c r="C1215" s="30">
        <v>25</v>
      </c>
      <c r="D1215" s="190">
        <v>1066701.757</v>
      </c>
      <c r="E1215" s="30" t="s">
        <v>10</v>
      </c>
      <c r="F1215" s="190">
        <v>47358.758999999998</v>
      </c>
      <c r="G1215" s="30" t="s">
        <v>335</v>
      </c>
      <c r="H1215" s="30"/>
    </row>
    <row r="1216" spans="1:15" x14ac:dyDescent="0.25">
      <c r="A1216" s="30" t="s">
        <v>208</v>
      </c>
      <c r="B1216" s="30" t="s">
        <v>333</v>
      </c>
      <c r="C1216" s="30">
        <v>25</v>
      </c>
      <c r="D1216" s="190">
        <v>1085807.392</v>
      </c>
      <c r="E1216" s="30" t="s">
        <v>10</v>
      </c>
      <c r="F1216" s="190">
        <v>37121.421000000002</v>
      </c>
      <c r="G1216" s="30" t="s">
        <v>335</v>
      </c>
      <c r="H1216" s="30"/>
    </row>
    <row r="1217" spans="1:13" x14ac:dyDescent="0.25">
      <c r="A1217" s="30" t="s">
        <v>209</v>
      </c>
      <c r="B1217" s="30" t="s">
        <v>333</v>
      </c>
      <c r="C1217" s="30">
        <v>25</v>
      </c>
      <c r="D1217" s="190">
        <v>1193352.8489999999</v>
      </c>
      <c r="E1217" s="30" t="s">
        <v>10</v>
      </c>
      <c r="F1217" s="190">
        <v>141547.40400000001</v>
      </c>
      <c r="G1217" s="30" t="s">
        <v>335</v>
      </c>
      <c r="H1217" s="30"/>
    </row>
    <row r="1218" spans="1:13" x14ac:dyDescent="0.25">
      <c r="A1218" s="30" t="s">
        <v>210</v>
      </c>
      <c r="B1218" s="30" t="s">
        <v>333</v>
      </c>
      <c r="C1218" s="30">
        <v>25</v>
      </c>
      <c r="D1218" s="190">
        <v>64760.56</v>
      </c>
      <c r="E1218" s="30" t="s">
        <v>10</v>
      </c>
      <c r="F1218" s="190">
        <v>7338.3289999999997</v>
      </c>
      <c r="G1218" s="30" t="s">
        <v>335</v>
      </c>
      <c r="H1218" s="30"/>
    </row>
    <row r="1219" spans="1:13" x14ac:dyDescent="0.25">
      <c r="A1219" s="30" t="s">
        <v>211</v>
      </c>
      <c r="B1219" s="30" t="s">
        <v>333</v>
      </c>
      <c r="C1219" s="30">
        <v>25</v>
      </c>
      <c r="D1219" s="190">
        <v>54074.642999999996</v>
      </c>
      <c r="E1219" s="30" t="s">
        <v>10</v>
      </c>
      <c r="F1219" s="190">
        <v>3840.502</v>
      </c>
      <c r="G1219" s="30" t="s">
        <v>335</v>
      </c>
      <c r="H1219" s="30"/>
    </row>
    <row r="1220" spans="1:13" x14ac:dyDescent="0.25">
      <c r="A1220" s="30" t="s">
        <v>212</v>
      </c>
      <c r="B1220" s="30" t="s">
        <v>333</v>
      </c>
      <c r="C1220" s="30">
        <v>25</v>
      </c>
      <c r="D1220" s="190">
        <v>47109.696000000004</v>
      </c>
      <c r="E1220" s="30" t="s">
        <v>10</v>
      </c>
      <c r="F1220" s="190">
        <v>1221.2919999999999</v>
      </c>
      <c r="G1220" s="30" t="s">
        <v>335</v>
      </c>
      <c r="H1220" s="30"/>
    </row>
    <row r="1221" spans="1:13" x14ac:dyDescent="0.25">
      <c r="A1221" s="30" t="s">
        <v>213</v>
      </c>
      <c r="B1221" s="30" t="s">
        <v>333</v>
      </c>
      <c r="C1221" s="30">
        <v>25</v>
      </c>
      <c r="D1221" s="190">
        <v>2685.9270000000001</v>
      </c>
      <c r="E1221" s="30" t="s">
        <v>10</v>
      </c>
      <c r="F1221" s="190">
        <v>196.31399999999999</v>
      </c>
      <c r="G1221" s="30" t="s">
        <v>335</v>
      </c>
      <c r="H1221" s="30"/>
    </row>
    <row r="1222" spans="1:13" x14ac:dyDescent="0.25">
      <c r="A1222" s="30" t="s">
        <v>214</v>
      </c>
      <c r="B1222" s="30" t="s">
        <v>333</v>
      </c>
      <c r="C1222" s="30">
        <v>25</v>
      </c>
      <c r="D1222" s="190">
        <v>2659.93</v>
      </c>
      <c r="E1222" s="30" t="s">
        <v>10</v>
      </c>
      <c r="F1222" s="190">
        <v>14.763999999999999</v>
      </c>
      <c r="G1222" s="30" t="s">
        <v>335</v>
      </c>
      <c r="H1222" s="30"/>
    </row>
    <row r="1223" spans="1:13" x14ac:dyDescent="0.25">
      <c r="A1223" s="30" t="s">
        <v>215</v>
      </c>
      <c r="B1223" s="30" t="s">
        <v>333</v>
      </c>
      <c r="C1223" s="30">
        <v>25</v>
      </c>
      <c r="D1223" s="190">
        <v>2522.0790000000002</v>
      </c>
      <c r="E1223" s="30" t="s">
        <v>10</v>
      </c>
      <c r="F1223" s="190">
        <v>26.841000000000001</v>
      </c>
      <c r="G1223" s="30" t="s">
        <v>335</v>
      </c>
      <c r="H1223" s="30"/>
    </row>
    <row r="1225" spans="1:13" x14ac:dyDescent="0.25">
      <c r="A1225" s="30" t="s">
        <v>574</v>
      </c>
      <c r="B1225" s="30"/>
      <c r="C1225" s="30"/>
      <c r="D1225" s="190"/>
      <c r="E1225" s="30"/>
      <c r="F1225" s="190"/>
      <c r="G1225" s="30"/>
      <c r="H1225" s="30"/>
    </row>
    <row r="1226" spans="1:13" ht="20" thickBot="1" x14ac:dyDescent="0.3">
      <c r="A1226" s="30" t="s">
        <v>2</v>
      </c>
      <c r="B1226" s="30" t="s">
        <v>3</v>
      </c>
      <c r="C1226" s="30" t="s">
        <v>4</v>
      </c>
      <c r="D1226" s="190" t="s">
        <v>5</v>
      </c>
      <c r="E1226" s="30" t="s">
        <v>6</v>
      </c>
      <c r="F1226" s="190" t="s">
        <v>7</v>
      </c>
      <c r="G1226" s="30"/>
      <c r="H1226" s="30"/>
    </row>
    <row r="1227" spans="1:13" x14ac:dyDescent="0.25">
      <c r="A1227" s="30" t="s">
        <v>256</v>
      </c>
      <c r="B1227" s="30" t="s">
        <v>333</v>
      </c>
      <c r="C1227" s="30">
        <v>25</v>
      </c>
      <c r="D1227" s="190">
        <v>1146703.5549999999</v>
      </c>
      <c r="E1227" s="30" t="s">
        <v>10</v>
      </c>
      <c r="F1227" s="190">
        <v>42925.73</v>
      </c>
      <c r="G1227" s="30" t="s">
        <v>335</v>
      </c>
      <c r="H1227" s="30"/>
      <c r="J1227" s="5" t="s">
        <v>574</v>
      </c>
      <c r="K1227" s="72" t="s">
        <v>340</v>
      </c>
      <c r="L1227" s="72" t="s">
        <v>341</v>
      </c>
      <c r="M1227" s="21" t="s">
        <v>162</v>
      </c>
    </row>
    <row r="1228" spans="1:13" x14ac:dyDescent="0.25">
      <c r="A1228" s="30" t="s">
        <v>257</v>
      </c>
      <c r="B1228" s="30" t="s">
        <v>333</v>
      </c>
      <c r="C1228" s="30">
        <v>25</v>
      </c>
      <c r="D1228" s="190">
        <v>909976.11499999999</v>
      </c>
      <c r="E1228" s="30" t="s">
        <v>10</v>
      </c>
      <c r="F1228" s="190">
        <v>57517.343999999997</v>
      </c>
      <c r="G1228" s="30" t="s">
        <v>335</v>
      </c>
      <c r="H1228" s="30"/>
      <c r="J1228" s="6">
        <v>100000</v>
      </c>
      <c r="K1228" s="119">
        <f>D1227</f>
        <v>1146703.5549999999</v>
      </c>
      <c r="L1228" s="119">
        <f>D1228</f>
        <v>909976.11499999999</v>
      </c>
      <c r="M1228" s="22">
        <f>(K1228/L1228-1)</f>
        <v>0.26014687209674725</v>
      </c>
    </row>
    <row r="1229" spans="1:13" x14ac:dyDescent="0.25">
      <c r="A1229" s="30" t="s">
        <v>264</v>
      </c>
      <c r="B1229" s="30" t="s">
        <v>333</v>
      </c>
      <c r="C1229" s="30">
        <v>25</v>
      </c>
      <c r="D1229" s="190">
        <v>577703.26199999999</v>
      </c>
      <c r="E1229" s="30" t="s">
        <v>10</v>
      </c>
      <c r="F1229" s="190">
        <v>4181.9560000000001</v>
      </c>
      <c r="G1229" s="30" t="s">
        <v>335</v>
      </c>
      <c r="H1229" s="30"/>
      <c r="J1229" s="6">
        <v>50000</v>
      </c>
      <c r="K1229" s="119">
        <f>D1229</f>
        <v>577703.26199999999</v>
      </c>
      <c r="L1229" s="119">
        <f>D1230</f>
        <v>476734.87800000003</v>
      </c>
      <c r="M1229" s="22">
        <f t="shared" ref="M1229:M1232" si="127">(K1229/L1229-1)</f>
        <v>0.21179147710690449</v>
      </c>
    </row>
    <row r="1230" spans="1:13" x14ac:dyDescent="0.25">
      <c r="A1230" s="30" t="s">
        <v>265</v>
      </c>
      <c r="B1230" s="30" t="s">
        <v>333</v>
      </c>
      <c r="C1230" s="30">
        <v>25</v>
      </c>
      <c r="D1230" s="190">
        <v>476734.87800000003</v>
      </c>
      <c r="E1230" s="30" t="s">
        <v>10</v>
      </c>
      <c r="F1230" s="190">
        <v>15001.768</v>
      </c>
      <c r="G1230" s="30" t="s">
        <v>335</v>
      </c>
      <c r="H1230" s="30"/>
      <c r="J1230" s="6">
        <v>10000</v>
      </c>
      <c r="K1230" s="119">
        <f>D1231</f>
        <v>115079.03</v>
      </c>
      <c r="L1230" s="119">
        <f>D1232</f>
        <v>95267.255000000005</v>
      </c>
      <c r="M1230" s="22">
        <f t="shared" si="127"/>
        <v>0.20795996483786583</v>
      </c>
    </row>
    <row r="1231" spans="1:13" x14ac:dyDescent="0.25">
      <c r="A1231" s="30" t="s">
        <v>258</v>
      </c>
      <c r="B1231" s="30" t="s">
        <v>333</v>
      </c>
      <c r="C1231" s="30">
        <v>25</v>
      </c>
      <c r="D1231" s="190">
        <v>115079.03</v>
      </c>
      <c r="E1231" s="30" t="s">
        <v>10</v>
      </c>
      <c r="F1231" s="190">
        <v>885.447</v>
      </c>
      <c r="G1231" s="30" t="s">
        <v>335</v>
      </c>
      <c r="H1231" s="30"/>
      <c r="J1231" s="67">
        <v>1000</v>
      </c>
      <c r="K1231" s="119">
        <f>D1233</f>
        <v>15422.397999999999</v>
      </c>
      <c r="L1231" s="119">
        <f>D1234</f>
        <v>9448.7800000000007</v>
      </c>
      <c r="M1231" s="22">
        <f t="shared" si="127"/>
        <v>0.6322105075999227</v>
      </c>
    </row>
    <row r="1232" spans="1:13" ht="20" thickBot="1" x14ac:dyDescent="0.3">
      <c r="A1232" s="30" t="s">
        <v>259</v>
      </c>
      <c r="B1232" s="30" t="s">
        <v>333</v>
      </c>
      <c r="C1232" s="30">
        <v>25</v>
      </c>
      <c r="D1232" s="190">
        <v>95267.255000000005</v>
      </c>
      <c r="E1232" s="30" t="s">
        <v>10</v>
      </c>
      <c r="F1232" s="190">
        <v>733.19600000000003</v>
      </c>
      <c r="G1232" s="30" t="s">
        <v>335</v>
      </c>
      <c r="H1232" s="30"/>
      <c r="J1232" s="68">
        <v>100</v>
      </c>
      <c r="K1232" s="120">
        <f>D1235</f>
        <v>1070.5740000000001</v>
      </c>
      <c r="L1232" s="120">
        <f>D1236</f>
        <v>576.80899999999997</v>
      </c>
      <c r="M1232" s="23">
        <f t="shared" si="127"/>
        <v>0.85602859872158743</v>
      </c>
    </row>
    <row r="1233" spans="1:15" x14ac:dyDescent="0.25">
      <c r="A1233" s="30" t="s">
        <v>260</v>
      </c>
      <c r="B1233" s="30" t="s">
        <v>333</v>
      </c>
      <c r="C1233" s="30">
        <v>25</v>
      </c>
      <c r="D1233" s="190">
        <v>15422.397999999999</v>
      </c>
      <c r="E1233" s="30" t="s">
        <v>10</v>
      </c>
      <c r="F1233" s="190">
        <v>79.67</v>
      </c>
      <c r="G1233" s="30" t="s">
        <v>335</v>
      </c>
      <c r="H1233" s="30"/>
    </row>
    <row r="1234" spans="1:15" x14ac:dyDescent="0.25">
      <c r="A1234" s="30" t="s">
        <v>261</v>
      </c>
      <c r="B1234" s="30" t="s">
        <v>333</v>
      </c>
      <c r="C1234" s="30">
        <v>25</v>
      </c>
      <c r="D1234" s="190">
        <v>9448.7800000000007</v>
      </c>
      <c r="E1234" s="30" t="s">
        <v>10</v>
      </c>
      <c r="F1234" s="190">
        <v>123.30200000000001</v>
      </c>
      <c r="G1234" s="30" t="s">
        <v>335</v>
      </c>
      <c r="H1234" s="30"/>
    </row>
    <row r="1235" spans="1:15" x14ac:dyDescent="0.25">
      <c r="A1235" s="30" t="s">
        <v>262</v>
      </c>
      <c r="B1235" s="30" t="s">
        <v>333</v>
      </c>
      <c r="C1235" s="30">
        <v>25</v>
      </c>
      <c r="D1235" s="190">
        <v>1070.5740000000001</v>
      </c>
      <c r="E1235" s="30" t="s">
        <v>10</v>
      </c>
      <c r="F1235" s="190">
        <v>3.4209999999999998</v>
      </c>
      <c r="G1235" s="30" t="s">
        <v>335</v>
      </c>
      <c r="H1235" s="30"/>
    </row>
    <row r="1236" spans="1:15" x14ac:dyDescent="0.25">
      <c r="A1236" s="30" t="s">
        <v>263</v>
      </c>
      <c r="B1236" s="30" t="s">
        <v>333</v>
      </c>
      <c r="C1236" s="30">
        <v>25</v>
      </c>
      <c r="D1236" s="190">
        <v>576.80899999999997</v>
      </c>
      <c r="E1236" s="30" t="s">
        <v>10</v>
      </c>
      <c r="F1236" s="190">
        <v>5.6760000000000002</v>
      </c>
      <c r="G1236" s="30" t="s">
        <v>335</v>
      </c>
      <c r="H1236" s="30"/>
    </row>
    <row r="1238" spans="1:15" x14ac:dyDescent="0.25">
      <c r="A1238" s="30" t="s">
        <v>573</v>
      </c>
      <c r="B1238" s="30"/>
      <c r="C1238" s="30"/>
      <c r="D1238" s="190"/>
      <c r="E1238" s="30"/>
      <c r="F1238" s="190"/>
      <c r="G1238" s="30"/>
      <c r="H1238" s="30"/>
    </row>
    <row r="1239" spans="1:15" ht="20" thickBot="1" x14ac:dyDescent="0.3">
      <c r="A1239" s="30" t="s">
        <v>2</v>
      </c>
      <c r="B1239" s="30" t="s">
        <v>3</v>
      </c>
      <c r="C1239" s="30" t="s">
        <v>4</v>
      </c>
      <c r="D1239" s="190" t="s">
        <v>5</v>
      </c>
      <c r="E1239" s="30" t="s">
        <v>6</v>
      </c>
      <c r="F1239" s="190" t="s">
        <v>7</v>
      </c>
      <c r="G1239" s="30"/>
      <c r="H1239" s="30"/>
    </row>
    <row r="1240" spans="1:15" x14ac:dyDescent="0.25">
      <c r="A1240" s="30" t="s">
        <v>316</v>
      </c>
      <c r="B1240" s="30" t="s">
        <v>333</v>
      </c>
      <c r="C1240" s="30">
        <v>25</v>
      </c>
      <c r="D1240" s="190">
        <v>12507636.187999999</v>
      </c>
      <c r="E1240" s="30" t="s">
        <v>10</v>
      </c>
      <c r="F1240" s="190">
        <v>121919.749</v>
      </c>
      <c r="G1240" s="30" t="s">
        <v>335</v>
      </c>
      <c r="H1240" s="30"/>
      <c r="J1240" s="5" t="s">
        <v>573</v>
      </c>
      <c r="K1240" s="72" t="s">
        <v>340</v>
      </c>
      <c r="L1240" s="72" t="s">
        <v>341</v>
      </c>
      <c r="M1240" s="17" t="s">
        <v>162</v>
      </c>
      <c r="N1240" s="72" t="s">
        <v>342</v>
      </c>
      <c r="O1240" s="21" t="s">
        <v>162</v>
      </c>
    </row>
    <row r="1241" spans="1:15" x14ac:dyDescent="0.25">
      <c r="A1241" s="30" t="s">
        <v>317</v>
      </c>
      <c r="B1241" s="30" t="s">
        <v>333</v>
      </c>
      <c r="C1241" s="30">
        <v>25</v>
      </c>
      <c r="D1241" s="190">
        <v>16283251.732000001</v>
      </c>
      <c r="E1241" s="30" t="s">
        <v>10</v>
      </c>
      <c r="F1241" s="190">
        <v>44811.078999999998</v>
      </c>
      <c r="G1241" s="30" t="s">
        <v>335</v>
      </c>
      <c r="H1241" s="30"/>
      <c r="J1241" s="6">
        <v>100000</v>
      </c>
      <c r="K1241" s="119">
        <f>D1240</f>
        <v>12507636.187999999</v>
      </c>
      <c r="L1241" s="119">
        <f>D1241</f>
        <v>16283251.732000001</v>
      </c>
      <c r="M1241" s="18">
        <f>(K1241/L1241-1)</f>
        <v>-0.23187110327479166</v>
      </c>
      <c r="N1241" s="73">
        <f>D1242</f>
        <v>23351303.918000001</v>
      </c>
      <c r="O1241" s="22">
        <f>(K1241/N1241-1)</f>
        <v>-0.46437097337598021</v>
      </c>
    </row>
    <row r="1242" spans="1:15" x14ac:dyDescent="0.25">
      <c r="A1242" s="30" t="s">
        <v>318</v>
      </c>
      <c r="B1242" s="30" t="s">
        <v>333</v>
      </c>
      <c r="C1242" s="30">
        <v>25</v>
      </c>
      <c r="D1242" s="190">
        <v>23351303.918000001</v>
      </c>
      <c r="E1242" s="30" t="s">
        <v>10</v>
      </c>
      <c r="F1242" s="190">
        <v>218845.01500000001</v>
      </c>
      <c r="G1242" s="30" t="s">
        <v>335</v>
      </c>
      <c r="H1242" s="30"/>
      <c r="J1242" s="6">
        <v>50000</v>
      </c>
      <c r="K1242" s="119">
        <f>D1243</f>
        <v>6615010.7359999996</v>
      </c>
      <c r="L1242" s="119">
        <f>D1244</f>
        <v>10676597.592</v>
      </c>
      <c r="M1242" s="18">
        <f t="shared" ref="M1242:M1245" si="128">(K1242/L1242-1)</f>
        <v>-0.38041958788850083</v>
      </c>
      <c r="N1242" s="73">
        <f>D1245</f>
        <v>11925679.335000001</v>
      </c>
      <c r="O1242" s="22">
        <f t="shared" ref="O1242:O1245" si="129">(K1242/N1242-1)</f>
        <v>-0.44531371755183968</v>
      </c>
    </row>
    <row r="1243" spans="1:15" x14ac:dyDescent="0.25">
      <c r="A1243" s="30" t="s">
        <v>328</v>
      </c>
      <c r="B1243" s="30" t="s">
        <v>333</v>
      </c>
      <c r="C1243" s="30">
        <v>25</v>
      </c>
      <c r="D1243" s="190">
        <v>6615010.7359999996</v>
      </c>
      <c r="E1243" s="30" t="s">
        <v>10</v>
      </c>
      <c r="F1243" s="190">
        <v>146450.75</v>
      </c>
      <c r="G1243" s="30" t="s">
        <v>335</v>
      </c>
      <c r="H1243" s="30"/>
      <c r="J1243" s="6">
        <v>10000</v>
      </c>
      <c r="K1243" s="119">
        <f>D1246</f>
        <v>1161361.4180000001</v>
      </c>
      <c r="L1243" s="119">
        <f>D1247</f>
        <v>2050867.736</v>
      </c>
      <c r="M1243" s="18">
        <f t="shared" si="128"/>
        <v>-0.43372193261711145</v>
      </c>
      <c r="N1243" s="73">
        <f>D1248</f>
        <v>2408364.5260000001</v>
      </c>
      <c r="O1243" s="22">
        <f t="shared" si="129"/>
        <v>-0.51778005137416638</v>
      </c>
    </row>
    <row r="1244" spans="1:15" x14ac:dyDescent="0.25">
      <c r="A1244" s="30" t="s">
        <v>329</v>
      </c>
      <c r="B1244" s="30" t="s">
        <v>333</v>
      </c>
      <c r="C1244" s="30">
        <v>25</v>
      </c>
      <c r="D1244" s="190">
        <v>10676597.592</v>
      </c>
      <c r="E1244" s="30" t="s">
        <v>10</v>
      </c>
      <c r="F1244" s="190">
        <v>729929.01899999997</v>
      </c>
      <c r="G1244" s="30" t="s">
        <v>335</v>
      </c>
      <c r="H1244" s="30"/>
      <c r="J1244" s="67">
        <v>1000</v>
      </c>
      <c r="K1244" s="119">
        <f>D1249</f>
        <v>123901.817</v>
      </c>
      <c r="L1244" s="119">
        <f>D1250</f>
        <v>201443.45199999999</v>
      </c>
      <c r="M1244" s="18">
        <f t="shared" si="128"/>
        <v>-0.38493003485663058</v>
      </c>
      <c r="N1244" s="73">
        <f>D1251</f>
        <v>258632.505</v>
      </c>
      <c r="O1244" s="22">
        <f t="shared" si="129"/>
        <v>-0.52093486083661444</v>
      </c>
    </row>
    <row r="1245" spans="1:15" ht="20" thickBot="1" x14ac:dyDescent="0.3">
      <c r="A1245" s="30" t="s">
        <v>330</v>
      </c>
      <c r="B1245" s="30" t="s">
        <v>333</v>
      </c>
      <c r="C1245" s="30">
        <v>25</v>
      </c>
      <c r="D1245" s="190">
        <v>11925679.335000001</v>
      </c>
      <c r="E1245" s="30" t="s">
        <v>10</v>
      </c>
      <c r="F1245" s="190">
        <v>537994.87699999998</v>
      </c>
      <c r="G1245" s="30" t="s">
        <v>335</v>
      </c>
      <c r="H1245" s="30"/>
      <c r="J1245" s="68">
        <v>100</v>
      </c>
      <c r="K1245" s="120">
        <f>D1252</f>
        <v>16507.186000000002</v>
      </c>
      <c r="L1245" s="120">
        <f>D1253</f>
        <v>21598.898000000001</v>
      </c>
      <c r="M1245" s="19">
        <f t="shared" si="128"/>
        <v>-0.23573943448411117</v>
      </c>
      <c r="N1245" s="74">
        <f>D1254</f>
        <v>24140.532999999999</v>
      </c>
      <c r="O1245" s="23">
        <f t="shared" si="129"/>
        <v>-0.31620457593044848</v>
      </c>
    </row>
    <row r="1246" spans="1:15" x14ac:dyDescent="0.25">
      <c r="A1246" s="30" t="s">
        <v>319</v>
      </c>
      <c r="B1246" s="30" t="s">
        <v>333</v>
      </c>
      <c r="C1246" s="30">
        <v>25</v>
      </c>
      <c r="D1246" s="190">
        <v>1161361.4180000001</v>
      </c>
      <c r="E1246" s="30" t="s">
        <v>10</v>
      </c>
      <c r="F1246" s="190">
        <v>25550.098000000002</v>
      </c>
      <c r="G1246" s="30" t="s">
        <v>335</v>
      </c>
      <c r="H1246" s="30"/>
    </row>
    <row r="1247" spans="1:15" x14ac:dyDescent="0.25">
      <c r="A1247" s="30" t="s">
        <v>320</v>
      </c>
      <c r="B1247" s="30" t="s">
        <v>333</v>
      </c>
      <c r="C1247" s="30">
        <v>25</v>
      </c>
      <c r="D1247" s="190">
        <v>2050867.736</v>
      </c>
      <c r="E1247" s="30" t="s">
        <v>10</v>
      </c>
      <c r="F1247" s="190">
        <v>148728.58799999999</v>
      </c>
      <c r="G1247" s="30" t="s">
        <v>335</v>
      </c>
      <c r="H1247" s="30"/>
    </row>
    <row r="1248" spans="1:15" x14ac:dyDescent="0.25">
      <c r="A1248" s="30" t="s">
        <v>321</v>
      </c>
      <c r="B1248" s="30" t="s">
        <v>333</v>
      </c>
      <c r="C1248" s="30">
        <v>25</v>
      </c>
      <c r="D1248" s="190">
        <v>2408364.5260000001</v>
      </c>
      <c r="E1248" s="30" t="s">
        <v>10</v>
      </c>
      <c r="F1248" s="190">
        <v>257979.52499999999</v>
      </c>
      <c r="G1248" s="30" t="s">
        <v>335</v>
      </c>
      <c r="H1248" s="30"/>
    </row>
    <row r="1249" spans="1:15" x14ac:dyDescent="0.25">
      <c r="A1249" s="30" t="s">
        <v>322</v>
      </c>
      <c r="B1249" s="30" t="s">
        <v>333</v>
      </c>
      <c r="C1249" s="30">
        <v>25</v>
      </c>
      <c r="D1249" s="190">
        <v>123901.817</v>
      </c>
      <c r="E1249" s="30" t="s">
        <v>10</v>
      </c>
      <c r="F1249" s="190">
        <v>5074.8869999999997</v>
      </c>
      <c r="G1249" s="30" t="s">
        <v>335</v>
      </c>
      <c r="H1249" s="30"/>
    </row>
    <row r="1250" spans="1:15" x14ac:dyDescent="0.25">
      <c r="A1250" s="30" t="s">
        <v>323</v>
      </c>
      <c r="B1250" s="30" t="s">
        <v>333</v>
      </c>
      <c r="C1250" s="30">
        <v>25</v>
      </c>
      <c r="D1250" s="190">
        <v>201443.45199999999</v>
      </c>
      <c r="E1250" s="30" t="s">
        <v>10</v>
      </c>
      <c r="F1250" s="190">
        <v>13708.679</v>
      </c>
      <c r="G1250" s="30" t="s">
        <v>335</v>
      </c>
      <c r="H1250" s="30"/>
    </row>
    <row r="1251" spans="1:15" x14ac:dyDescent="0.25">
      <c r="A1251" s="30" t="s">
        <v>324</v>
      </c>
      <c r="B1251" s="30" t="s">
        <v>333</v>
      </c>
      <c r="C1251" s="30">
        <v>25</v>
      </c>
      <c r="D1251" s="190">
        <v>258632.505</v>
      </c>
      <c r="E1251" s="30" t="s">
        <v>10</v>
      </c>
      <c r="F1251" s="190">
        <v>19214.466</v>
      </c>
      <c r="G1251" s="30" t="s">
        <v>335</v>
      </c>
      <c r="H1251" s="30"/>
    </row>
    <row r="1252" spans="1:15" x14ac:dyDescent="0.25">
      <c r="A1252" s="30" t="s">
        <v>325</v>
      </c>
      <c r="B1252" s="30" t="s">
        <v>333</v>
      </c>
      <c r="C1252" s="30">
        <v>25</v>
      </c>
      <c r="D1252" s="190">
        <v>16507.186000000002</v>
      </c>
      <c r="E1252" s="30" t="s">
        <v>10</v>
      </c>
      <c r="F1252" s="190">
        <v>332.97800000000001</v>
      </c>
      <c r="G1252" s="30" t="s">
        <v>335</v>
      </c>
      <c r="H1252" s="30"/>
    </row>
    <row r="1253" spans="1:15" x14ac:dyDescent="0.25">
      <c r="A1253" s="30" t="s">
        <v>326</v>
      </c>
      <c r="B1253" s="30" t="s">
        <v>333</v>
      </c>
      <c r="C1253" s="30">
        <v>25</v>
      </c>
      <c r="D1253" s="190">
        <v>21598.898000000001</v>
      </c>
      <c r="E1253" s="30" t="s">
        <v>10</v>
      </c>
      <c r="F1253" s="190">
        <v>665.1</v>
      </c>
      <c r="G1253" s="30" t="s">
        <v>335</v>
      </c>
      <c r="H1253" s="30"/>
    </row>
    <row r="1254" spans="1:15" x14ac:dyDescent="0.25">
      <c r="A1254" s="30" t="s">
        <v>327</v>
      </c>
      <c r="B1254" s="30" t="s">
        <v>333</v>
      </c>
      <c r="C1254" s="30">
        <v>25</v>
      </c>
      <c r="D1254" s="190">
        <v>24140.532999999999</v>
      </c>
      <c r="E1254" s="30" t="s">
        <v>10</v>
      </c>
      <c r="F1254" s="190">
        <v>2358.8620000000001</v>
      </c>
      <c r="G1254" s="30" t="s">
        <v>335</v>
      </c>
      <c r="H1254" s="30"/>
    </row>
    <row r="1256" spans="1:15" x14ac:dyDescent="0.25">
      <c r="A1256" s="30" t="s">
        <v>567</v>
      </c>
      <c r="B1256" s="30"/>
      <c r="C1256" s="30"/>
      <c r="D1256" s="190"/>
      <c r="E1256" s="30"/>
      <c r="F1256" s="190"/>
      <c r="G1256" s="30"/>
      <c r="H1256" s="30"/>
    </row>
    <row r="1257" spans="1:15" ht="20" thickBot="1" x14ac:dyDescent="0.3">
      <c r="A1257" s="30" t="s">
        <v>2</v>
      </c>
      <c r="B1257" s="30" t="s">
        <v>3</v>
      </c>
      <c r="C1257" s="30" t="s">
        <v>4</v>
      </c>
      <c r="D1257" s="190" t="s">
        <v>5</v>
      </c>
      <c r="E1257" s="30" t="s">
        <v>6</v>
      </c>
      <c r="F1257" s="190" t="s">
        <v>7</v>
      </c>
      <c r="G1257" s="30"/>
      <c r="H1257" s="30"/>
    </row>
    <row r="1258" spans="1:15" x14ac:dyDescent="0.25">
      <c r="A1258" s="30" t="s">
        <v>286</v>
      </c>
      <c r="B1258" s="30" t="s">
        <v>333</v>
      </c>
      <c r="C1258" s="30">
        <v>25</v>
      </c>
      <c r="D1258" s="190">
        <v>2190055.023</v>
      </c>
      <c r="E1258" s="30" t="s">
        <v>10</v>
      </c>
      <c r="F1258" s="190">
        <v>23462.404999999999</v>
      </c>
      <c r="G1258" s="30" t="s">
        <v>335</v>
      </c>
      <c r="H1258" s="30"/>
      <c r="J1258" s="5" t="s">
        <v>567</v>
      </c>
      <c r="K1258" s="72" t="s">
        <v>340</v>
      </c>
      <c r="L1258" s="72" t="s">
        <v>341</v>
      </c>
      <c r="M1258" s="17" t="s">
        <v>162</v>
      </c>
      <c r="N1258" s="72" t="s">
        <v>342</v>
      </c>
      <c r="O1258" s="21" t="s">
        <v>162</v>
      </c>
    </row>
    <row r="1259" spans="1:15" x14ac:dyDescent="0.25">
      <c r="A1259" s="30" t="s">
        <v>287</v>
      </c>
      <c r="B1259" s="30" t="s">
        <v>333</v>
      </c>
      <c r="C1259" s="30">
        <v>25</v>
      </c>
      <c r="D1259" s="190">
        <v>3629000.6779999998</v>
      </c>
      <c r="E1259" s="30" t="s">
        <v>10</v>
      </c>
      <c r="F1259" s="190">
        <v>76116.657999999996</v>
      </c>
      <c r="G1259" s="30" t="s">
        <v>335</v>
      </c>
      <c r="H1259" s="30"/>
      <c r="J1259" s="6">
        <v>100000</v>
      </c>
      <c r="K1259" s="119">
        <f>D1258</f>
        <v>2190055.023</v>
      </c>
      <c r="L1259" s="119">
        <f>D1259</f>
        <v>3629000.6779999998</v>
      </c>
      <c r="M1259" s="18">
        <f>(K1259/L1259-1)</f>
        <v>-0.39651291985787829</v>
      </c>
      <c r="N1259" s="73">
        <f>D1260</f>
        <v>6790632.8229999999</v>
      </c>
      <c r="O1259" s="22">
        <f>(K1259/N1259-1)</f>
        <v>-0.67748881730400101</v>
      </c>
    </row>
    <row r="1260" spans="1:15" x14ac:dyDescent="0.25">
      <c r="A1260" s="30" t="s">
        <v>288</v>
      </c>
      <c r="B1260" s="30" t="s">
        <v>333</v>
      </c>
      <c r="C1260" s="30">
        <v>25</v>
      </c>
      <c r="D1260" s="190">
        <v>6790632.8229999999</v>
      </c>
      <c r="E1260" s="30" t="s">
        <v>10</v>
      </c>
      <c r="F1260" s="190">
        <v>99870.616999999998</v>
      </c>
      <c r="G1260" s="30" t="s">
        <v>335</v>
      </c>
      <c r="H1260" s="30"/>
      <c r="J1260" s="6">
        <v>50000</v>
      </c>
      <c r="K1260" s="119">
        <f>D1261</f>
        <v>1088643.821</v>
      </c>
      <c r="L1260" s="119">
        <f>D1262</f>
        <v>1681412.94</v>
      </c>
      <c r="M1260" s="18">
        <f t="shared" ref="M1260:M1263" si="130">(K1260/L1260-1)</f>
        <v>-0.35254226067749894</v>
      </c>
      <c r="N1260" s="73">
        <f>D1263</f>
        <v>2292703.1179999998</v>
      </c>
      <c r="O1260" s="22">
        <f t="shared" ref="O1260:O1263" si="131">(K1260/N1260-1)</f>
        <v>-0.52517017469332894</v>
      </c>
    </row>
    <row r="1261" spans="1:15" x14ac:dyDescent="0.25">
      <c r="A1261" s="30" t="s">
        <v>289</v>
      </c>
      <c r="B1261" s="30" t="s">
        <v>333</v>
      </c>
      <c r="C1261" s="30">
        <v>25</v>
      </c>
      <c r="D1261" s="190">
        <v>1088643.821</v>
      </c>
      <c r="E1261" s="30" t="s">
        <v>10</v>
      </c>
      <c r="F1261" s="190">
        <v>3702.6660000000002</v>
      </c>
      <c r="G1261" s="30" t="s">
        <v>335</v>
      </c>
      <c r="H1261" s="30"/>
      <c r="J1261" s="6">
        <v>10000</v>
      </c>
      <c r="K1261" s="119">
        <f>D1264</f>
        <v>229140.05900000001</v>
      </c>
      <c r="L1261" s="119">
        <f>D1265</f>
        <v>334326.80599999998</v>
      </c>
      <c r="M1261" s="18">
        <f t="shared" si="130"/>
        <v>-0.31462253433546095</v>
      </c>
      <c r="N1261" s="73">
        <f>D1266</f>
        <v>434217.64199999999</v>
      </c>
      <c r="O1261" s="22">
        <f t="shared" si="131"/>
        <v>-0.47229214836922717</v>
      </c>
    </row>
    <row r="1262" spans="1:15" x14ac:dyDescent="0.25">
      <c r="A1262" s="30" t="s">
        <v>290</v>
      </c>
      <c r="B1262" s="30" t="s">
        <v>333</v>
      </c>
      <c r="C1262" s="30">
        <v>25</v>
      </c>
      <c r="D1262" s="190">
        <v>1681412.94</v>
      </c>
      <c r="E1262" s="30" t="s">
        <v>10</v>
      </c>
      <c r="F1262" s="190">
        <v>15412.656000000001</v>
      </c>
      <c r="G1262" s="30" t="s">
        <v>335</v>
      </c>
      <c r="H1262" s="30"/>
      <c r="J1262" s="67">
        <v>1000</v>
      </c>
      <c r="K1262" s="119">
        <f>D1267</f>
        <v>16892.191999999999</v>
      </c>
      <c r="L1262" s="119">
        <f>D1268</f>
        <v>20223.866000000002</v>
      </c>
      <c r="M1262" s="18">
        <f t="shared" si="130"/>
        <v>-0.16473971890438766</v>
      </c>
      <c r="N1262" s="73">
        <f>D1269</f>
        <v>35889.478999999999</v>
      </c>
      <c r="O1262" s="22">
        <f t="shared" si="131"/>
        <v>-0.52932746669295483</v>
      </c>
    </row>
    <row r="1263" spans="1:15" ht="20" thickBot="1" x14ac:dyDescent="0.3">
      <c r="A1263" s="30" t="s">
        <v>291</v>
      </c>
      <c r="B1263" s="30" t="s">
        <v>333</v>
      </c>
      <c r="C1263" s="30">
        <v>25</v>
      </c>
      <c r="D1263" s="190">
        <v>2292703.1179999998</v>
      </c>
      <c r="E1263" s="30" t="s">
        <v>10</v>
      </c>
      <c r="F1263" s="190">
        <v>10978.136</v>
      </c>
      <c r="G1263" s="30" t="s">
        <v>335</v>
      </c>
      <c r="H1263" s="30"/>
      <c r="J1263" s="68">
        <v>100</v>
      </c>
      <c r="K1263" s="120">
        <f>D1270</f>
        <v>1545.192</v>
      </c>
      <c r="L1263" s="120">
        <f>D1271</f>
        <v>2075.2280000000001</v>
      </c>
      <c r="M1263" s="19">
        <f t="shared" si="130"/>
        <v>-0.25541097171009641</v>
      </c>
      <c r="N1263" s="74">
        <f>D1272</f>
        <v>2440.4470000000001</v>
      </c>
      <c r="O1263" s="23">
        <f t="shared" si="131"/>
        <v>-0.36684058289321586</v>
      </c>
    </row>
    <row r="1264" spans="1:15" x14ac:dyDescent="0.25">
      <c r="A1264" s="30" t="s">
        <v>292</v>
      </c>
      <c r="B1264" s="30" t="s">
        <v>333</v>
      </c>
      <c r="C1264" s="30">
        <v>25</v>
      </c>
      <c r="D1264" s="190">
        <v>229140.05900000001</v>
      </c>
      <c r="E1264" s="30" t="s">
        <v>10</v>
      </c>
      <c r="F1264" s="190">
        <v>2807.49</v>
      </c>
      <c r="G1264" s="30" t="s">
        <v>335</v>
      </c>
      <c r="H1264" s="30"/>
    </row>
    <row r="1265" spans="1:15" x14ac:dyDescent="0.25">
      <c r="A1265" s="30" t="s">
        <v>293</v>
      </c>
      <c r="B1265" s="30" t="s">
        <v>333</v>
      </c>
      <c r="C1265" s="30">
        <v>25</v>
      </c>
      <c r="D1265" s="190">
        <v>334326.80599999998</v>
      </c>
      <c r="E1265" s="30" t="s">
        <v>10</v>
      </c>
      <c r="F1265" s="190">
        <v>3245.549</v>
      </c>
      <c r="G1265" s="30" t="s">
        <v>335</v>
      </c>
      <c r="H1265" s="30"/>
    </row>
    <row r="1266" spans="1:15" x14ac:dyDescent="0.25">
      <c r="A1266" s="30" t="s">
        <v>294</v>
      </c>
      <c r="B1266" s="30" t="s">
        <v>333</v>
      </c>
      <c r="C1266" s="30">
        <v>25</v>
      </c>
      <c r="D1266" s="190">
        <v>434217.64199999999</v>
      </c>
      <c r="E1266" s="30" t="s">
        <v>10</v>
      </c>
      <c r="F1266" s="190">
        <v>7589.107</v>
      </c>
      <c r="G1266" s="30" t="s">
        <v>335</v>
      </c>
      <c r="H1266" s="30"/>
    </row>
    <row r="1267" spans="1:15" x14ac:dyDescent="0.25">
      <c r="A1267" s="30" t="s">
        <v>295</v>
      </c>
      <c r="B1267" s="30" t="s">
        <v>333</v>
      </c>
      <c r="C1267" s="30">
        <v>25</v>
      </c>
      <c r="D1267" s="190">
        <v>16892.191999999999</v>
      </c>
      <c r="E1267" s="30" t="s">
        <v>10</v>
      </c>
      <c r="F1267" s="190">
        <v>113.182</v>
      </c>
      <c r="G1267" s="30" t="s">
        <v>335</v>
      </c>
      <c r="H1267" s="30"/>
    </row>
    <row r="1268" spans="1:15" x14ac:dyDescent="0.25">
      <c r="A1268" s="30" t="s">
        <v>296</v>
      </c>
      <c r="B1268" s="30" t="s">
        <v>333</v>
      </c>
      <c r="C1268" s="30">
        <v>25</v>
      </c>
      <c r="D1268" s="190">
        <v>20223.866000000002</v>
      </c>
      <c r="E1268" s="30" t="s">
        <v>10</v>
      </c>
      <c r="F1268" s="190">
        <v>98.745999999999995</v>
      </c>
      <c r="G1268" s="30" t="s">
        <v>335</v>
      </c>
      <c r="H1268" s="30"/>
    </row>
    <row r="1269" spans="1:15" x14ac:dyDescent="0.25">
      <c r="A1269" s="30" t="s">
        <v>297</v>
      </c>
      <c r="B1269" s="30" t="s">
        <v>333</v>
      </c>
      <c r="C1269" s="30">
        <v>25</v>
      </c>
      <c r="D1269" s="190">
        <v>35889.478999999999</v>
      </c>
      <c r="E1269" s="30" t="s">
        <v>10</v>
      </c>
      <c r="F1269" s="190">
        <v>195.79900000000001</v>
      </c>
      <c r="G1269" s="30" t="s">
        <v>335</v>
      </c>
      <c r="H1269" s="30"/>
    </row>
    <row r="1270" spans="1:15" x14ac:dyDescent="0.25">
      <c r="A1270" s="30" t="s">
        <v>298</v>
      </c>
      <c r="B1270" s="30" t="s">
        <v>333</v>
      </c>
      <c r="C1270" s="30">
        <v>25</v>
      </c>
      <c r="D1270" s="190">
        <v>1545.192</v>
      </c>
      <c r="E1270" s="30" t="s">
        <v>10</v>
      </c>
      <c r="F1270" s="190">
        <v>4.3630000000000004</v>
      </c>
      <c r="G1270" s="30" t="s">
        <v>335</v>
      </c>
      <c r="H1270" s="30"/>
    </row>
    <row r="1271" spans="1:15" x14ac:dyDescent="0.25">
      <c r="A1271" s="30" t="s">
        <v>299</v>
      </c>
      <c r="B1271" s="30" t="s">
        <v>333</v>
      </c>
      <c r="C1271" s="30">
        <v>25</v>
      </c>
      <c r="D1271" s="190">
        <v>2075.2280000000001</v>
      </c>
      <c r="E1271" s="30" t="s">
        <v>10</v>
      </c>
      <c r="F1271" s="190">
        <v>62.088999999999999</v>
      </c>
      <c r="G1271" s="30" t="s">
        <v>335</v>
      </c>
      <c r="H1271" s="30"/>
    </row>
    <row r="1272" spans="1:15" x14ac:dyDescent="0.25">
      <c r="A1272" s="30" t="s">
        <v>300</v>
      </c>
      <c r="B1272" s="30" t="s">
        <v>333</v>
      </c>
      <c r="C1272" s="30">
        <v>25</v>
      </c>
      <c r="D1272" s="190">
        <v>2440.4470000000001</v>
      </c>
      <c r="E1272" s="30" t="s">
        <v>10</v>
      </c>
      <c r="F1272" s="190">
        <v>13.614000000000001</v>
      </c>
      <c r="G1272" s="30" t="s">
        <v>335</v>
      </c>
      <c r="H1272" s="30"/>
    </row>
    <row r="1273" spans="1:15" x14ac:dyDescent="0.25">
      <c r="A1273" s="30"/>
      <c r="B1273" s="30"/>
      <c r="C1273" s="30"/>
      <c r="D1273" s="190"/>
      <c r="E1273" s="30"/>
      <c r="F1273" s="190"/>
      <c r="G1273" s="30"/>
      <c r="H1273" s="30"/>
    </row>
    <row r="1274" spans="1:15" x14ac:dyDescent="0.25">
      <c r="A1274" s="30" t="s">
        <v>568</v>
      </c>
      <c r="B1274" s="30"/>
      <c r="C1274" s="30"/>
      <c r="D1274" s="190"/>
      <c r="E1274" s="30"/>
      <c r="F1274" s="190"/>
      <c r="G1274" s="30"/>
      <c r="H1274" s="30"/>
    </row>
    <row r="1275" spans="1:15" ht="20" thickBot="1" x14ac:dyDescent="0.3">
      <c r="A1275" s="30" t="s">
        <v>2</v>
      </c>
      <c r="B1275" s="30" t="s">
        <v>3</v>
      </c>
      <c r="C1275" s="30" t="s">
        <v>4</v>
      </c>
      <c r="D1275" s="190" t="s">
        <v>5</v>
      </c>
      <c r="E1275" s="30" t="s">
        <v>6</v>
      </c>
      <c r="F1275" s="190" t="s">
        <v>7</v>
      </c>
      <c r="G1275" s="30"/>
      <c r="H1275" s="30"/>
    </row>
    <row r="1276" spans="1:15" x14ac:dyDescent="0.25">
      <c r="A1276" s="30" t="s">
        <v>301</v>
      </c>
      <c r="B1276" s="30" t="s">
        <v>333</v>
      </c>
      <c r="C1276" s="30">
        <v>25</v>
      </c>
      <c r="D1276" s="190">
        <v>4161219.662</v>
      </c>
      <c r="E1276" s="30" t="s">
        <v>10</v>
      </c>
      <c r="F1276" s="190">
        <v>10138.861000000001</v>
      </c>
      <c r="G1276" s="30" t="s">
        <v>335</v>
      </c>
      <c r="H1276" s="30"/>
      <c r="J1276" s="5" t="s">
        <v>568</v>
      </c>
      <c r="K1276" s="72" t="s">
        <v>340</v>
      </c>
      <c r="L1276" s="72" t="s">
        <v>341</v>
      </c>
      <c r="M1276" s="17" t="s">
        <v>162</v>
      </c>
      <c r="N1276" s="72" t="s">
        <v>342</v>
      </c>
      <c r="O1276" s="21" t="s">
        <v>162</v>
      </c>
    </row>
    <row r="1277" spans="1:15" x14ac:dyDescent="0.25">
      <c r="A1277" s="30" t="s">
        <v>302</v>
      </c>
      <c r="B1277" s="30" t="s">
        <v>333</v>
      </c>
      <c r="C1277" s="30">
        <v>25</v>
      </c>
      <c r="D1277" s="190">
        <v>7769229.801</v>
      </c>
      <c r="E1277" s="30" t="s">
        <v>10</v>
      </c>
      <c r="F1277" s="190">
        <v>20401.829000000002</v>
      </c>
      <c r="G1277" s="30" t="s">
        <v>335</v>
      </c>
      <c r="H1277" s="30"/>
      <c r="J1277" s="6">
        <v>100000</v>
      </c>
      <c r="K1277" s="119">
        <f>D1276</f>
        <v>4161219.662</v>
      </c>
      <c r="L1277" s="119">
        <f>D1277</f>
        <v>7769229.801</v>
      </c>
      <c r="M1277" s="18">
        <f>(K1277/L1277-1)</f>
        <v>-0.46439740249871386</v>
      </c>
      <c r="N1277" s="73">
        <f>D1278</f>
        <v>6661832.7599999998</v>
      </c>
      <c r="O1277" s="22">
        <f>(K1277/N1277-1)</f>
        <v>-0.37536413597990115</v>
      </c>
    </row>
    <row r="1278" spans="1:15" x14ac:dyDescent="0.25">
      <c r="A1278" s="30" t="s">
        <v>303</v>
      </c>
      <c r="B1278" s="30" t="s">
        <v>333</v>
      </c>
      <c r="C1278" s="30">
        <v>25</v>
      </c>
      <c r="D1278" s="190">
        <v>6661832.7599999998</v>
      </c>
      <c r="E1278" s="30" t="s">
        <v>10</v>
      </c>
      <c r="F1278" s="190">
        <v>135405.12</v>
      </c>
      <c r="G1278" s="30" t="s">
        <v>335</v>
      </c>
      <c r="H1278" s="30"/>
      <c r="J1278" s="6">
        <v>50000</v>
      </c>
      <c r="K1278" s="119">
        <f>D1279</f>
        <v>1988463.719</v>
      </c>
      <c r="L1278" s="119">
        <f>D1280</f>
        <v>3786684.7650000001</v>
      </c>
      <c r="M1278" s="18">
        <f t="shared" ref="M1278:M1281" si="132">(K1278/L1278-1)</f>
        <v>-0.47488004880173862</v>
      </c>
      <c r="N1278" s="73">
        <f>D1281</f>
        <v>2279737.892</v>
      </c>
      <c r="O1278" s="22">
        <f t="shared" ref="O1278:O1281" si="133">(K1278/N1278-1)</f>
        <v>-0.12776651825726637</v>
      </c>
    </row>
    <row r="1279" spans="1:15" x14ac:dyDescent="0.25">
      <c r="A1279" s="30" t="s">
        <v>304</v>
      </c>
      <c r="B1279" s="30" t="s">
        <v>333</v>
      </c>
      <c r="C1279" s="30">
        <v>25</v>
      </c>
      <c r="D1279" s="190">
        <v>1988463.719</v>
      </c>
      <c r="E1279" s="30" t="s">
        <v>10</v>
      </c>
      <c r="F1279" s="190">
        <v>29528.143</v>
      </c>
      <c r="G1279" s="30" t="s">
        <v>335</v>
      </c>
      <c r="H1279" s="30"/>
      <c r="J1279" s="6">
        <v>10000</v>
      </c>
      <c r="K1279" s="119">
        <f>D1282</f>
        <v>397995.38</v>
      </c>
      <c r="L1279" s="119">
        <f>D1283</f>
        <v>689765.21400000004</v>
      </c>
      <c r="M1279" s="18">
        <f t="shared" si="132"/>
        <v>-0.42299876549007875</v>
      </c>
      <c r="N1279" s="73">
        <f>D1284</f>
        <v>383068.34499999997</v>
      </c>
      <c r="O1279" s="22">
        <f t="shared" si="133"/>
        <v>3.8967028194407449E-2</v>
      </c>
    </row>
    <row r="1280" spans="1:15" x14ac:dyDescent="0.25">
      <c r="A1280" s="30" t="s">
        <v>305</v>
      </c>
      <c r="B1280" s="30" t="s">
        <v>333</v>
      </c>
      <c r="C1280" s="30">
        <v>25</v>
      </c>
      <c r="D1280" s="190">
        <v>3786684.7650000001</v>
      </c>
      <c r="E1280" s="30" t="s">
        <v>10</v>
      </c>
      <c r="F1280" s="190">
        <v>21207.721000000001</v>
      </c>
      <c r="G1280" s="30" t="s">
        <v>335</v>
      </c>
      <c r="H1280" s="30"/>
      <c r="J1280" s="67">
        <v>1000</v>
      </c>
      <c r="K1280" s="119">
        <f>D1285</f>
        <v>29285.241999999998</v>
      </c>
      <c r="L1280" s="119">
        <f>D1286</f>
        <v>57350.175999999999</v>
      </c>
      <c r="M1280" s="18">
        <f t="shared" si="132"/>
        <v>-0.4893609044896392</v>
      </c>
      <c r="N1280" s="73">
        <f>D1287</f>
        <v>36755.618999999999</v>
      </c>
      <c r="O1280" s="22">
        <f t="shared" si="133"/>
        <v>-0.20324448895827329</v>
      </c>
    </row>
    <row r="1281" spans="1:15" ht="20" thickBot="1" x14ac:dyDescent="0.3">
      <c r="A1281" s="30" t="s">
        <v>306</v>
      </c>
      <c r="B1281" s="30" t="s">
        <v>333</v>
      </c>
      <c r="C1281" s="30">
        <v>25</v>
      </c>
      <c r="D1281" s="190">
        <v>2279737.892</v>
      </c>
      <c r="E1281" s="30" t="s">
        <v>10</v>
      </c>
      <c r="F1281" s="190">
        <v>5150.5219999999999</v>
      </c>
      <c r="G1281" s="30" t="s">
        <v>335</v>
      </c>
      <c r="H1281" s="30"/>
      <c r="J1281" s="68">
        <v>100</v>
      </c>
      <c r="K1281" s="120">
        <f>D1288</f>
        <v>2634.3620000000001</v>
      </c>
      <c r="L1281" s="120">
        <f>D1289</f>
        <v>3418.6329999999998</v>
      </c>
      <c r="M1281" s="19">
        <f t="shared" si="132"/>
        <v>-0.2294107030500202</v>
      </c>
      <c r="N1281" s="74">
        <f>D1290</f>
        <v>2363.616</v>
      </c>
      <c r="O1281" s="23">
        <f t="shared" si="133"/>
        <v>0.11454737148504668</v>
      </c>
    </row>
    <row r="1282" spans="1:15" x14ac:dyDescent="0.25">
      <c r="A1282" s="30" t="s">
        <v>307</v>
      </c>
      <c r="B1282" s="30" t="s">
        <v>333</v>
      </c>
      <c r="C1282" s="30">
        <v>25</v>
      </c>
      <c r="D1282" s="190">
        <v>397995.38</v>
      </c>
      <c r="E1282" s="30" t="s">
        <v>10</v>
      </c>
      <c r="F1282" s="190">
        <v>3897.8440000000001</v>
      </c>
      <c r="G1282" s="30" t="s">
        <v>335</v>
      </c>
      <c r="H1282" s="30"/>
    </row>
    <row r="1283" spans="1:15" x14ac:dyDescent="0.25">
      <c r="A1283" s="30" t="s">
        <v>308</v>
      </c>
      <c r="B1283" s="30" t="s">
        <v>333</v>
      </c>
      <c r="C1283" s="30">
        <v>25</v>
      </c>
      <c r="D1283" s="190">
        <v>689765.21400000004</v>
      </c>
      <c r="E1283" s="30" t="s">
        <v>10</v>
      </c>
      <c r="F1283" s="190">
        <v>1360.6489999999999</v>
      </c>
      <c r="G1283" s="30" t="s">
        <v>335</v>
      </c>
      <c r="H1283" s="30"/>
    </row>
    <row r="1284" spans="1:15" x14ac:dyDescent="0.25">
      <c r="A1284" s="30" t="s">
        <v>309</v>
      </c>
      <c r="B1284" s="30" t="s">
        <v>333</v>
      </c>
      <c r="C1284" s="30">
        <v>25</v>
      </c>
      <c r="D1284" s="190">
        <v>383068.34499999997</v>
      </c>
      <c r="E1284" s="30" t="s">
        <v>10</v>
      </c>
      <c r="F1284" s="190">
        <v>2985.0810000000001</v>
      </c>
      <c r="G1284" s="30" t="s">
        <v>335</v>
      </c>
      <c r="H1284" s="30"/>
    </row>
    <row r="1285" spans="1:15" x14ac:dyDescent="0.25">
      <c r="A1285" s="30" t="s">
        <v>310</v>
      </c>
      <c r="B1285" s="30" t="s">
        <v>333</v>
      </c>
      <c r="C1285" s="30">
        <v>25</v>
      </c>
      <c r="D1285" s="190">
        <v>29285.241999999998</v>
      </c>
      <c r="E1285" s="30" t="s">
        <v>10</v>
      </c>
      <c r="F1285" s="190">
        <v>83.921999999999997</v>
      </c>
      <c r="G1285" s="30" t="s">
        <v>335</v>
      </c>
      <c r="H1285" s="30"/>
    </row>
    <row r="1286" spans="1:15" x14ac:dyDescent="0.25">
      <c r="A1286" s="30" t="s">
        <v>311</v>
      </c>
      <c r="B1286" s="30" t="s">
        <v>333</v>
      </c>
      <c r="C1286" s="30">
        <v>25</v>
      </c>
      <c r="D1286" s="190">
        <v>57350.175999999999</v>
      </c>
      <c r="E1286" s="30" t="s">
        <v>10</v>
      </c>
      <c r="F1286" s="190">
        <v>457.92599999999999</v>
      </c>
      <c r="G1286" s="30" t="s">
        <v>335</v>
      </c>
      <c r="H1286" s="30"/>
    </row>
    <row r="1287" spans="1:15" x14ac:dyDescent="0.25">
      <c r="A1287" s="30" t="s">
        <v>312</v>
      </c>
      <c r="B1287" s="30" t="s">
        <v>333</v>
      </c>
      <c r="C1287" s="30">
        <v>25</v>
      </c>
      <c r="D1287" s="190">
        <v>36755.618999999999</v>
      </c>
      <c r="E1287" s="30" t="s">
        <v>10</v>
      </c>
      <c r="F1287" s="190">
        <v>442.36599999999999</v>
      </c>
      <c r="G1287" s="30" t="s">
        <v>335</v>
      </c>
      <c r="H1287" s="30"/>
    </row>
    <row r="1288" spans="1:15" x14ac:dyDescent="0.25">
      <c r="A1288" s="30" t="s">
        <v>313</v>
      </c>
      <c r="B1288" s="30" t="s">
        <v>333</v>
      </c>
      <c r="C1288" s="30">
        <v>25</v>
      </c>
      <c r="D1288" s="190">
        <v>2634.3620000000001</v>
      </c>
      <c r="E1288" s="30" t="s">
        <v>10</v>
      </c>
      <c r="F1288" s="190">
        <v>8.2080000000000002</v>
      </c>
      <c r="G1288" s="30" t="s">
        <v>335</v>
      </c>
      <c r="H1288" s="30"/>
    </row>
    <row r="1289" spans="1:15" x14ac:dyDescent="0.25">
      <c r="A1289" s="30" t="s">
        <v>314</v>
      </c>
      <c r="B1289" s="30" t="s">
        <v>333</v>
      </c>
      <c r="C1289" s="30">
        <v>25</v>
      </c>
      <c r="D1289" s="190">
        <v>3418.6329999999998</v>
      </c>
      <c r="E1289" s="30" t="s">
        <v>10</v>
      </c>
      <c r="F1289" s="190">
        <v>13.609</v>
      </c>
      <c r="G1289" s="30" t="s">
        <v>335</v>
      </c>
      <c r="H1289" s="30"/>
    </row>
    <row r="1290" spans="1:15" x14ac:dyDescent="0.25">
      <c r="A1290" s="30" t="s">
        <v>315</v>
      </c>
      <c r="B1290" s="30" t="s">
        <v>333</v>
      </c>
      <c r="C1290" s="30">
        <v>25</v>
      </c>
      <c r="D1290" s="190">
        <v>2363.616</v>
      </c>
      <c r="E1290" s="30" t="s">
        <v>10</v>
      </c>
      <c r="F1290" s="190">
        <v>18</v>
      </c>
      <c r="G1290" s="30" t="s">
        <v>335</v>
      </c>
      <c r="H1290" s="30"/>
    </row>
    <row r="1292" spans="1:15" x14ac:dyDescent="0.25">
      <c r="A1292" s="30" t="s">
        <v>576</v>
      </c>
      <c r="B1292" s="30"/>
      <c r="C1292" s="30"/>
      <c r="D1292" s="190"/>
      <c r="E1292" s="30"/>
      <c r="F1292" s="190"/>
      <c r="G1292" s="30"/>
      <c r="H1292" s="30"/>
    </row>
    <row r="1293" spans="1:15" ht="20" thickBot="1" x14ac:dyDescent="0.3">
      <c r="A1293" s="30" t="s">
        <v>2</v>
      </c>
      <c r="B1293" s="30" t="s">
        <v>3</v>
      </c>
      <c r="C1293" s="30" t="s">
        <v>4</v>
      </c>
      <c r="D1293" s="190" t="s">
        <v>5</v>
      </c>
      <c r="E1293" s="30" t="s">
        <v>6</v>
      </c>
      <c r="F1293" s="190" t="s">
        <v>7</v>
      </c>
      <c r="G1293" s="30"/>
      <c r="H1293" s="30"/>
    </row>
    <row r="1294" spans="1:15" x14ac:dyDescent="0.25">
      <c r="A1294" s="30" t="s">
        <v>246</v>
      </c>
      <c r="B1294" s="30" t="s">
        <v>333</v>
      </c>
      <c r="C1294" s="30">
        <v>25</v>
      </c>
      <c r="D1294" s="190">
        <v>2455878.1439999999</v>
      </c>
      <c r="E1294" s="30" t="s">
        <v>10</v>
      </c>
      <c r="F1294" s="190">
        <v>19573.253000000001</v>
      </c>
      <c r="G1294" s="30" t="s">
        <v>335</v>
      </c>
      <c r="H1294" s="30"/>
      <c r="J1294" s="5" t="s">
        <v>576</v>
      </c>
      <c r="K1294" s="72" t="s">
        <v>340</v>
      </c>
      <c r="L1294" s="72" t="s">
        <v>341</v>
      </c>
      <c r="M1294" s="21" t="s">
        <v>162</v>
      </c>
    </row>
    <row r="1295" spans="1:15" x14ac:dyDescent="0.25">
      <c r="A1295" s="30" t="s">
        <v>247</v>
      </c>
      <c r="B1295" s="30" t="s">
        <v>333</v>
      </c>
      <c r="C1295" s="30">
        <v>25</v>
      </c>
      <c r="D1295" s="190">
        <v>1746629.93</v>
      </c>
      <c r="E1295" s="30" t="s">
        <v>10</v>
      </c>
      <c r="F1295" s="190">
        <v>63468.669000000002</v>
      </c>
      <c r="G1295" s="30" t="s">
        <v>335</v>
      </c>
      <c r="H1295" s="30"/>
      <c r="J1295" s="6">
        <v>100000</v>
      </c>
      <c r="K1295" s="119">
        <f>D1294</f>
        <v>2455878.1439999999</v>
      </c>
      <c r="L1295" s="119">
        <f>D1295</f>
        <v>1746629.93</v>
      </c>
      <c r="M1295" s="22">
        <f>(K1295/L1295-1)</f>
        <v>0.40606667836042409</v>
      </c>
    </row>
    <row r="1296" spans="1:15" x14ac:dyDescent="0.25">
      <c r="A1296" s="30" t="s">
        <v>254</v>
      </c>
      <c r="B1296" s="30" t="s">
        <v>333</v>
      </c>
      <c r="C1296" s="30">
        <v>25</v>
      </c>
      <c r="D1296" s="190">
        <v>916299.11800000002</v>
      </c>
      <c r="E1296" s="30" t="s">
        <v>10</v>
      </c>
      <c r="F1296" s="190">
        <v>8193.5859999999993</v>
      </c>
      <c r="G1296" s="30" t="s">
        <v>335</v>
      </c>
      <c r="H1296" s="30"/>
      <c r="J1296" s="6">
        <v>50000</v>
      </c>
      <c r="K1296" s="119">
        <f>D1296</f>
        <v>916299.11800000002</v>
      </c>
      <c r="L1296" s="119">
        <f>D1297</f>
        <v>811511.04700000002</v>
      </c>
      <c r="M1296" s="22">
        <f t="shared" ref="M1296:M1299" si="134">(K1296/L1296-1)</f>
        <v>0.12912710355254098</v>
      </c>
    </row>
    <row r="1297" spans="1:15" x14ac:dyDescent="0.25">
      <c r="A1297" s="30" t="s">
        <v>255</v>
      </c>
      <c r="B1297" s="30" t="s">
        <v>333</v>
      </c>
      <c r="C1297" s="30">
        <v>25</v>
      </c>
      <c r="D1297" s="190">
        <v>811511.04700000002</v>
      </c>
      <c r="E1297" s="30" t="s">
        <v>10</v>
      </c>
      <c r="F1297" s="190">
        <v>35834.379999999997</v>
      </c>
      <c r="G1297" s="30" t="s">
        <v>335</v>
      </c>
      <c r="H1297" s="30"/>
      <c r="J1297" s="6">
        <v>10000</v>
      </c>
      <c r="K1297" s="119">
        <f>D1298</f>
        <v>161455.57199999999</v>
      </c>
      <c r="L1297" s="119">
        <f>D1299</f>
        <v>134776.89000000001</v>
      </c>
      <c r="M1297" s="22">
        <f t="shared" si="134"/>
        <v>0.19794700708704571</v>
      </c>
    </row>
    <row r="1298" spans="1:15" x14ac:dyDescent="0.25">
      <c r="A1298" s="30" t="s">
        <v>248</v>
      </c>
      <c r="B1298" s="30" t="s">
        <v>333</v>
      </c>
      <c r="C1298" s="30">
        <v>25</v>
      </c>
      <c r="D1298" s="190">
        <v>161455.57199999999</v>
      </c>
      <c r="E1298" s="30" t="s">
        <v>10</v>
      </c>
      <c r="F1298" s="190">
        <v>617.42100000000005</v>
      </c>
      <c r="G1298" s="30" t="s">
        <v>335</v>
      </c>
      <c r="H1298" s="30"/>
      <c r="J1298" s="67">
        <v>1000</v>
      </c>
      <c r="K1298" s="119">
        <f>D1300</f>
        <v>13139.287</v>
      </c>
      <c r="L1298" s="119">
        <f>D1301</f>
        <v>13061.200999999999</v>
      </c>
      <c r="M1298" s="22">
        <f t="shared" si="134"/>
        <v>5.978470126905E-3</v>
      </c>
    </row>
    <row r="1299" spans="1:15" ht="20" thickBot="1" x14ac:dyDescent="0.3">
      <c r="A1299" s="30" t="s">
        <v>249</v>
      </c>
      <c r="B1299" s="30" t="s">
        <v>333</v>
      </c>
      <c r="C1299" s="30">
        <v>25</v>
      </c>
      <c r="D1299" s="190">
        <v>134776.89000000001</v>
      </c>
      <c r="E1299" s="30" t="s">
        <v>10</v>
      </c>
      <c r="F1299" s="190">
        <v>1984.5070000000001</v>
      </c>
      <c r="G1299" s="30" t="s">
        <v>335</v>
      </c>
      <c r="H1299" s="30"/>
      <c r="J1299" s="68">
        <v>100</v>
      </c>
      <c r="K1299" s="120">
        <f>D1302</f>
        <v>1160.5840000000001</v>
      </c>
      <c r="L1299" s="120">
        <f>D1303</f>
        <v>832.94</v>
      </c>
      <c r="M1299" s="23">
        <f t="shared" si="134"/>
        <v>0.39335846519557238</v>
      </c>
    </row>
    <row r="1300" spans="1:15" x14ac:dyDescent="0.25">
      <c r="A1300" s="30" t="s">
        <v>250</v>
      </c>
      <c r="B1300" s="30" t="s">
        <v>333</v>
      </c>
      <c r="C1300" s="30">
        <v>25</v>
      </c>
      <c r="D1300" s="190">
        <v>13139.287</v>
      </c>
      <c r="E1300" s="30" t="s">
        <v>10</v>
      </c>
      <c r="F1300" s="190">
        <v>42.61</v>
      </c>
      <c r="G1300" s="30" t="s">
        <v>335</v>
      </c>
      <c r="H1300" s="30"/>
    </row>
    <row r="1301" spans="1:15" x14ac:dyDescent="0.25">
      <c r="A1301" s="30" t="s">
        <v>251</v>
      </c>
      <c r="B1301" s="30" t="s">
        <v>333</v>
      </c>
      <c r="C1301" s="30">
        <v>25</v>
      </c>
      <c r="D1301" s="190">
        <v>13061.200999999999</v>
      </c>
      <c r="E1301" s="30" t="s">
        <v>10</v>
      </c>
      <c r="F1301" s="190">
        <v>45.594999999999999</v>
      </c>
      <c r="G1301" s="30" t="s">
        <v>335</v>
      </c>
      <c r="H1301" s="30"/>
    </row>
    <row r="1302" spans="1:15" x14ac:dyDescent="0.25">
      <c r="A1302" s="30" t="s">
        <v>252</v>
      </c>
      <c r="B1302" s="30" t="s">
        <v>333</v>
      </c>
      <c r="C1302" s="30">
        <v>25</v>
      </c>
      <c r="D1302" s="190">
        <v>1160.5840000000001</v>
      </c>
      <c r="E1302" s="30" t="s">
        <v>10</v>
      </c>
      <c r="F1302" s="190">
        <v>8.4440000000000008</v>
      </c>
      <c r="G1302" s="30" t="s">
        <v>335</v>
      </c>
      <c r="H1302" s="30"/>
    </row>
    <row r="1303" spans="1:15" x14ac:dyDescent="0.25">
      <c r="A1303" s="30" t="s">
        <v>253</v>
      </c>
      <c r="B1303" s="30" t="s">
        <v>333</v>
      </c>
      <c r="C1303" s="30">
        <v>25</v>
      </c>
      <c r="D1303" s="190">
        <v>832.94</v>
      </c>
      <c r="E1303" s="30" t="s">
        <v>10</v>
      </c>
      <c r="F1303" s="190">
        <v>6.6929999999999996</v>
      </c>
      <c r="G1303" s="30" t="s">
        <v>335</v>
      </c>
      <c r="H1303" s="30"/>
    </row>
    <row r="1304" spans="1:15" x14ac:dyDescent="0.25">
      <c r="A1304" s="30"/>
      <c r="B1304" s="30"/>
      <c r="C1304" s="30"/>
      <c r="D1304" s="190"/>
      <c r="E1304" s="30"/>
      <c r="F1304" s="190"/>
      <c r="G1304" s="30"/>
      <c r="H1304" s="30"/>
    </row>
    <row r="1305" spans="1:15" x14ac:dyDescent="0.25">
      <c r="A1305" s="30" t="s">
        <v>577</v>
      </c>
      <c r="B1305" s="30"/>
      <c r="C1305" s="30"/>
      <c r="D1305" s="190"/>
      <c r="E1305" s="30"/>
      <c r="F1305" s="190"/>
      <c r="G1305" s="30"/>
      <c r="H1305" s="30"/>
    </row>
    <row r="1306" spans="1:15" ht="20" thickBot="1" x14ac:dyDescent="0.3">
      <c r="A1306" s="30" t="s">
        <v>2</v>
      </c>
      <c r="B1306" s="30" t="s">
        <v>3</v>
      </c>
      <c r="C1306" s="30" t="s">
        <v>4</v>
      </c>
      <c r="D1306" s="190" t="s">
        <v>5</v>
      </c>
      <c r="E1306" s="30" t="s">
        <v>6</v>
      </c>
      <c r="F1306" s="190" t="s">
        <v>7</v>
      </c>
      <c r="G1306" s="30"/>
      <c r="H1306" s="30"/>
    </row>
    <row r="1307" spans="1:15" x14ac:dyDescent="0.25">
      <c r="A1307" s="30" t="s">
        <v>271</v>
      </c>
      <c r="B1307" s="30" t="s">
        <v>333</v>
      </c>
      <c r="C1307" s="30">
        <v>25</v>
      </c>
      <c r="D1307" s="190">
        <v>576843.46900000004</v>
      </c>
      <c r="E1307" s="30" t="s">
        <v>10</v>
      </c>
      <c r="F1307" s="190">
        <v>13355.121999999999</v>
      </c>
      <c r="G1307" s="30" t="s">
        <v>335</v>
      </c>
      <c r="H1307" s="30"/>
      <c r="J1307" s="5" t="s">
        <v>577</v>
      </c>
      <c r="K1307" s="72" t="s">
        <v>340</v>
      </c>
      <c r="L1307" s="72" t="s">
        <v>341</v>
      </c>
      <c r="M1307" s="17" t="s">
        <v>162</v>
      </c>
      <c r="N1307" s="72" t="s">
        <v>342</v>
      </c>
      <c r="O1307" s="21" t="s">
        <v>162</v>
      </c>
    </row>
    <row r="1308" spans="1:15" x14ac:dyDescent="0.25">
      <c r="A1308" s="30" t="s">
        <v>272</v>
      </c>
      <c r="B1308" s="30" t="s">
        <v>333</v>
      </c>
      <c r="C1308" s="30">
        <v>25</v>
      </c>
      <c r="D1308" s="190">
        <v>504186.837</v>
      </c>
      <c r="E1308" s="30" t="s">
        <v>10</v>
      </c>
      <c r="F1308" s="190">
        <v>1519.2090000000001</v>
      </c>
      <c r="G1308" s="30" t="s">
        <v>335</v>
      </c>
      <c r="H1308" s="30"/>
      <c r="J1308" s="6">
        <v>100000</v>
      </c>
      <c r="K1308" s="119">
        <f>D1307</f>
        <v>576843.46900000004</v>
      </c>
      <c r="L1308" s="119">
        <f>D1308</f>
        <v>504186.837</v>
      </c>
      <c r="M1308" s="18">
        <f>(K1308/L1308-1)</f>
        <v>0.14410656262333177</v>
      </c>
      <c r="N1308" s="73">
        <f>D1309</f>
        <v>1643591.912</v>
      </c>
      <c r="O1308" s="31">
        <f>(K1308/N1308-1)</f>
        <v>-0.64903485786926896</v>
      </c>
    </row>
    <row r="1309" spans="1:15" x14ac:dyDescent="0.25">
      <c r="A1309" s="30" t="s">
        <v>273</v>
      </c>
      <c r="B1309" s="30" t="s">
        <v>333</v>
      </c>
      <c r="C1309" s="30">
        <v>25</v>
      </c>
      <c r="D1309" s="190">
        <v>1643591.912</v>
      </c>
      <c r="E1309" s="30" t="s">
        <v>10</v>
      </c>
      <c r="F1309" s="190">
        <v>18255.688999999998</v>
      </c>
      <c r="G1309" s="30" t="s">
        <v>335</v>
      </c>
      <c r="H1309" s="30"/>
      <c r="J1309" s="6">
        <v>50000</v>
      </c>
      <c r="K1309" s="119">
        <f>D1310</f>
        <v>283769.99</v>
      </c>
      <c r="L1309" s="119">
        <f>D1311</f>
        <v>253492.981</v>
      </c>
      <c r="M1309" s="18">
        <f t="shared" ref="M1309:M1312" si="135">(K1309/L1309-1)</f>
        <v>0.11943924001588035</v>
      </c>
      <c r="N1309" s="73">
        <f>D1312</f>
        <v>840179.652</v>
      </c>
      <c r="O1309" s="31">
        <f t="shared" ref="O1309:O1312" si="136">(K1309/N1309-1)</f>
        <v>-0.66225081823333665</v>
      </c>
    </row>
    <row r="1310" spans="1:15" x14ac:dyDescent="0.25">
      <c r="A1310" s="30" t="s">
        <v>274</v>
      </c>
      <c r="B1310" s="30" t="s">
        <v>333</v>
      </c>
      <c r="C1310" s="30">
        <v>25</v>
      </c>
      <c r="D1310" s="190">
        <v>283769.99</v>
      </c>
      <c r="E1310" s="30" t="s">
        <v>10</v>
      </c>
      <c r="F1310" s="190">
        <v>6458.0780000000004</v>
      </c>
      <c r="G1310" s="30" t="s">
        <v>335</v>
      </c>
      <c r="H1310" s="30"/>
      <c r="J1310" s="6">
        <v>10000</v>
      </c>
      <c r="K1310" s="119">
        <f>D1313</f>
        <v>57094.508999999998</v>
      </c>
      <c r="L1310" s="119">
        <f>D1314</f>
        <v>52271.923000000003</v>
      </c>
      <c r="M1310" s="18">
        <f t="shared" si="135"/>
        <v>9.2259586470541555E-2</v>
      </c>
      <c r="N1310" s="73">
        <f>D1315</f>
        <v>190788.51199999999</v>
      </c>
      <c r="O1310" s="31">
        <f t="shared" si="136"/>
        <v>-0.70074451338034438</v>
      </c>
    </row>
    <row r="1311" spans="1:15" x14ac:dyDescent="0.25">
      <c r="A1311" s="30" t="s">
        <v>275</v>
      </c>
      <c r="B1311" s="30" t="s">
        <v>333</v>
      </c>
      <c r="C1311" s="30">
        <v>25</v>
      </c>
      <c r="D1311" s="190">
        <v>253492.981</v>
      </c>
      <c r="E1311" s="30" t="s">
        <v>10</v>
      </c>
      <c r="F1311" s="190">
        <v>1609.43</v>
      </c>
      <c r="G1311" s="30" t="s">
        <v>335</v>
      </c>
      <c r="H1311" s="30"/>
      <c r="J1311" s="67">
        <v>1000</v>
      </c>
      <c r="K1311" s="119">
        <f>D1316</f>
        <v>8026.1629999999996</v>
      </c>
      <c r="L1311" s="119">
        <f>D1317</f>
        <v>8157.7209999999995</v>
      </c>
      <c r="M1311" s="18">
        <f t="shared" si="135"/>
        <v>-1.6126807965116674E-2</v>
      </c>
      <c r="N1311" s="73">
        <f>D1318</f>
        <v>20838.598999999998</v>
      </c>
      <c r="O1311" s="31">
        <f t="shared" si="136"/>
        <v>-0.61484152557472793</v>
      </c>
    </row>
    <row r="1312" spans="1:15" ht="20" thickBot="1" x14ac:dyDescent="0.3">
      <c r="A1312" s="30" t="s">
        <v>276</v>
      </c>
      <c r="B1312" s="30" t="s">
        <v>333</v>
      </c>
      <c r="C1312" s="30">
        <v>25</v>
      </c>
      <c r="D1312" s="190">
        <v>840179.652</v>
      </c>
      <c r="E1312" s="30" t="s">
        <v>10</v>
      </c>
      <c r="F1312" s="190">
        <v>5720.7650000000003</v>
      </c>
      <c r="G1312" s="30" t="s">
        <v>335</v>
      </c>
      <c r="H1312" s="30"/>
      <c r="J1312" s="68">
        <v>100</v>
      </c>
      <c r="K1312" s="120">
        <f>D1319</f>
        <v>959.78499999999997</v>
      </c>
      <c r="L1312" s="120">
        <f>D1320</f>
        <v>1553.1320000000001</v>
      </c>
      <c r="M1312" s="19">
        <f t="shared" si="135"/>
        <v>-0.38203256387737816</v>
      </c>
      <c r="N1312" s="74">
        <f>D1321</f>
        <v>2938.5</v>
      </c>
      <c r="O1312" s="45">
        <f t="shared" si="136"/>
        <v>-0.67337587204355964</v>
      </c>
    </row>
    <row r="1313" spans="1:15" x14ac:dyDescent="0.25">
      <c r="A1313" s="30" t="s">
        <v>277</v>
      </c>
      <c r="B1313" s="30" t="s">
        <v>333</v>
      </c>
      <c r="C1313" s="30">
        <v>25</v>
      </c>
      <c r="D1313" s="190">
        <v>57094.508999999998</v>
      </c>
      <c r="E1313" s="30" t="s">
        <v>10</v>
      </c>
      <c r="F1313" s="190">
        <v>445.78300000000002</v>
      </c>
      <c r="G1313" s="30" t="s">
        <v>335</v>
      </c>
      <c r="H1313" s="30"/>
    </row>
    <row r="1314" spans="1:15" x14ac:dyDescent="0.25">
      <c r="A1314" s="30" t="s">
        <v>278</v>
      </c>
      <c r="B1314" s="30" t="s">
        <v>333</v>
      </c>
      <c r="C1314" s="30">
        <v>25</v>
      </c>
      <c r="D1314" s="190">
        <v>52271.923000000003</v>
      </c>
      <c r="E1314" s="30" t="s">
        <v>10</v>
      </c>
      <c r="F1314" s="190">
        <v>314.98700000000002</v>
      </c>
      <c r="G1314" s="30" t="s">
        <v>335</v>
      </c>
      <c r="H1314" s="30"/>
    </row>
    <row r="1315" spans="1:15" x14ac:dyDescent="0.25">
      <c r="A1315" s="30" t="s">
        <v>279</v>
      </c>
      <c r="B1315" s="30" t="s">
        <v>333</v>
      </c>
      <c r="C1315" s="30">
        <v>25</v>
      </c>
      <c r="D1315" s="190">
        <v>190788.51199999999</v>
      </c>
      <c r="E1315" s="30" t="s">
        <v>10</v>
      </c>
      <c r="F1315" s="190">
        <v>1276.9949999999999</v>
      </c>
      <c r="G1315" s="30" t="s">
        <v>335</v>
      </c>
      <c r="H1315" s="30"/>
    </row>
    <row r="1316" spans="1:15" x14ac:dyDescent="0.25">
      <c r="A1316" s="30" t="s">
        <v>280</v>
      </c>
      <c r="B1316" s="30" t="s">
        <v>333</v>
      </c>
      <c r="C1316" s="30">
        <v>25</v>
      </c>
      <c r="D1316" s="190">
        <v>8026.1629999999996</v>
      </c>
      <c r="E1316" s="30" t="s">
        <v>10</v>
      </c>
      <c r="F1316" s="190">
        <v>50.143000000000001</v>
      </c>
      <c r="G1316" s="30" t="s">
        <v>335</v>
      </c>
      <c r="H1316" s="30"/>
    </row>
    <row r="1317" spans="1:15" x14ac:dyDescent="0.25">
      <c r="A1317" s="30" t="s">
        <v>281</v>
      </c>
      <c r="B1317" s="30" t="s">
        <v>333</v>
      </c>
      <c r="C1317" s="30">
        <v>25</v>
      </c>
      <c r="D1317" s="190">
        <v>8157.7209999999995</v>
      </c>
      <c r="E1317" s="30" t="s">
        <v>10</v>
      </c>
      <c r="F1317" s="190">
        <v>54.606000000000002</v>
      </c>
      <c r="G1317" s="30" t="s">
        <v>335</v>
      </c>
      <c r="H1317" s="30"/>
    </row>
    <row r="1318" spans="1:15" x14ac:dyDescent="0.25">
      <c r="A1318" s="30" t="s">
        <v>282</v>
      </c>
      <c r="B1318" s="30" t="s">
        <v>333</v>
      </c>
      <c r="C1318" s="30">
        <v>25</v>
      </c>
      <c r="D1318" s="190">
        <v>20838.598999999998</v>
      </c>
      <c r="E1318" s="30" t="s">
        <v>10</v>
      </c>
      <c r="F1318" s="190">
        <v>111.015</v>
      </c>
      <c r="G1318" s="30" t="s">
        <v>335</v>
      </c>
      <c r="H1318" s="30"/>
    </row>
    <row r="1319" spans="1:15" x14ac:dyDescent="0.25">
      <c r="A1319" s="30" t="s">
        <v>283</v>
      </c>
      <c r="B1319" s="30" t="s">
        <v>333</v>
      </c>
      <c r="C1319" s="30">
        <v>25</v>
      </c>
      <c r="D1319" s="190">
        <v>959.78499999999997</v>
      </c>
      <c r="E1319" s="30" t="s">
        <v>10</v>
      </c>
      <c r="F1319" s="190">
        <v>5.6310000000000002</v>
      </c>
      <c r="G1319" s="30" t="s">
        <v>335</v>
      </c>
      <c r="H1319" s="30"/>
    </row>
    <row r="1320" spans="1:15" x14ac:dyDescent="0.25">
      <c r="A1320" s="30" t="s">
        <v>284</v>
      </c>
      <c r="B1320" s="30" t="s">
        <v>333</v>
      </c>
      <c r="C1320" s="30">
        <v>25</v>
      </c>
      <c r="D1320" s="190">
        <v>1553.1320000000001</v>
      </c>
      <c r="E1320" s="30" t="s">
        <v>10</v>
      </c>
      <c r="F1320" s="190">
        <v>10.308</v>
      </c>
      <c r="G1320" s="30" t="s">
        <v>335</v>
      </c>
      <c r="H1320" s="30"/>
    </row>
    <row r="1321" spans="1:15" x14ac:dyDescent="0.25">
      <c r="A1321" s="30" t="s">
        <v>285</v>
      </c>
      <c r="B1321" s="30" t="s">
        <v>333</v>
      </c>
      <c r="C1321" s="30">
        <v>25</v>
      </c>
      <c r="D1321" s="190">
        <v>2938.5</v>
      </c>
      <c r="E1321" s="30" t="s">
        <v>10</v>
      </c>
      <c r="F1321" s="190">
        <v>24.48</v>
      </c>
      <c r="G1321" s="30" t="s">
        <v>335</v>
      </c>
      <c r="H1321" s="30"/>
    </row>
    <row r="1322" spans="1:15" x14ac:dyDescent="0.25">
      <c r="A1322" s="30"/>
      <c r="B1322" s="30"/>
      <c r="C1322" s="30"/>
      <c r="D1322" s="190"/>
      <c r="E1322" s="30"/>
      <c r="F1322" s="190"/>
      <c r="G1322" s="30"/>
      <c r="H1322" s="30"/>
    </row>
    <row r="1323" spans="1:15" x14ac:dyDescent="0.25">
      <c r="A1323" s="30" t="s">
        <v>578</v>
      </c>
      <c r="B1323" s="30"/>
      <c r="C1323" s="30"/>
      <c r="D1323" s="190"/>
      <c r="E1323" s="30"/>
      <c r="F1323" s="190"/>
      <c r="G1323" s="30"/>
      <c r="H1323" s="30"/>
    </row>
    <row r="1324" spans="1:15" ht="20" thickBot="1" x14ac:dyDescent="0.3">
      <c r="A1324" s="30" t="s">
        <v>2</v>
      </c>
      <c r="B1324" s="30" t="s">
        <v>3</v>
      </c>
      <c r="C1324" s="30" t="s">
        <v>4</v>
      </c>
      <c r="D1324" s="190" t="s">
        <v>5</v>
      </c>
      <c r="E1324" s="30" t="s">
        <v>6</v>
      </c>
      <c r="F1324" s="190" t="s">
        <v>7</v>
      </c>
      <c r="G1324" s="30"/>
      <c r="H1324" s="30"/>
    </row>
    <row r="1325" spans="1:15" x14ac:dyDescent="0.25">
      <c r="A1325" s="30" t="s">
        <v>171</v>
      </c>
      <c r="B1325" s="30" t="s">
        <v>333</v>
      </c>
      <c r="C1325" s="30">
        <v>25</v>
      </c>
      <c r="D1325" s="190">
        <v>2966082.048</v>
      </c>
      <c r="E1325" s="30" t="s">
        <v>10</v>
      </c>
      <c r="F1325" s="190">
        <v>25407.611000000001</v>
      </c>
      <c r="G1325" s="30" t="s">
        <v>335</v>
      </c>
      <c r="H1325" s="30"/>
      <c r="J1325" s="5" t="s">
        <v>578</v>
      </c>
      <c r="K1325" s="72" t="s">
        <v>340</v>
      </c>
      <c r="L1325" s="72" t="s">
        <v>341</v>
      </c>
      <c r="M1325" s="17" t="s">
        <v>162</v>
      </c>
      <c r="N1325" s="72" t="s">
        <v>342</v>
      </c>
      <c r="O1325" s="21" t="s">
        <v>162</v>
      </c>
    </row>
    <row r="1326" spans="1:15" x14ac:dyDescent="0.25">
      <c r="A1326" s="30" t="s">
        <v>172</v>
      </c>
      <c r="B1326" s="30" t="s">
        <v>333</v>
      </c>
      <c r="C1326" s="30">
        <v>25</v>
      </c>
      <c r="D1326" s="190">
        <v>2635831.8650000002</v>
      </c>
      <c r="E1326" s="30" t="s">
        <v>10</v>
      </c>
      <c r="F1326" s="190">
        <v>42268.826999999997</v>
      </c>
      <c r="G1326" s="30" t="s">
        <v>335</v>
      </c>
      <c r="H1326" s="30"/>
      <c r="J1326" s="6">
        <v>100000</v>
      </c>
      <c r="K1326" s="119">
        <f>D1325</f>
        <v>2966082.048</v>
      </c>
      <c r="L1326" s="119">
        <f>D1326</f>
        <v>2635831.8650000002</v>
      </c>
      <c r="M1326" s="18">
        <f>(K1326/L1326-1)</f>
        <v>0.12529258310639624</v>
      </c>
      <c r="N1326" s="73">
        <f>D1327</f>
        <v>2490297.83</v>
      </c>
      <c r="O1326" s="22">
        <f>(K1326/N1326-1)</f>
        <v>0.19105514700625181</v>
      </c>
    </row>
    <row r="1327" spans="1:15" x14ac:dyDescent="0.25">
      <c r="A1327" s="30" t="s">
        <v>173</v>
      </c>
      <c r="B1327" s="30" t="s">
        <v>333</v>
      </c>
      <c r="C1327" s="30">
        <v>25</v>
      </c>
      <c r="D1327" s="190">
        <v>2490297.83</v>
      </c>
      <c r="E1327" s="30" t="s">
        <v>10</v>
      </c>
      <c r="F1327" s="190">
        <v>38392.762999999999</v>
      </c>
      <c r="G1327" s="30" t="s">
        <v>335</v>
      </c>
      <c r="H1327" s="30"/>
      <c r="J1327" s="6">
        <v>50000</v>
      </c>
      <c r="K1327" s="119">
        <f>D1328</f>
        <v>977295.22199999995</v>
      </c>
      <c r="L1327" s="119">
        <f>D1329</f>
        <v>837556.38399999996</v>
      </c>
      <c r="M1327" s="18">
        <f t="shared" ref="M1327:M1330" si="137">(K1327/L1327-1)</f>
        <v>0.16684111143972835</v>
      </c>
      <c r="N1327" s="73">
        <f>D1330</f>
        <v>1166290.098</v>
      </c>
      <c r="O1327" s="22">
        <f t="shared" ref="O1327:O1330" si="138">(K1327/N1327-1)</f>
        <v>-0.16204791271408026</v>
      </c>
    </row>
    <row r="1328" spans="1:15" x14ac:dyDescent="0.25">
      <c r="A1328" s="30" t="s">
        <v>174</v>
      </c>
      <c r="B1328" s="30" t="s">
        <v>333</v>
      </c>
      <c r="C1328" s="30">
        <v>25</v>
      </c>
      <c r="D1328" s="190">
        <v>977295.22199999995</v>
      </c>
      <c r="E1328" s="30" t="s">
        <v>10</v>
      </c>
      <c r="F1328" s="190">
        <v>7062.7709999999997</v>
      </c>
      <c r="G1328" s="30" t="s">
        <v>335</v>
      </c>
      <c r="H1328" s="30"/>
      <c r="J1328" s="6">
        <v>10000</v>
      </c>
      <c r="K1328" s="119">
        <f>D1331</f>
        <v>160063.31400000001</v>
      </c>
      <c r="L1328" s="119">
        <f>D1332</f>
        <v>125660.39</v>
      </c>
      <c r="M1328" s="18">
        <f t="shared" si="137"/>
        <v>0.27377699528069277</v>
      </c>
      <c r="N1328" s="73">
        <f>D1333</f>
        <v>211583.552</v>
      </c>
      <c r="O1328" s="22">
        <f t="shared" si="138"/>
        <v>-0.2434983131391989</v>
      </c>
    </row>
    <row r="1329" spans="1:15" x14ac:dyDescent="0.25">
      <c r="A1329" s="30" t="s">
        <v>175</v>
      </c>
      <c r="B1329" s="30" t="s">
        <v>333</v>
      </c>
      <c r="C1329" s="30">
        <v>25</v>
      </c>
      <c r="D1329" s="190">
        <v>837556.38399999996</v>
      </c>
      <c r="E1329" s="30" t="s">
        <v>10</v>
      </c>
      <c r="F1329" s="190">
        <v>2135.2469999999998</v>
      </c>
      <c r="G1329" s="30" t="s">
        <v>335</v>
      </c>
      <c r="H1329" s="30"/>
      <c r="J1329" s="67">
        <v>1000</v>
      </c>
      <c r="K1329" s="119">
        <f>D1334</f>
        <v>12429.9</v>
      </c>
      <c r="L1329" s="119">
        <f>D1335</f>
        <v>11020.687</v>
      </c>
      <c r="M1329" s="18">
        <f t="shared" si="137"/>
        <v>0.12786979613884331</v>
      </c>
      <c r="N1329" s="73">
        <f>D1336</f>
        <v>21824.592000000001</v>
      </c>
      <c r="O1329" s="22">
        <f t="shared" si="138"/>
        <v>-0.43046357980025474</v>
      </c>
    </row>
    <row r="1330" spans="1:15" ht="20" thickBot="1" x14ac:dyDescent="0.3">
      <c r="A1330" s="30" t="s">
        <v>176</v>
      </c>
      <c r="B1330" s="30" t="s">
        <v>333</v>
      </c>
      <c r="C1330" s="30">
        <v>25</v>
      </c>
      <c r="D1330" s="190">
        <v>1166290.098</v>
      </c>
      <c r="E1330" s="30" t="s">
        <v>10</v>
      </c>
      <c r="F1330" s="190">
        <v>11451.192999999999</v>
      </c>
      <c r="G1330" s="30" t="s">
        <v>335</v>
      </c>
      <c r="H1330" s="30"/>
      <c r="J1330" s="68">
        <v>100</v>
      </c>
      <c r="K1330" s="120">
        <f>D1337</f>
        <v>1099.067</v>
      </c>
      <c r="L1330" s="120">
        <f>D1338</f>
        <v>1274.479</v>
      </c>
      <c r="M1330" s="19">
        <f t="shared" si="137"/>
        <v>-0.13763428036083769</v>
      </c>
      <c r="N1330" s="74">
        <f>D1339</f>
        <v>1858.94</v>
      </c>
      <c r="O1330" s="23">
        <f t="shared" si="138"/>
        <v>-0.40876682410405929</v>
      </c>
    </row>
    <row r="1331" spans="1:15" x14ac:dyDescent="0.25">
      <c r="A1331" s="30" t="s">
        <v>177</v>
      </c>
      <c r="B1331" s="30" t="s">
        <v>333</v>
      </c>
      <c r="C1331" s="30">
        <v>25</v>
      </c>
      <c r="D1331" s="190">
        <v>160063.31400000001</v>
      </c>
      <c r="E1331" s="30" t="s">
        <v>10</v>
      </c>
      <c r="F1331" s="190">
        <v>1384.278</v>
      </c>
      <c r="G1331" s="30" t="s">
        <v>335</v>
      </c>
      <c r="H1331" s="30"/>
    </row>
    <row r="1332" spans="1:15" x14ac:dyDescent="0.25">
      <c r="A1332" s="30" t="s">
        <v>178</v>
      </c>
      <c r="B1332" s="30" t="s">
        <v>333</v>
      </c>
      <c r="C1332" s="30">
        <v>25</v>
      </c>
      <c r="D1332" s="190">
        <v>125660.39</v>
      </c>
      <c r="E1332" s="30" t="s">
        <v>10</v>
      </c>
      <c r="F1332" s="190">
        <v>1290.269</v>
      </c>
      <c r="G1332" s="30" t="s">
        <v>335</v>
      </c>
      <c r="H1332" s="30"/>
    </row>
    <row r="1333" spans="1:15" x14ac:dyDescent="0.25">
      <c r="A1333" s="30" t="s">
        <v>179</v>
      </c>
      <c r="B1333" s="30" t="s">
        <v>333</v>
      </c>
      <c r="C1333" s="30">
        <v>25</v>
      </c>
      <c r="D1333" s="190">
        <v>211583.552</v>
      </c>
      <c r="E1333" s="30" t="s">
        <v>10</v>
      </c>
      <c r="F1333" s="190">
        <v>302.94799999999998</v>
      </c>
      <c r="G1333" s="30" t="s">
        <v>335</v>
      </c>
      <c r="H1333" s="30"/>
    </row>
    <row r="1334" spans="1:15" x14ac:dyDescent="0.25">
      <c r="A1334" s="30" t="s">
        <v>180</v>
      </c>
      <c r="B1334" s="30" t="s">
        <v>333</v>
      </c>
      <c r="C1334" s="30">
        <v>25</v>
      </c>
      <c r="D1334" s="190">
        <v>12429.9</v>
      </c>
      <c r="E1334" s="30" t="s">
        <v>10</v>
      </c>
      <c r="F1334" s="190">
        <v>83.974000000000004</v>
      </c>
      <c r="G1334" s="30" t="s">
        <v>335</v>
      </c>
      <c r="H1334" s="30"/>
    </row>
    <row r="1335" spans="1:15" x14ac:dyDescent="0.25">
      <c r="A1335" s="30" t="s">
        <v>181</v>
      </c>
      <c r="B1335" s="30" t="s">
        <v>333</v>
      </c>
      <c r="C1335" s="30">
        <v>25</v>
      </c>
      <c r="D1335" s="190">
        <v>11020.687</v>
      </c>
      <c r="E1335" s="30" t="s">
        <v>10</v>
      </c>
      <c r="F1335" s="190">
        <v>99.822000000000003</v>
      </c>
      <c r="G1335" s="30" t="s">
        <v>335</v>
      </c>
      <c r="H1335" s="30"/>
    </row>
    <row r="1336" spans="1:15" x14ac:dyDescent="0.25">
      <c r="A1336" s="30" t="s">
        <v>182</v>
      </c>
      <c r="B1336" s="30" t="s">
        <v>333</v>
      </c>
      <c r="C1336" s="30">
        <v>25</v>
      </c>
      <c r="D1336" s="190">
        <v>21824.592000000001</v>
      </c>
      <c r="E1336" s="30" t="s">
        <v>10</v>
      </c>
      <c r="F1336" s="190">
        <v>29.109000000000002</v>
      </c>
      <c r="G1336" s="30" t="s">
        <v>335</v>
      </c>
      <c r="H1336" s="30"/>
    </row>
    <row r="1337" spans="1:15" x14ac:dyDescent="0.25">
      <c r="A1337" s="30" t="s">
        <v>183</v>
      </c>
      <c r="B1337" s="30" t="s">
        <v>333</v>
      </c>
      <c r="C1337" s="30">
        <v>25</v>
      </c>
      <c r="D1337" s="190">
        <v>1099.067</v>
      </c>
      <c r="E1337" s="30" t="s">
        <v>10</v>
      </c>
      <c r="F1337" s="190">
        <v>7.702</v>
      </c>
      <c r="G1337" s="30" t="s">
        <v>335</v>
      </c>
      <c r="H1337" s="30"/>
    </row>
    <row r="1338" spans="1:15" x14ac:dyDescent="0.25">
      <c r="A1338" s="30" t="s">
        <v>184</v>
      </c>
      <c r="B1338" s="30" t="s">
        <v>333</v>
      </c>
      <c r="C1338" s="30">
        <v>25</v>
      </c>
      <c r="D1338" s="190">
        <v>1274.479</v>
      </c>
      <c r="E1338" s="30" t="s">
        <v>10</v>
      </c>
      <c r="F1338" s="190">
        <v>11.864000000000001</v>
      </c>
      <c r="G1338" s="30" t="s">
        <v>335</v>
      </c>
      <c r="H1338" s="30"/>
    </row>
    <row r="1339" spans="1:15" x14ac:dyDescent="0.25">
      <c r="A1339" s="30" t="s">
        <v>185</v>
      </c>
      <c r="B1339" s="30" t="s">
        <v>333</v>
      </c>
      <c r="C1339" s="30">
        <v>25</v>
      </c>
      <c r="D1339" s="190">
        <v>1858.94</v>
      </c>
      <c r="E1339" s="30" t="s">
        <v>10</v>
      </c>
      <c r="F1339" s="190">
        <v>14.41</v>
      </c>
      <c r="G1339" s="30" t="s">
        <v>335</v>
      </c>
      <c r="H1339" s="30"/>
    </row>
    <row r="1340" spans="1:15" x14ac:dyDescent="0.25">
      <c r="A1340" s="30"/>
      <c r="B1340" s="30"/>
      <c r="C1340" s="30"/>
      <c r="D1340" s="190"/>
      <c r="E1340" s="30"/>
      <c r="F1340" s="190"/>
      <c r="G1340" s="30"/>
      <c r="H1340" s="30"/>
    </row>
    <row r="1341" spans="1:15" x14ac:dyDescent="0.25">
      <c r="A1341" s="30" t="s">
        <v>579</v>
      </c>
      <c r="B1341" s="30"/>
      <c r="C1341" s="30"/>
      <c r="D1341" s="190"/>
      <c r="E1341" s="30"/>
      <c r="F1341" s="190"/>
      <c r="G1341" s="30"/>
      <c r="H1341" s="30"/>
    </row>
    <row r="1342" spans="1:15" ht="20" thickBot="1" x14ac:dyDescent="0.3">
      <c r="A1342" s="30" t="s">
        <v>2</v>
      </c>
      <c r="B1342" s="30" t="s">
        <v>3</v>
      </c>
      <c r="C1342" s="30" t="s">
        <v>4</v>
      </c>
      <c r="D1342" s="190" t="s">
        <v>5</v>
      </c>
      <c r="E1342" s="30" t="s">
        <v>6</v>
      </c>
      <c r="F1342" s="190" t="s">
        <v>7</v>
      </c>
      <c r="G1342" s="30"/>
      <c r="H1342" s="30"/>
    </row>
    <row r="1343" spans="1:15" x14ac:dyDescent="0.25">
      <c r="A1343" s="30" t="s">
        <v>186</v>
      </c>
      <c r="B1343" s="30" t="s">
        <v>333</v>
      </c>
      <c r="C1343" s="30">
        <v>25</v>
      </c>
      <c r="D1343" s="190">
        <v>4553636.0360000003</v>
      </c>
      <c r="E1343" s="30" t="s">
        <v>10</v>
      </c>
      <c r="F1343" s="190">
        <v>38226.434000000001</v>
      </c>
      <c r="G1343" s="30" t="s">
        <v>335</v>
      </c>
      <c r="H1343" s="30"/>
      <c r="J1343" s="5" t="s">
        <v>579</v>
      </c>
      <c r="K1343" s="72" t="s">
        <v>340</v>
      </c>
      <c r="L1343" s="72" t="s">
        <v>341</v>
      </c>
      <c r="M1343" s="17" t="s">
        <v>162</v>
      </c>
      <c r="N1343" s="72" t="s">
        <v>342</v>
      </c>
      <c r="O1343" s="21" t="s">
        <v>162</v>
      </c>
    </row>
    <row r="1344" spans="1:15" x14ac:dyDescent="0.25">
      <c r="A1344" s="30" t="s">
        <v>187</v>
      </c>
      <c r="B1344" s="30" t="s">
        <v>333</v>
      </c>
      <c r="C1344" s="30">
        <v>25</v>
      </c>
      <c r="D1344" s="190">
        <v>4488209.2759999996</v>
      </c>
      <c r="E1344" s="30" t="s">
        <v>10</v>
      </c>
      <c r="F1344" s="190">
        <v>12459.681</v>
      </c>
      <c r="G1344" s="30" t="s">
        <v>335</v>
      </c>
      <c r="H1344" s="30"/>
      <c r="J1344" s="6">
        <v>100000</v>
      </c>
      <c r="K1344" s="119">
        <f>D1343</f>
        <v>4553636.0360000003</v>
      </c>
      <c r="L1344" s="119">
        <f>D1344</f>
        <v>4488209.2759999996</v>
      </c>
      <c r="M1344" s="18">
        <f>(K1344/L1344-1)</f>
        <v>1.4577475330720402E-2</v>
      </c>
      <c r="N1344" s="73">
        <f>D1345</f>
        <v>4914195.9950000001</v>
      </c>
      <c r="O1344" s="22">
        <f>(K1344/N1344-1)</f>
        <v>-7.3371098622614039E-2</v>
      </c>
    </row>
    <row r="1345" spans="1:15" x14ac:dyDescent="0.25">
      <c r="A1345" s="30" t="s">
        <v>188</v>
      </c>
      <c r="B1345" s="30" t="s">
        <v>333</v>
      </c>
      <c r="C1345" s="30">
        <v>25</v>
      </c>
      <c r="D1345" s="190">
        <v>4914195.9950000001</v>
      </c>
      <c r="E1345" s="30" t="s">
        <v>10</v>
      </c>
      <c r="F1345" s="190">
        <v>81720.464999999997</v>
      </c>
      <c r="G1345" s="30" t="s">
        <v>335</v>
      </c>
      <c r="H1345" s="30"/>
      <c r="J1345" s="6">
        <v>50000</v>
      </c>
      <c r="K1345" s="119">
        <f>D1346</f>
        <v>2090740.9539999999</v>
      </c>
      <c r="L1345" s="119">
        <f>D1347</f>
        <v>2081260.2479999999</v>
      </c>
      <c r="M1345" s="18">
        <f t="shared" ref="M1345:M1348" si="139">(K1345/L1345-1)</f>
        <v>4.5552717441803559E-3</v>
      </c>
      <c r="N1345" s="73">
        <f>D1348</f>
        <v>2198922.2230000002</v>
      </c>
      <c r="O1345" s="22">
        <f t="shared" ref="O1345:O1348" si="140">(K1345/N1345-1)</f>
        <v>-4.9197405832939411E-2</v>
      </c>
    </row>
    <row r="1346" spans="1:15" x14ac:dyDescent="0.25">
      <c r="A1346" s="30" t="s">
        <v>189</v>
      </c>
      <c r="B1346" s="30" t="s">
        <v>333</v>
      </c>
      <c r="C1346" s="30">
        <v>25</v>
      </c>
      <c r="D1346" s="190">
        <v>2090740.9539999999</v>
      </c>
      <c r="E1346" s="30" t="s">
        <v>10</v>
      </c>
      <c r="F1346" s="190">
        <v>21327.9</v>
      </c>
      <c r="G1346" s="30" t="s">
        <v>335</v>
      </c>
      <c r="H1346" s="30"/>
      <c r="J1346" s="6">
        <v>10000</v>
      </c>
      <c r="K1346" s="119">
        <f>D1349</f>
        <v>360704.46299999999</v>
      </c>
      <c r="L1346" s="119">
        <f>D1350</f>
        <v>344165.78700000001</v>
      </c>
      <c r="M1346" s="18">
        <f t="shared" si="139"/>
        <v>4.8054387230535456E-2</v>
      </c>
      <c r="N1346" s="73">
        <f>D1351</f>
        <v>360934.91499999998</v>
      </c>
      <c r="O1346" s="22">
        <f t="shared" si="140"/>
        <v>-6.3848630437979281E-4</v>
      </c>
    </row>
    <row r="1347" spans="1:15" x14ac:dyDescent="0.25">
      <c r="A1347" s="30" t="s">
        <v>190</v>
      </c>
      <c r="B1347" s="30" t="s">
        <v>333</v>
      </c>
      <c r="C1347" s="30">
        <v>25</v>
      </c>
      <c r="D1347" s="190">
        <v>2081260.2479999999</v>
      </c>
      <c r="E1347" s="30" t="s">
        <v>10</v>
      </c>
      <c r="F1347" s="190">
        <v>22815.894</v>
      </c>
      <c r="G1347" s="30" t="s">
        <v>335</v>
      </c>
      <c r="H1347" s="30"/>
      <c r="J1347" s="67">
        <v>1000</v>
      </c>
      <c r="K1347" s="119">
        <f>D1352</f>
        <v>31343.279999999999</v>
      </c>
      <c r="L1347" s="119">
        <f>D1353</f>
        <v>27548.216</v>
      </c>
      <c r="M1347" s="18">
        <f t="shared" si="139"/>
        <v>0.13776079002720176</v>
      </c>
      <c r="N1347" s="73">
        <f>D1354</f>
        <v>30208.25</v>
      </c>
      <c r="O1347" s="22">
        <f t="shared" si="140"/>
        <v>3.7573510547615374E-2</v>
      </c>
    </row>
    <row r="1348" spans="1:15" ht="20" thickBot="1" x14ac:dyDescent="0.3">
      <c r="A1348" s="30" t="s">
        <v>191</v>
      </c>
      <c r="B1348" s="30" t="s">
        <v>333</v>
      </c>
      <c r="C1348" s="30">
        <v>25</v>
      </c>
      <c r="D1348" s="190">
        <v>2198922.2230000002</v>
      </c>
      <c r="E1348" s="30" t="s">
        <v>10</v>
      </c>
      <c r="F1348" s="190">
        <v>31972.379000000001</v>
      </c>
      <c r="G1348" s="30" t="s">
        <v>335</v>
      </c>
      <c r="H1348" s="30"/>
      <c r="J1348" s="68">
        <v>100</v>
      </c>
      <c r="K1348" s="120">
        <f>D1355</f>
        <v>2637.817</v>
      </c>
      <c r="L1348" s="120">
        <f>D1356</f>
        <v>2392.1909999999998</v>
      </c>
      <c r="M1348" s="19">
        <f t="shared" si="139"/>
        <v>0.10267825604226433</v>
      </c>
      <c r="N1348" s="74">
        <f>D1357</f>
        <v>3167.511</v>
      </c>
      <c r="O1348" s="23">
        <f t="shared" si="140"/>
        <v>-0.1672272014209264</v>
      </c>
    </row>
    <row r="1349" spans="1:15" x14ac:dyDescent="0.25">
      <c r="A1349" s="30" t="s">
        <v>192</v>
      </c>
      <c r="B1349" s="30" t="s">
        <v>333</v>
      </c>
      <c r="C1349" s="30">
        <v>25</v>
      </c>
      <c r="D1349" s="190">
        <v>360704.46299999999</v>
      </c>
      <c r="E1349" s="30" t="s">
        <v>10</v>
      </c>
      <c r="F1349" s="190">
        <v>1858.03</v>
      </c>
      <c r="G1349" s="30" t="s">
        <v>335</v>
      </c>
      <c r="H1349" s="30"/>
    </row>
    <row r="1350" spans="1:15" x14ac:dyDescent="0.25">
      <c r="A1350" s="30" t="s">
        <v>193</v>
      </c>
      <c r="B1350" s="30" t="s">
        <v>333</v>
      </c>
      <c r="C1350" s="30">
        <v>25</v>
      </c>
      <c r="D1350" s="190">
        <v>344165.78700000001</v>
      </c>
      <c r="E1350" s="30" t="s">
        <v>10</v>
      </c>
      <c r="F1350" s="190">
        <v>3257.32</v>
      </c>
      <c r="G1350" s="30" t="s">
        <v>335</v>
      </c>
      <c r="H1350" s="30"/>
    </row>
    <row r="1351" spans="1:15" x14ac:dyDescent="0.25">
      <c r="A1351" s="30" t="s">
        <v>194</v>
      </c>
      <c r="B1351" s="30" t="s">
        <v>333</v>
      </c>
      <c r="C1351" s="30">
        <v>25</v>
      </c>
      <c r="D1351" s="190">
        <v>360934.91499999998</v>
      </c>
      <c r="E1351" s="30" t="s">
        <v>10</v>
      </c>
      <c r="F1351" s="190">
        <v>1985.9570000000001</v>
      </c>
      <c r="G1351" s="30" t="s">
        <v>335</v>
      </c>
      <c r="H1351" s="30"/>
    </row>
    <row r="1352" spans="1:15" x14ac:dyDescent="0.25">
      <c r="A1352" s="30" t="s">
        <v>195</v>
      </c>
      <c r="B1352" s="30" t="s">
        <v>333</v>
      </c>
      <c r="C1352" s="30">
        <v>25</v>
      </c>
      <c r="D1352" s="190">
        <v>31343.279999999999</v>
      </c>
      <c r="E1352" s="30" t="s">
        <v>10</v>
      </c>
      <c r="F1352" s="190">
        <v>167.70500000000001</v>
      </c>
      <c r="G1352" s="30" t="s">
        <v>335</v>
      </c>
      <c r="H1352" s="30"/>
    </row>
    <row r="1353" spans="1:15" x14ac:dyDescent="0.25">
      <c r="A1353" s="30" t="s">
        <v>196</v>
      </c>
      <c r="B1353" s="30" t="s">
        <v>333</v>
      </c>
      <c r="C1353" s="30">
        <v>25</v>
      </c>
      <c r="D1353" s="190">
        <v>27548.216</v>
      </c>
      <c r="E1353" s="30" t="s">
        <v>10</v>
      </c>
      <c r="F1353" s="190">
        <v>204.703</v>
      </c>
      <c r="G1353" s="30" t="s">
        <v>335</v>
      </c>
      <c r="H1353" s="30"/>
    </row>
    <row r="1354" spans="1:15" x14ac:dyDescent="0.25">
      <c r="A1354" s="30" t="s">
        <v>197</v>
      </c>
      <c r="B1354" s="30" t="s">
        <v>333</v>
      </c>
      <c r="C1354" s="30">
        <v>25</v>
      </c>
      <c r="D1354" s="190">
        <v>30208.25</v>
      </c>
      <c r="E1354" s="30" t="s">
        <v>10</v>
      </c>
      <c r="F1354" s="190">
        <v>299.59800000000001</v>
      </c>
      <c r="G1354" s="30" t="s">
        <v>335</v>
      </c>
      <c r="H1354" s="30"/>
    </row>
    <row r="1355" spans="1:15" x14ac:dyDescent="0.25">
      <c r="A1355" s="30" t="s">
        <v>198</v>
      </c>
      <c r="B1355" s="30" t="s">
        <v>333</v>
      </c>
      <c r="C1355" s="30">
        <v>25</v>
      </c>
      <c r="D1355" s="190">
        <v>2637.817</v>
      </c>
      <c r="E1355" s="30" t="s">
        <v>10</v>
      </c>
      <c r="F1355" s="190">
        <v>18.327999999999999</v>
      </c>
      <c r="G1355" s="30" t="s">
        <v>335</v>
      </c>
      <c r="H1355" s="30"/>
    </row>
    <row r="1356" spans="1:15" x14ac:dyDescent="0.25">
      <c r="A1356" s="30" t="s">
        <v>199</v>
      </c>
      <c r="B1356" s="30" t="s">
        <v>333</v>
      </c>
      <c r="C1356" s="30">
        <v>25</v>
      </c>
      <c r="D1356" s="190">
        <v>2392.1909999999998</v>
      </c>
      <c r="E1356" s="30" t="s">
        <v>10</v>
      </c>
      <c r="F1356" s="190">
        <v>10.311</v>
      </c>
      <c r="G1356" s="30" t="s">
        <v>335</v>
      </c>
      <c r="H1356" s="30"/>
    </row>
    <row r="1357" spans="1:15" x14ac:dyDescent="0.25">
      <c r="A1357" s="30" t="s">
        <v>200</v>
      </c>
      <c r="B1357" s="30" t="s">
        <v>333</v>
      </c>
      <c r="C1357" s="30">
        <v>25</v>
      </c>
      <c r="D1357" s="190">
        <v>3167.511</v>
      </c>
      <c r="E1357" s="30" t="s">
        <v>10</v>
      </c>
      <c r="F1357" s="190">
        <v>19.812999999999999</v>
      </c>
      <c r="G1357" s="30" t="s">
        <v>335</v>
      </c>
      <c r="H1357" s="30"/>
    </row>
    <row r="1358" spans="1:15" x14ac:dyDescent="0.25">
      <c r="A1358" s="30"/>
      <c r="B1358" s="30"/>
      <c r="C1358" s="30"/>
      <c r="D1358" s="190"/>
      <c r="E1358" s="30"/>
      <c r="F1358" s="190"/>
      <c r="G1358" s="30"/>
      <c r="H1358" s="30"/>
    </row>
    <row r="1359" spans="1:15" x14ac:dyDescent="0.25">
      <c r="A1359" s="30" t="s">
        <v>580</v>
      </c>
      <c r="B1359" s="30"/>
      <c r="C1359" s="30"/>
      <c r="D1359" s="190"/>
      <c r="E1359" s="30"/>
      <c r="F1359" s="190"/>
      <c r="G1359" s="30"/>
      <c r="H1359" s="30"/>
    </row>
    <row r="1360" spans="1:15" ht="20" thickBot="1" x14ac:dyDescent="0.3">
      <c r="A1360" s="30" t="s">
        <v>2</v>
      </c>
      <c r="B1360" s="30" t="s">
        <v>3</v>
      </c>
      <c r="C1360" s="30" t="s">
        <v>4</v>
      </c>
      <c r="D1360" s="190" t="s">
        <v>5</v>
      </c>
      <c r="E1360" s="30" t="s">
        <v>6</v>
      </c>
      <c r="F1360" s="190" t="s">
        <v>7</v>
      </c>
      <c r="G1360" s="30"/>
      <c r="H1360" s="30"/>
    </row>
    <row r="1361" spans="1:15" x14ac:dyDescent="0.25">
      <c r="A1361" s="30" t="s">
        <v>216</v>
      </c>
      <c r="B1361" s="30" t="s">
        <v>333</v>
      </c>
      <c r="C1361" s="30">
        <v>25</v>
      </c>
      <c r="D1361" s="190">
        <v>1948800.72</v>
      </c>
      <c r="E1361" s="30" t="s">
        <v>10</v>
      </c>
      <c r="F1361" s="190">
        <v>15374.938</v>
      </c>
      <c r="G1361" s="30" t="s">
        <v>335</v>
      </c>
      <c r="H1361" s="30"/>
      <c r="J1361" s="5" t="s">
        <v>580</v>
      </c>
      <c r="K1361" s="72" t="s">
        <v>340</v>
      </c>
      <c r="L1361" s="72" t="s">
        <v>341</v>
      </c>
      <c r="M1361" s="17" t="s">
        <v>162</v>
      </c>
      <c r="N1361" s="72" t="s">
        <v>342</v>
      </c>
      <c r="O1361" s="21" t="s">
        <v>162</v>
      </c>
    </row>
    <row r="1362" spans="1:15" x14ac:dyDescent="0.25">
      <c r="A1362" s="30" t="s">
        <v>217</v>
      </c>
      <c r="B1362" s="30" t="s">
        <v>333</v>
      </c>
      <c r="C1362" s="30">
        <v>25</v>
      </c>
      <c r="D1362" s="190">
        <v>2373744.5830000001</v>
      </c>
      <c r="E1362" s="30" t="s">
        <v>10</v>
      </c>
      <c r="F1362" s="190">
        <v>11885.492</v>
      </c>
      <c r="G1362" s="30" t="s">
        <v>335</v>
      </c>
      <c r="H1362" s="30"/>
      <c r="J1362" s="6">
        <v>100000</v>
      </c>
      <c r="K1362" s="119">
        <f>D1361</f>
        <v>1948800.72</v>
      </c>
      <c r="L1362" s="119">
        <f>D1362</f>
        <v>2373744.5830000001</v>
      </c>
      <c r="M1362" s="18">
        <f>(K1362/L1362-1)</f>
        <v>-0.1790183602917147</v>
      </c>
      <c r="N1362" s="73">
        <f>D1363</f>
        <v>2267298.0079999999</v>
      </c>
      <c r="O1362" s="22">
        <f>(K1362/N1362-1)</f>
        <v>-0.14047438266879997</v>
      </c>
    </row>
    <row r="1363" spans="1:15" x14ac:dyDescent="0.25">
      <c r="A1363" s="30" t="s">
        <v>218</v>
      </c>
      <c r="B1363" s="30" t="s">
        <v>333</v>
      </c>
      <c r="C1363" s="30">
        <v>25</v>
      </c>
      <c r="D1363" s="190">
        <v>2267298.0079999999</v>
      </c>
      <c r="E1363" s="30" t="s">
        <v>10</v>
      </c>
      <c r="F1363" s="190">
        <v>13244.445</v>
      </c>
      <c r="G1363" s="30" t="s">
        <v>335</v>
      </c>
      <c r="H1363" s="30"/>
      <c r="J1363" s="6">
        <v>50000</v>
      </c>
      <c r="K1363" s="119">
        <f>D1364</f>
        <v>933984.11699999997</v>
      </c>
      <c r="L1363" s="119">
        <f>D1365</f>
        <v>1185466.57</v>
      </c>
      <c r="M1363" s="18">
        <f t="shared" ref="M1363:M1366" si="141">(K1363/L1363-1)</f>
        <v>-0.2121379542571159</v>
      </c>
      <c r="N1363" s="73">
        <f>D1366</f>
        <v>1074807.162</v>
      </c>
      <c r="O1363" s="22">
        <f t="shared" ref="O1363:O1366" si="142">(K1363/N1363-1)</f>
        <v>-0.13102168461359776</v>
      </c>
    </row>
    <row r="1364" spans="1:15" x14ac:dyDescent="0.25">
      <c r="A1364" s="30" t="s">
        <v>219</v>
      </c>
      <c r="B1364" s="30" t="s">
        <v>333</v>
      </c>
      <c r="C1364" s="30">
        <v>25</v>
      </c>
      <c r="D1364" s="190">
        <v>933984.11699999997</v>
      </c>
      <c r="E1364" s="30" t="s">
        <v>10</v>
      </c>
      <c r="F1364" s="190">
        <v>6630.6120000000001</v>
      </c>
      <c r="G1364" s="30" t="s">
        <v>335</v>
      </c>
      <c r="H1364" s="30"/>
      <c r="J1364" s="6">
        <v>10000</v>
      </c>
      <c r="K1364" s="119">
        <f>D1367</f>
        <v>178494.522</v>
      </c>
      <c r="L1364" s="119">
        <f>D1368</f>
        <v>201656.821</v>
      </c>
      <c r="M1364" s="18">
        <f t="shared" si="141"/>
        <v>-0.11485998284183996</v>
      </c>
      <c r="N1364" s="73">
        <f>D1369</f>
        <v>186614.04199999999</v>
      </c>
      <c r="O1364" s="22">
        <f t="shared" si="142"/>
        <v>-4.3509694731332149E-2</v>
      </c>
    </row>
    <row r="1365" spans="1:15" x14ac:dyDescent="0.25">
      <c r="A1365" s="30" t="s">
        <v>220</v>
      </c>
      <c r="B1365" s="30" t="s">
        <v>333</v>
      </c>
      <c r="C1365" s="30">
        <v>25</v>
      </c>
      <c r="D1365" s="190">
        <v>1185466.57</v>
      </c>
      <c r="E1365" s="30" t="s">
        <v>10</v>
      </c>
      <c r="F1365" s="190">
        <v>7447.2110000000002</v>
      </c>
      <c r="G1365" s="30" t="s">
        <v>335</v>
      </c>
      <c r="H1365" s="30"/>
      <c r="J1365" s="67">
        <v>1000</v>
      </c>
      <c r="K1365" s="119">
        <f>D1370</f>
        <v>14242.505999999999</v>
      </c>
      <c r="L1365" s="119">
        <f>D1371</f>
        <v>8126.7860000000001</v>
      </c>
      <c r="M1365" s="18">
        <f t="shared" si="141"/>
        <v>0.75253858044250199</v>
      </c>
      <c r="N1365" s="73">
        <f>D1372</f>
        <v>9521.3220000000001</v>
      </c>
      <c r="O1365" s="22">
        <f t="shared" si="142"/>
        <v>0.49585383206239619</v>
      </c>
    </row>
    <row r="1366" spans="1:15" ht="20" thickBot="1" x14ac:dyDescent="0.3">
      <c r="A1366" s="30" t="s">
        <v>221</v>
      </c>
      <c r="B1366" s="30" t="s">
        <v>333</v>
      </c>
      <c r="C1366" s="30">
        <v>25</v>
      </c>
      <c r="D1366" s="190">
        <v>1074807.162</v>
      </c>
      <c r="E1366" s="30" t="s">
        <v>10</v>
      </c>
      <c r="F1366" s="190">
        <v>1916.8420000000001</v>
      </c>
      <c r="G1366" s="30" t="s">
        <v>335</v>
      </c>
      <c r="H1366" s="30"/>
      <c r="J1366" s="68">
        <v>100</v>
      </c>
      <c r="K1366" s="120">
        <f>D1373</f>
        <v>1185.1949999999999</v>
      </c>
      <c r="L1366" s="120">
        <f>D1374</f>
        <v>501.08199999999999</v>
      </c>
      <c r="M1366" s="19">
        <f t="shared" si="141"/>
        <v>1.3652715523606913</v>
      </c>
      <c r="N1366" s="74">
        <f>D1375</f>
        <v>677.64200000000005</v>
      </c>
      <c r="O1366" s="23">
        <f t="shared" si="142"/>
        <v>0.74899873384471416</v>
      </c>
    </row>
    <row r="1367" spans="1:15" x14ac:dyDescent="0.25">
      <c r="A1367" s="30" t="s">
        <v>222</v>
      </c>
      <c r="B1367" s="30" t="s">
        <v>333</v>
      </c>
      <c r="C1367" s="30">
        <v>25</v>
      </c>
      <c r="D1367" s="190">
        <v>178494.522</v>
      </c>
      <c r="E1367" s="30" t="s">
        <v>10</v>
      </c>
      <c r="F1367" s="190">
        <v>1825.778</v>
      </c>
      <c r="G1367" s="30" t="s">
        <v>335</v>
      </c>
      <c r="H1367" s="30"/>
    </row>
    <row r="1368" spans="1:15" x14ac:dyDescent="0.25">
      <c r="A1368" s="30" t="s">
        <v>223</v>
      </c>
      <c r="B1368" s="30" t="s">
        <v>333</v>
      </c>
      <c r="C1368" s="30">
        <v>25</v>
      </c>
      <c r="D1368" s="190">
        <v>201656.821</v>
      </c>
      <c r="E1368" s="30" t="s">
        <v>10</v>
      </c>
      <c r="F1368" s="190">
        <v>1692.9290000000001</v>
      </c>
      <c r="G1368" s="30" t="s">
        <v>335</v>
      </c>
      <c r="H1368" s="30"/>
    </row>
    <row r="1369" spans="1:15" x14ac:dyDescent="0.25">
      <c r="A1369" s="30" t="s">
        <v>224</v>
      </c>
      <c r="B1369" s="30" t="s">
        <v>333</v>
      </c>
      <c r="C1369" s="30">
        <v>25</v>
      </c>
      <c r="D1369" s="190">
        <v>186614.04199999999</v>
      </c>
      <c r="E1369" s="30" t="s">
        <v>10</v>
      </c>
      <c r="F1369" s="190">
        <v>1958.788</v>
      </c>
      <c r="G1369" s="30" t="s">
        <v>335</v>
      </c>
      <c r="H1369" s="30"/>
    </row>
    <row r="1370" spans="1:15" x14ac:dyDescent="0.25">
      <c r="A1370" s="30" t="s">
        <v>225</v>
      </c>
      <c r="B1370" s="30" t="s">
        <v>333</v>
      </c>
      <c r="C1370" s="30">
        <v>25</v>
      </c>
      <c r="D1370" s="190">
        <v>14242.505999999999</v>
      </c>
      <c r="E1370" s="30" t="s">
        <v>10</v>
      </c>
      <c r="F1370" s="190">
        <v>149.35</v>
      </c>
      <c r="G1370" s="30" t="s">
        <v>335</v>
      </c>
      <c r="H1370" s="30"/>
    </row>
    <row r="1371" spans="1:15" x14ac:dyDescent="0.25">
      <c r="A1371" s="30" t="s">
        <v>226</v>
      </c>
      <c r="B1371" s="30" t="s">
        <v>333</v>
      </c>
      <c r="C1371" s="30">
        <v>25</v>
      </c>
      <c r="D1371" s="190">
        <v>8126.7860000000001</v>
      </c>
      <c r="E1371" s="30" t="s">
        <v>10</v>
      </c>
      <c r="F1371" s="190">
        <v>12.555</v>
      </c>
      <c r="G1371" s="30" t="s">
        <v>335</v>
      </c>
      <c r="H1371" s="30"/>
    </row>
    <row r="1372" spans="1:15" x14ac:dyDescent="0.25">
      <c r="A1372" s="30" t="s">
        <v>227</v>
      </c>
      <c r="B1372" s="30" t="s">
        <v>333</v>
      </c>
      <c r="C1372" s="30">
        <v>25</v>
      </c>
      <c r="D1372" s="190">
        <v>9521.3220000000001</v>
      </c>
      <c r="E1372" s="30" t="s">
        <v>10</v>
      </c>
      <c r="F1372" s="190">
        <v>66.950999999999993</v>
      </c>
      <c r="G1372" s="30" t="s">
        <v>335</v>
      </c>
      <c r="H1372" s="30"/>
    </row>
    <row r="1373" spans="1:15" x14ac:dyDescent="0.25">
      <c r="A1373" s="30" t="s">
        <v>228</v>
      </c>
      <c r="B1373" s="30" t="s">
        <v>333</v>
      </c>
      <c r="C1373" s="30">
        <v>25</v>
      </c>
      <c r="D1373" s="190">
        <v>1185.1949999999999</v>
      </c>
      <c r="E1373" s="30" t="s">
        <v>10</v>
      </c>
      <c r="F1373" s="190">
        <v>9.9220000000000006</v>
      </c>
      <c r="G1373" s="30" t="s">
        <v>335</v>
      </c>
      <c r="H1373" s="30"/>
    </row>
    <row r="1374" spans="1:15" x14ac:dyDescent="0.25">
      <c r="A1374" s="30" t="s">
        <v>229</v>
      </c>
      <c r="B1374" s="30" t="s">
        <v>333</v>
      </c>
      <c r="C1374" s="30">
        <v>25</v>
      </c>
      <c r="D1374" s="190">
        <v>501.08199999999999</v>
      </c>
      <c r="E1374" s="30" t="s">
        <v>10</v>
      </c>
      <c r="F1374" s="190">
        <v>3.6040000000000001</v>
      </c>
      <c r="G1374" s="30" t="s">
        <v>335</v>
      </c>
      <c r="H1374" s="30"/>
    </row>
    <row r="1375" spans="1:15" x14ac:dyDescent="0.25">
      <c r="A1375" s="30" t="s">
        <v>230</v>
      </c>
      <c r="B1375" s="30" t="s">
        <v>333</v>
      </c>
      <c r="C1375" s="30">
        <v>25</v>
      </c>
      <c r="D1375" s="190">
        <v>677.64200000000005</v>
      </c>
      <c r="E1375" s="30" t="s">
        <v>10</v>
      </c>
      <c r="F1375" s="190">
        <v>3.5939999999999999</v>
      </c>
      <c r="G1375" s="30" t="s">
        <v>335</v>
      </c>
      <c r="H1375" s="30"/>
    </row>
    <row r="1376" spans="1:15" x14ac:dyDescent="0.25">
      <c r="A1376" s="30"/>
      <c r="B1376" s="30"/>
      <c r="C1376" s="30"/>
      <c r="D1376" s="190"/>
      <c r="E1376" s="30"/>
      <c r="F1376" s="190"/>
      <c r="G1376" s="30"/>
      <c r="H1376" s="30"/>
    </row>
    <row r="1377" spans="1:15" x14ac:dyDescent="0.25">
      <c r="A1377" s="30" t="s">
        <v>581</v>
      </c>
      <c r="B1377" s="30"/>
      <c r="C1377" s="30"/>
      <c r="D1377" s="190"/>
      <c r="E1377" s="30"/>
      <c r="F1377" s="190"/>
      <c r="G1377" s="30"/>
      <c r="H1377" s="30"/>
    </row>
    <row r="1378" spans="1:15" ht="20" thickBot="1" x14ac:dyDescent="0.3">
      <c r="A1378" s="30" t="s">
        <v>2</v>
      </c>
      <c r="B1378" s="30" t="s">
        <v>3</v>
      </c>
      <c r="C1378" s="30" t="s">
        <v>4</v>
      </c>
      <c r="D1378" s="190" t="s">
        <v>5</v>
      </c>
      <c r="E1378" s="30" t="s">
        <v>6</v>
      </c>
      <c r="F1378" s="190" t="s">
        <v>7</v>
      </c>
      <c r="G1378" s="30"/>
      <c r="H1378" s="30"/>
    </row>
    <row r="1379" spans="1:15" x14ac:dyDescent="0.25">
      <c r="A1379" s="30" t="s">
        <v>231</v>
      </c>
      <c r="B1379" s="30" t="s">
        <v>333</v>
      </c>
      <c r="C1379" s="30">
        <v>25</v>
      </c>
      <c r="D1379" s="190">
        <v>1544452.047</v>
      </c>
      <c r="E1379" s="30" t="s">
        <v>10</v>
      </c>
      <c r="F1379" s="190">
        <v>51125.196000000004</v>
      </c>
      <c r="G1379" s="30" t="s">
        <v>335</v>
      </c>
      <c r="H1379" s="30"/>
      <c r="J1379" s="5" t="s">
        <v>581</v>
      </c>
      <c r="K1379" s="72" t="s">
        <v>340</v>
      </c>
      <c r="L1379" s="72" t="s">
        <v>341</v>
      </c>
      <c r="M1379" s="17" t="s">
        <v>162</v>
      </c>
      <c r="N1379" s="72" t="s">
        <v>342</v>
      </c>
      <c r="O1379" s="21" t="s">
        <v>162</v>
      </c>
    </row>
    <row r="1380" spans="1:15" x14ac:dyDescent="0.25">
      <c r="A1380" s="30" t="s">
        <v>232</v>
      </c>
      <c r="B1380" s="30" t="s">
        <v>333</v>
      </c>
      <c r="C1380" s="30">
        <v>25</v>
      </c>
      <c r="D1380" s="190">
        <v>1507160.4680000001</v>
      </c>
      <c r="E1380" s="30" t="s">
        <v>10</v>
      </c>
      <c r="F1380" s="190">
        <v>7763.55</v>
      </c>
      <c r="G1380" s="30" t="s">
        <v>335</v>
      </c>
      <c r="H1380" s="30"/>
      <c r="J1380" s="6">
        <v>100000</v>
      </c>
      <c r="K1380" s="119">
        <f>D1379</f>
        <v>1544452.047</v>
      </c>
      <c r="L1380" s="119">
        <f>D1380</f>
        <v>1507160.4680000001</v>
      </c>
      <c r="M1380" s="18">
        <f>(K1380/L1380-1)</f>
        <v>2.4742938653032676E-2</v>
      </c>
      <c r="N1380" s="73">
        <f>D1381</f>
        <v>1676014.3829999999</v>
      </c>
      <c r="O1380" s="22">
        <f>(K1380/N1380-1)</f>
        <v>-7.8497140200257998E-2</v>
      </c>
    </row>
    <row r="1381" spans="1:15" x14ac:dyDescent="0.25">
      <c r="A1381" s="30" t="s">
        <v>233</v>
      </c>
      <c r="B1381" s="30" t="s">
        <v>333</v>
      </c>
      <c r="C1381" s="30">
        <v>25</v>
      </c>
      <c r="D1381" s="190">
        <v>1676014.3829999999</v>
      </c>
      <c r="E1381" s="30" t="s">
        <v>10</v>
      </c>
      <c r="F1381" s="190">
        <v>35253.957000000002</v>
      </c>
      <c r="G1381" s="30" t="s">
        <v>335</v>
      </c>
      <c r="H1381" s="30"/>
      <c r="J1381" s="6">
        <v>50000</v>
      </c>
      <c r="K1381" s="119">
        <f>D1382</f>
        <v>579361.97900000005</v>
      </c>
      <c r="L1381" s="119">
        <f>D1383</f>
        <v>585624.62899999996</v>
      </c>
      <c r="M1381" s="18">
        <f t="shared" ref="M1381:M1384" si="143">(K1381/L1381-1)</f>
        <v>-1.0693966219784579E-2</v>
      </c>
      <c r="N1381" s="73">
        <f>D1384</f>
        <v>682785.77399999998</v>
      </c>
      <c r="O1381" s="22">
        <f t="shared" ref="O1381:O1384" si="144">(K1381/N1381-1)</f>
        <v>-0.15147327161505852</v>
      </c>
    </row>
    <row r="1382" spans="1:15" x14ac:dyDescent="0.25">
      <c r="A1382" s="30" t="s">
        <v>234</v>
      </c>
      <c r="B1382" s="30" t="s">
        <v>333</v>
      </c>
      <c r="C1382" s="30">
        <v>25</v>
      </c>
      <c r="D1382" s="190">
        <v>579361.97900000005</v>
      </c>
      <c r="E1382" s="30" t="s">
        <v>10</v>
      </c>
      <c r="F1382" s="190">
        <v>8403.5249999999996</v>
      </c>
      <c r="G1382" s="30" t="s">
        <v>335</v>
      </c>
      <c r="H1382" s="30"/>
      <c r="J1382" s="6">
        <v>10000</v>
      </c>
      <c r="K1382" s="119">
        <f>D1385</f>
        <v>110015.734</v>
      </c>
      <c r="L1382" s="119">
        <f>D1386</f>
        <v>97087.205000000002</v>
      </c>
      <c r="M1382" s="18">
        <f t="shared" si="143"/>
        <v>0.13316408686396941</v>
      </c>
      <c r="N1382" s="73">
        <f>D1387</f>
        <v>92015.557000000001</v>
      </c>
      <c r="O1382" s="22">
        <f t="shared" si="144"/>
        <v>0.19562101873708149</v>
      </c>
    </row>
    <row r="1383" spans="1:15" x14ac:dyDescent="0.25">
      <c r="A1383" s="30" t="s">
        <v>235</v>
      </c>
      <c r="B1383" s="30" t="s">
        <v>333</v>
      </c>
      <c r="C1383" s="30">
        <v>25</v>
      </c>
      <c r="D1383" s="190">
        <v>585624.62899999996</v>
      </c>
      <c r="E1383" s="30" t="s">
        <v>10</v>
      </c>
      <c r="F1383" s="190">
        <v>6190.0140000000001</v>
      </c>
      <c r="G1383" s="30" t="s">
        <v>335</v>
      </c>
      <c r="H1383" s="30"/>
      <c r="J1383" s="67">
        <v>1000</v>
      </c>
      <c r="K1383" s="119">
        <f>D1388</f>
        <v>10982.787</v>
      </c>
      <c r="L1383" s="119">
        <f>D1389</f>
        <v>5782.3590000000004</v>
      </c>
      <c r="M1383" s="18">
        <f t="shared" si="143"/>
        <v>0.89936097015076366</v>
      </c>
      <c r="N1383" s="73">
        <f>D1390</f>
        <v>10827.513000000001</v>
      </c>
      <c r="O1383" s="22">
        <f t="shared" si="144"/>
        <v>1.4340689316189259E-2</v>
      </c>
    </row>
    <row r="1384" spans="1:15" ht="20" thickBot="1" x14ac:dyDescent="0.3">
      <c r="A1384" s="30" t="s">
        <v>236</v>
      </c>
      <c r="B1384" s="30" t="s">
        <v>333</v>
      </c>
      <c r="C1384" s="30">
        <v>25</v>
      </c>
      <c r="D1384" s="190">
        <v>682785.77399999998</v>
      </c>
      <c r="E1384" s="30" t="s">
        <v>10</v>
      </c>
      <c r="F1384" s="190">
        <v>12238.263000000001</v>
      </c>
      <c r="G1384" s="30" t="s">
        <v>335</v>
      </c>
      <c r="H1384" s="30"/>
      <c r="J1384" s="68">
        <v>100</v>
      </c>
      <c r="K1384" s="120">
        <f>D1391</f>
        <v>848.46</v>
      </c>
      <c r="L1384" s="120">
        <f>D1392</f>
        <v>358.97199999999998</v>
      </c>
      <c r="M1384" s="19">
        <f t="shared" si="143"/>
        <v>1.3635826749718643</v>
      </c>
      <c r="N1384" s="74">
        <f>D1393</f>
        <v>484.17200000000003</v>
      </c>
      <c r="O1384" s="23">
        <f t="shared" si="144"/>
        <v>0.75239377741794233</v>
      </c>
    </row>
    <row r="1385" spans="1:15" x14ac:dyDescent="0.25">
      <c r="A1385" s="30" t="s">
        <v>237</v>
      </c>
      <c r="B1385" s="30" t="s">
        <v>333</v>
      </c>
      <c r="C1385" s="30">
        <v>25</v>
      </c>
      <c r="D1385" s="190">
        <v>110015.734</v>
      </c>
      <c r="E1385" s="30" t="s">
        <v>10</v>
      </c>
      <c r="F1385" s="190">
        <v>684.63</v>
      </c>
      <c r="G1385" s="30" t="s">
        <v>335</v>
      </c>
      <c r="H1385" s="30"/>
    </row>
    <row r="1386" spans="1:15" x14ac:dyDescent="0.25">
      <c r="A1386" s="30" t="s">
        <v>238</v>
      </c>
      <c r="B1386" s="30" t="s">
        <v>333</v>
      </c>
      <c r="C1386" s="30">
        <v>25</v>
      </c>
      <c r="D1386" s="190">
        <v>97087.205000000002</v>
      </c>
      <c r="E1386" s="30" t="s">
        <v>10</v>
      </c>
      <c r="F1386" s="190">
        <v>1190.3389999999999</v>
      </c>
      <c r="G1386" s="30" t="s">
        <v>335</v>
      </c>
      <c r="H1386" s="30"/>
    </row>
    <row r="1387" spans="1:15" x14ac:dyDescent="0.25">
      <c r="A1387" s="30" t="s">
        <v>239</v>
      </c>
      <c r="B1387" s="30" t="s">
        <v>333</v>
      </c>
      <c r="C1387" s="30">
        <v>25</v>
      </c>
      <c r="D1387" s="190">
        <v>92015.557000000001</v>
      </c>
      <c r="E1387" s="30" t="s">
        <v>10</v>
      </c>
      <c r="F1387" s="190">
        <v>177.22200000000001</v>
      </c>
      <c r="G1387" s="30" t="s">
        <v>335</v>
      </c>
      <c r="H1387" s="30"/>
    </row>
    <row r="1388" spans="1:15" x14ac:dyDescent="0.25">
      <c r="A1388" s="30" t="s">
        <v>240</v>
      </c>
      <c r="B1388" s="30" t="s">
        <v>333</v>
      </c>
      <c r="C1388" s="30">
        <v>25</v>
      </c>
      <c r="D1388" s="190">
        <v>10982.787</v>
      </c>
      <c r="E1388" s="30" t="s">
        <v>10</v>
      </c>
      <c r="F1388" s="190">
        <v>87.427000000000007</v>
      </c>
      <c r="G1388" s="30" t="s">
        <v>335</v>
      </c>
      <c r="H1388" s="30"/>
    </row>
    <row r="1389" spans="1:15" x14ac:dyDescent="0.25">
      <c r="A1389" s="30" t="s">
        <v>241</v>
      </c>
      <c r="B1389" s="30" t="s">
        <v>333</v>
      </c>
      <c r="C1389" s="30">
        <v>25</v>
      </c>
      <c r="D1389" s="190">
        <v>5782.3590000000004</v>
      </c>
      <c r="E1389" s="30" t="s">
        <v>10</v>
      </c>
      <c r="F1389" s="190">
        <v>53.252000000000002</v>
      </c>
      <c r="G1389" s="30" t="s">
        <v>335</v>
      </c>
      <c r="H1389" s="30"/>
    </row>
    <row r="1390" spans="1:15" x14ac:dyDescent="0.25">
      <c r="A1390" s="30" t="s">
        <v>242</v>
      </c>
      <c r="B1390" s="30" t="s">
        <v>333</v>
      </c>
      <c r="C1390" s="30">
        <v>25</v>
      </c>
      <c r="D1390" s="190">
        <v>10827.513000000001</v>
      </c>
      <c r="E1390" s="30" t="s">
        <v>10</v>
      </c>
      <c r="F1390" s="190">
        <v>61.033000000000001</v>
      </c>
      <c r="G1390" s="30" t="s">
        <v>335</v>
      </c>
      <c r="H1390" s="30"/>
    </row>
    <row r="1391" spans="1:15" x14ac:dyDescent="0.25">
      <c r="A1391" s="30" t="s">
        <v>243</v>
      </c>
      <c r="B1391" s="30" t="s">
        <v>333</v>
      </c>
      <c r="C1391" s="30">
        <v>25</v>
      </c>
      <c r="D1391" s="190">
        <v>848.46</v>
      </c>
      <c r="E1391" s="30" t="s">
        <v>10</v>
      </c>
      <c r="F1391" s="190">
        <v>4.6440000000000001</v>
      </c>
      <c r="G1391" s="30" t="s">
        <v>335</v>
      </c>
      <c r="H1391" s="30"/>
    </row>
    <row r="1392" spans="1:15" x14ac:dyDescent="0.25">
      <c r="A1392" s="30" t="s">
        <v>244</v>
      </c>
      <c r="B1392" s="30" t="s">
        <v>333</v>
      </c>
      <c r="C1392" s="30">
        <v>25</v>
      </c>
      <c r="D1392" s="190">
        <v>358.97199999999998</v>
      </c>
      <c r="E1392" s="30" t="s">
        <v>10</v>
      </c>
      <c r="F1392" s="190">
        <v>2.0059999999999998</v>
      </c>
      <c r="G1392" s="30" t="s">
        <v>335</v>
      </c>
      <c r="H1392" s="30"/>
    </row>
    <row r="1393" spans="1:15" x14ac:dyDescent="0.25">
      <c r="A1393" s="30" t="s">
        <v>245</v>
      </c>
      <c r="B1393" s="30" t="s">
        <v>333</v>
      </c>
      <c r="C1393" s="30">
        <v>25</v>
      </c>
      <c r="D1393" s="190">
        <v>484.17200000000003</v>
      </c>
      <c r="E1393" s="30" t="s">
        <v>10</v>
      </c>
      <c r="F1393" s="190">
        <v>3.6930000000000001</v>
      </c>
      <c r="G1393" s="30" t="s">
        <v>335</v>
      </c>
      <c r="H1393" s="30"/>
    </row>
    <row r="1395" spans="1:15" x14ac:dyDescent="0.25">
      <c r="A1395" s="30" t="s">
        <v>586</v>
      </c>
      <c r="B1395" s="30"/>
      <c r="C1395" s="30"/>
      <c r="D1395" s="190"/>
      <c r="E1395" s="30"/>
      <c r="F1395" s="190"/>
      <c r="G1395" s="30"/>
      <c r="H1395" s="30"/>
    </row>
    <row r="1396" spans="1:15" ht="20" thickBot="1" x14ac:dyDescent="0.3">
      <c r="A1396" s="30" t="s">
        <v>2</v>
      </c>
      <c r="B1396" s="30" t="s">
        <v>3</v>
      </c>
      <c r="C1396" s="30" t="s">
        <v>4</v>
      </c>
      <c r="D1396" s="190" t="s">
        <v>5</v>
      </c>
      <c r="E1396" s="30" t="s">
        <v>6</v>
      </c>
      <c r="F1396" s="190" t="s">
        <v>7</v>
      </c>
      <c r="G1396" s="30"/>
      <c r="H1396" s="30"/>
    </row>
    <row r="1397" spans="1:15" x14ac:dyDescent="0.25">
      <c r="A1397" s="30" t="s">
        <v>587</v>
      </c>
      <c r="B1397" s="30" t="s">
        <v>333</v>
      </c>
      <c r="C1397" s="30">
        <v>10</v>
      </c>
      <c r="D1397" s="190">
        <v>405011.77500000002</v>
      </c>
      <c r="E1397" s="30" t="s">
        <v>10</v>
      </c>
      <c r="F1397" s="190">
        <v>4338.7640000000001</v>
      </c>
      <c r="G1397" s="30" t="s">
        <v>335</v>
      </c>
      <c r="H1397" s="30"/>
      <c r="J1397" s="5" t="s">
        <v>586</v>
      </c>
      <c r="K1397" s="72" t="s">
        <v>340</v>
      </c>
      <c r="L1397" s="72" t="s">
        <v>341</v>
      </c>
      <c r="M1397" s="17" t="s">
        <v>162</v>
      </c>
      <c r="N1397" s="72" t="s">
        <v>342</v>
      </c>
      <c r="O1397" s="21" t="s">
        <v>162</v>
      </c>
    </row>
    <row r="1398" spans="1:15" x14ac:dyDescent="0.25">
      <c r="A1398" s="30" t="s">
        <v>588</v>
      </c>
      <c r="B1398" s="30" t="s">
        <v>333</v>
      </c>
      <c r="C1398" s="30">
        <v>10</v>
      </c>
      <c r="D1398" s="190">
        <v>54471.981</v>
      </c>
      <c r="E1398" s="30" t="s">
        <v>10</v>
      </c>
      <c r="F1398" s="190">
        <v>594.18100000000004</v>
      </c>
      <c r="G1398" s="30" t="s">
        <v>335</v>
      </c>
      <c r="H1398" s="30"/>
      <c r="J1398" s="6">
        <v>100000</v>
      </c>
      <c r="K1398" s="119">
        <f>D1397</f>
        <v>405011.77500000002</v>
      </c>
      <c r="L1398" s="119">
        <f>D1398</f>
        <v>54471.981</v>
      </c>
      <c r="M1398" s="18">
        <f>(K1398/L1398-1)</f>
        <v>6.4352312430128071</v>
      </c>
      <c r="N1398" s="73">
        <f>D1399</f>
        <v>62938.163999999997</v>
      </c>
      <c r="O1398" s="22">
        <f>(K1398/N1398-1)</f>
        <v>5.4350745121831014</v>
      </c>
    </row>
    <row r="1399" spans="1:15" x14ac:dyDescent="0.25">
      <c r="A1399" s="30" t="s">
        <v>589</v>
      </c>
      <c r="B1399" s="30" t="s">
        <v>333</v>
      </c>
      <c r="C1399" s="30">
        <v>10</v>
      </c>
      <c r="D1399" s="190">
        <v>62938.163999999997</v>
      </c>
      <c r="E1399" s="30" t="s">
        <v>10</v>
      </c>
      <c r="F1399" s="190">
        <v>689.36500000000001</v>
      </c>
      <c r="G1399" s="30" t="s">
        <v>335</v>
      </c>
      <c r="H1399" s="30"/>
      <c r="J1399" s="6">
        <v>50000</v>
      </c>
      <c r="K1399" s="119">
        <f>D1400</f>
        <v>203632.867</v>
      </c>
      <c r="L1399" s="119">
        <f>D1401</f>
        <v>28150.562000000002</v>
      </c>
      <c r="M1399" s="18">
        <f t="shared" ref="M1399:M1402" si="145">(K1399/L1399-1)</f>
        <v>6.2337052098640156</v>
      </c>
      <c r="N1399" s="73">
        <f>D1402</f>
        <v>39229.141000000003</v>
      </c>
      <c r="O1399" s="22">
        <f t="shared" ref="O1399:O1402" si="146">(K1399/N1399-1)</f>
        <v>4.190857148771113</v>
      </c>
    </row>
    <row r="1400" spans="1:15" x14ac:dyDescent="0.25">
      <c r="A1400" s="30" t="s">
        <v>590</v>
      </c>
      <c r="B1400" s="30" t="s">
        <v>333</v>
      </c>
      <c r="C1400" s="30">
        <v>10</v>
      </c>
      <c r="D1400" s="190">
        <v>203632.867</v>
      </c>
      <c r="E1400" s="30" t="s">
        <v>10</v>
      </c>
      <c r="F1400" s="190">
        <v>5272.0479999999998</v>
      </c>
      <c r="G1400" s="30" t="s">
        <v>335</v>
      </c>
      <c r="H1400" s="30"/>
      <c r="J1400" s="6">
        <v>10000</v>
      </c>
      <c r="K1400" s="119">
        <f>D1403</f>
        <v>41431.716999999997</v>
      </c>
      <c r="L1400" s="119">
        <f>D1404</f>
        <v>5605.2449999999999</v>
      </c>
      <c r="M1400" s="18">
        <f t="shared" si="145"/>
        <v>6.3915978694954454</v>
      </c>
      <c r="N1400" s="73">
        <f>D1405</f>
        <v>6554.7939999999999</v>
      </c>
      <c r="O1400" s="22">
        <f t="shared" si="146"/>
        <v>5.3208267109538454</v>
      </c>
    </row>
    <row r="1401" spans="1:15" x14ac:dyDescent="0.25">
      <c r="A1401" s="30" t="s">
        <v>591</v>
      </c>
      <c r="B1401" s="30" t="s">
        <v>333</v>
      </c>
      <c r="C1401" s="30">
        <v>10</v>
      </c>
      <c r="D1401" s="190">
        <v>28150.562000000002</v>
      </c>
      <c r="E1401" s="30" t="s">
        <v>10</v>
      </c>
      <c r="F1401" s="190">
        <v>681.74900000000002</v>
      </c>
      <c r="G1401" s="30" t="s">
        <v>335</v>
      </c>
      <c r="H1401" s="30"/>
      <c r="J1401" s="67">
        <v>1000</v>
      </c>
      <c r="K1401" s="119">
        <f>D1406</f>
        <v>5288.7669999999998</v>
      </c>
      <c r="L1401" s="119">
        <f>D1407</f>
        <v>446.70600000000002</v>
      </c>
      <c r="M1401" s="18">
        <f t="shared" si="145"/>
        <v>10.839480553205016</v>
      </c>
      <c r="N1401" s="73">
        <f>D1408</f>
        <v>685.94899999999996</v>
      </c>
      <c r="O1401" s="22">
        <f t="shared" si="146"/>
        <v>6.710146089578088</v>
      </c>
    </row>
    <row r="1402" spans="1:15" ht="20" thickBot="1" x14ac:dyDescent="0.3">
      <c r="A1402" s="30" t="s">
        <v>592</v>
      </c>
      <c r="B1402" s="30" t="s">
        <v>333</v>
      </c>
      <c r="C1402" s="30">
        <v>10</v>
      </c>
      <c r="D1402" s="190">
        <v>39229.141000000003</v>
      </c>
      <c r="E1402" s="30" t="s">
        <v>10</v>
      </c>
      <c r="F1402" s="190">
        <v>737.08799999999997</v>
      </c>
      <c r="G1402" s="30" t="s">
        <v>335</v>
      </c>
      <c r="H1402" s="30"/>
      <c r="J1402" s="68">
        <v>100</v>
      </c>
      <c r="K1402" s="120">
        <f>D1409</f>
        <v>419.19</v>
      </c>
      <c r="L1402" s="120">
        <f>D1410</f>
        <v>42.311999999999998</v>
      </c>
      <c r="M1402" s="19">
        <f t="shared" si="145"/>
        <v>8.9071185479296666</v>
      </c>
      <c r="N1402" s="74">
        <f>D1411</f>
        <v>93.012</v>
      </c>
      <c r="O1402" s="23">
        <f t="shared" si="146"/>
        <v>3.5068378273771126</v>
      </c>
    </row>
    <row r="1403" spans="1:15" x14ac:dyDescent="0.25">
      <c r="A1403" s="30" t="s">
        <v>593</v>
      </c>
      <c r="B1403" s="30" t="s">
        <v>333</v>
      </c>
      <c r="C1403" s="30">
        <v>10</v>
      </c>
      <c r="D1403" s="190">
        <v>41431.716999999997</v>
      </c>
      <c r="E1403" s="30" t="s">
        <v>10</v>
      </c>
      <c r="F1403" s="190">
        <v>759.89300000000003</v>
      </c>
      <c r="G1403" s="30" t="s">
        <v>335</v>
      </c>
      <c r="H1403" s="30"/>
    </row>
    <row r="1404" spans="1:15" x14ac:dyDescent="0.25">
      <c r="A1404" s="30" t="s">
        <v>594</v>
      </c>
      <c r="B1404" s="30" t="s">
        <v>333</v>
      </c>
      <c r="C1404" s="30">
        <v>10</v>
      </c>
      <c r="D1404" s="190">
        <v>5605.2449999999999</v>
      </c>
      <c r="E1404" s="30" t="s">
        <v>10</v>
      </c>
      <c r="F1404" s="190">
        <v>95.162999999999997</v>
      </c>
      <c r="G1404" s="30" t="s">
        <v>335</v>
      </c>
      <c r="H1404" s="30"/>
    </row>
    <row r="1405" spans="1:15" x14ac:dyDescent="0.25">
      <c r="A1405" s="30" t="s">
        <v>595</v>
      </c>
      <c r="B1405" s="30" t="s">
        <v>333</v>
      </c>
      <c r="C1405" s="30">
        <v>10</v>
      </c>
      <c r="D1405" s="190">
        <v>6554.7939999999999</v>
      </c>
      <c r="E1405" s="30" t="s">
        <v>10</v>
      </c>
      <c r="F1405" s="190">
        <v>50.466999999999999</v>
      </c>
      <c r="G1405" s="30" t="s">
        <v>335</v>
      </c>
      <c r="H1405" s="30"/>
    </row>
    <row r="1406" spans="1:15" x14ac:dyDescent="0.25">
      <c r="A1406" s="30" t="s">
        <v>596</v>
      </c>
      <c r="B1406" s="30" t="s">
        <v>333</v>
      </c>
      <c r="C1406" s="30">
        <v>10</v>
      </c>
      <c r="D1406" s="190">
        <v>5288.7669999999998</v>
      </c>
      <c r="E1406" s="30" t="s">
        <v>10</v>
      </c>
      <c r="F1406" s="190">
        <v>90.132999999999996</v>
      </c>
      <c r="G1406" s="30" t="s">
        <v>335</v>
      </c>
      <c r="H1406" s="30"/>
    </row>
    <row r="1407" spans="1:15" x14ac:dyDescent="0.25">
      <c r="A1407" s="30" t="s">
        <v>597</v>
      </c>
      <c r="B1407" s="30" t="s">
        <v>333</v>
      </c>
      <c r="C1407" s="30">
        <v>10</v>
      </c>
      <c r="D1407" s="190">
        <v>446.70600000000002</v>
      </c>
      <c r="E1407" s="30" t="s">
        <v>10</v>
      </c>
      <c r="F1407" s="190">
        <v>4.3949999999999996</v>
      </c>
      <c r="G1407" s="30" t="s">
        <v>335</v>
      </c>
      <c r="H1407" s="30"/>
    </row>
    <row r="1408" spans="1:15" x14ac:dyDescent="0.25">
      <c r="A1408" s="30" t="s">
        <v>598</v>
      </c>
      <c r="B1408" s="30" t="s">
        <v>333</v>
      </c>
      <c r="C1408" s="30">
        <v>10</v>
      </c>
      <c r="D1408" s="190">
        <v>685.94899999999996</v>
      </c>
      <c r="E1408" s="30" t="s">
        <v>10</v>
      </c>
      <c r="F1408" s="190">
        <v>8.3659999999999997</v>
      </c>
      <c r="G1408" s="30" t="s">
        <v>335</v>
      </c>
      <c r="H1408" s="30"/>
    </row>
    <row r="1409" spans="1:15" x14ac:dyDescent="0.25">
      <c r="A1409" s="30" t="s">
        <v>599</v>
      </c>
      <c r="B1409" s="30" t="s">
        <v>333</v>
      </c>
      <c r="C1409" s="30">
        <v>10</v>
      </c>
      <c r="D1409" s="190">
        <v>419.19</v>
      </c>
      <c r="E1409" s="30" t="s">
        <v>10</v>
      </c>
      <c r="F1409" s="190">
        <v>6.7510000000000003</v>
      </c>
      <c r="G1409" s="30" t="s">
        <v>335</v>
      </c>
      <c r="H1409" s="30"/>
    </row>
    <row r="1410" spans="1:15" x14ac:dyDescent="0.25">
      <c r="A1410" s="30" t="s">
        <v>600</v>
      </c>
      <c r="B1410" s="30" t="s">
        <v>333</v>
      </c>
      <c r="C1410" s="30">
        <v>10</v>
      </c>
      <c r="D1410" s="190">
        <v>42.311999999999998</v>
      </c>
      <c r="E1410" s="30" t="s">
        <v>10</v>
      </c>
      <c r="F1410" s="190">
        <v>0.755</v>
      </c>
      <c r="G1410" s="30" t="s">
        <v>335</v>
      </c>
      <c r="H1410" s="30"/>
    </row>
    <row r="1411" spans="1:15" x14ac:dyDescent="0.25">
      <c r="A1411" s="30" t="s">
        <v>601</v>
      </c>
      <c r="B1411" s="30" t="s">
        <v>333</v>
      </c>
      <c r="C1411" s="30">
        <v>10</v>
      </c>
      <c r="D1411" s="190">
        <v>93.012</v>
      </c>
      <c r="E1411" s="30" t="s">
        <v>10</v>
      </c>
      <c r="F1411" s="190">
        <v>2.1869999999999998</v>
      </c>
      <c r="G1411" s="30" t="s">
        <v>335</v>
      </c>
      <c r="H1411" s="30"/>
    </row>
    <row r="1412" spans="1:15" x14ac:dyDescent="0.25">
      <c r="A1412" s="30"/>
      <c r="B1412" s="30"/>
      <c r="C1412" s="30"/>
      <c r="D1412" s="190"/>
      <c r="E1412" s="30"/>
      <c r="F1412" s="190"/>
      <c r="G1412" s="30"/>
      <c r="H1412" s="30"/>
    </row>
    <row r="1413" spans="1:15" x14ac:dyDescent="0.25">
      <c r="A1413" s="30" t="s">
        <v>602</v>
      </c>
      <c r="B1413" s="30"/>
      <c r="C1413" s="30"/>
      <c r="D1413" s="190"/>
      <c r="E1413" s="30"/>
      <c r="F1413" s="190"/>
      <c r="G1413" s="30"/>
      <c r="H1413" s="30"/>
    </row>
    <row r="1414" spans="1:15" ht="20" thickBot="1" x14ac:dyDescent="0.3">
      <c r="A1414" s="30" t="s">
        <v>2</v>
      </c>
      <c r="B1414" s="30" t="s">
        <v>3</v>
      </c>
      <c r="C1414" s="30" t="s">
        <v>4</v>
      </c>
      <c r="D1414" s="190" t="s">
        <v>5</v>
      </c>
      <c r="E1414" s="30" t="s">
        <v>6</v>
      </c>
      <c r="F1414" s="190" t="s">
        <v>7</v>
      </c>
      <c r="G1414" s="30"/>
      <c r="H1414" s="30"/>
    </row>
    <row r="1415" spans="1:15" x14ac:dyDescent="0.25">
      <c r="A1415" s="30" t="s">
        <v>603</v>
      </c>
      <c r="B1415" s="30" t="s">
        <v>333</v>
      </c>
      <c r="C1415" s="30">
        <v>10</v>
      </c>
      <c r="D1415" s="190">
        <v>856561.80200000003</v>
      </c>
      <c r="E1415" s="30" t="s">
        <v>10</v>
      </c>
      <c r="F1415" s="190">
        <v>28635.766</v>
      </c>
      <c r="G1415" s="30" t="s">
        <v>335</v>
      </c>
      <c r="H1415" s="30"/>
      <c r="J1415" s="5" t="s">
        <v>602</v>
      </c>
      <c r="K1415" s="72" t="s">
        <v>340</v>
      </c>
      <c r="L1415" s="72" t="s">
        <v>341</v>
      </c>
      <c r="M1415" s="17" t="s">
        <v>162</v>
      </c>
      <c r="N1415" s="72" t="s">
        <v>342</v>
      </c>
      <c r="O1415" s="21" t="s">
        <v>162</v>
      </c>
    </row>
    <row r="1416" spans="1:15" x14ac:dyDescent="0.25">
      <c r="A1416" s="30" t="s">
        <v>604</v>
      </c>
      <c r="B1416" s="30" t="s">
        <v>333</v>
      </c>
      <c r="C1416" s="30">
        <v>10</v>
      </c>
      <c r="D1416" s="190">
        <v>510465.11900000001</v>
      </c>
      <c r="E1416" s="30" t="s">
        <v>10</v>
      </c>
      <c r="F1416" s="190">
        <v>20149.597000000002</v>
      </c>
      <c r="G1416" s="30" t="s">
        <v>335</v>
      </c>
      <c r="H1416" s="30"/>
      <c r="J1416" s="6">
        <v>100000</v>
      </c>
      <c r="K1416" s="119">
        <f>D1415</f>
        <v>856561.80200000003</v>
      </c>
      <c r="L1416" s="119">
        <f>D1416</f>
        <v>510465.11900000001</v>
      </c>
      <c r="M1416" s="18">
        <f>(K1416/L1416-1)</f>
        <v>0.67800261000791329</v>
      </c>
      <c r="N1416" s="73">
        <f>D1417</f>
        <v>583628.20600000001</v>
      </c>
      <c r="O1416" s="22">
        <f>(K1416/N1416-1)</f>
        <v>0.46764976948355375</v>
      </c>
    </row>
    <row r="1417" spans="1:15" x14ac:dyDescent="0.25">
      <c r="A1417" s="30" t="s">
        <v>605</v>
      </c>
      <c r="B1417" s="30" t="s">
        <v>333</v>
      </c>
      <c r="C1417" s="30">
        <v>10</v>
      </c>
      <c r="D1417" s="190">
        <v>583628.20600000001</v>
      </c>
      <c r="E1417" s="30" t="s">
        <v>10</v>
      </c>
      <c r="F1417" s="190">
        <v>28915.133999999998</v>
      </c>
      <c r="G1417" s="30" t="s">
        <v>335</v>
      </c>
      <c r="H1417" s="30"/>
      <c r="J1417" s="6">
        <v>50000</v>
      </c>
      <c r="K1417" s="119">
        <f>D1418</f>
        <v>410874.11599999998</v>
      </c>
      <c r="L1417" s="119">
        <f>D1419</f>
        <v>247833.128</v>
      </c>
      <c r="M1417" s="18">
        <f t="shared" ref="M1417:M1420" si="147">(K1417/L1417-1)</f>
        <v>0.65786599764015397</v>
      </c>
      <c r="N1417" s="73">
        <f>D1420</f>
        <v>347428.53600000002</v>
      </c>
      <c r="O1417" s="22">
        <f t="shared" ref="O1417:O1420" si="148">(K1417/N1417-1)</f>
        <v>0.18261476368768959</v>
      </c>
    </row>
    <row r="1418" spans="1:15" x14ac:dyDescent="0.25">
      <c r="A1418" s="30" t="s">
        <v>606</v>
      </c>
      <c r="B1418" s="30" t="s">
        <v>333</v>
      </c>
      <c r="C1418" s="30">
        <v>10</v>
      </c>
      <c r="D1418" s="190">
        <v>410874.11599999998</v>
      </c>
      <c r="E1418" s="30" t="s">
        <v>10</v>
      </c>
      <c r="F1418" s="190">
        <v>15282.261</v>
      </c>
      <c r="G1418" s="30" t="s">
        <v>335</v>
      </c>
      <c r="H1418" s="30"/>
      <c r="J1418" s="6">
        <v>10000</v>
      </c>
      <c r="K1418" s="119">
        <f>D1421</f>
        <v>86571.278000000006</v>
      </c>
      <c r="L1418" s="119">
        <f>D1422</f>
        <v>51248.106</v>
      </c>
      <c r="M1418" s="18">
        <f t="shared" si="147"/>
        <v>0.68925809667970972</v>
      </c>
      <c r="N1418" s="73">
        <f>D1423</f>
        <v>58713.925999999999</v>
      </c>
      <c r="O1418" s="22">
        <f t="shared" si="148"/>
        <v>0.47445902357134151</v>
      </c>
    </row>
    <row r="1419" spans="1:15" x14ac:dyDescent="0.25">
      <c r="A1419" s="30" t="s">
        <v>607</v>
      </c>
      <c r="B1419" s="30" t="s">
        <v>333</v>
      </c>
      <c r="C1419" s="30">
        <v>10</v>
      </c>
      <c r="D1419" s="190">
        <v>247833.128</v>
      </c>
      <c r="E1419" s="30" t="s">
        <v>10</v>
      </c>
      <c r="F1419" s="190">
        <v>4706.1980000000003</v>
      </c>
      <c r="G1419" s="30" t="s">
        <v>335</v>
      </c>
      <c r="H1419" s="30"/>
      <c r="J1419" s="67">
        <v>1000</v>
      </c>
      <c r="K1419" s="119">
        <f>D1424</f>
        <v>9553.5259999999998</v>
      </c>
      <c r="L1419" s="119">
        <f>D1425</f>
        <v>5697.6090000000004</v>
      </c>
      <c r="M1419" s="18">
        <f t="shared" si="147"/>
        <v>0.67676054990786483</v>
      </c>
      <c r="N1419" s="73">
        <f>D1426</f>
        <v>6151.6949999999997</v>
      </c>
      <c r="O1419" s="22">
        <f t="shared" si="148"/>
        <v>0.552990842361333</v>
      </c>
    </row>
    <row r="1420" spans="1:15" ht="20" thickBot="1" x14ac:dyDescent="0.3">
      <c r="A1420" s="30" t="s">
        <v>608</v>
      </c>
      <c r="B1420" s="30" t="s">
        <v>333</v>
      </c>
      <c r="C1420" s="30">
        <v>10</v>
      </c>
      <c r="D1420" s="190">
        <v>347428.53600000002</v>
      </c>
      <c r="E1420" s="30" t="s">
        <v>10</v>
      </c>
      <c r="F1420" s="190">
        <v>8234.7450000000008</v>
      </c>
      <c r="G1420" s="30" t="s">
        <v>335</v>
      </c>
      <c r="H1420" s="30"/>
      <c r="J1420" s="68">
        <v>100</v>
      </c>
      <c r="K1420" s="120">
        <f>D1427</f>
        <v>844.50300000000004</v>
      </c>
      <c r="L1420" s="120">
        <f>D1428</f>
        <v>380.85599999999999</v>
      </c>
      <c r="M1420" s="19">
        <f t="shared" si="147"/>
        <v>1.2173813724872393</v>
      </c>
      <c r="N1420" s="74">
        <f>D1429</f>
        <v>586.18200000000002</v>
      </c>
      <c r="O1420" s="23">
        <f t="shared" si="148"/>
        <v>0.44068395140075944</v>
      </c>
    </row>
    <row r="1421" spans="1:15" x14ac:dyDescent="0.25">
      <c r="A1421" s="30" t="s">
        <v>609</v>
      </c>
      <c r="B1421" s="30" t="s">
        <v>333</v>
      </c>
      <c r="C1421" s="30">
        <v>10</v>
      </c>
      <c r="D1421" s="190">
        <v>86571.278000000006</v>
      </c>
      <c r="E1421" s="30" t="s">
        <v>10</v>
      </c>
      <c r="F1421" s="190">
        <v>2639.8090000000002</v>
      </c>
      <c r="G1421" s="30" t="s">
        <v>335</v>
      </c>
      <c r="H1421" s="30"/>
    </row>
    <row r="1422" spans="1:15" x14ac:dyDescent="0.25">
      <c r="A1422" s="30" t="s">
        <v>610</v>
      </c>
      <c r="B1422" s="30" t="s">
        <v>333</v>
      </c>
      <c r="C1422" s="30">
        <v>10</v>
      </c>
      <c r="D1422" s="190">
        <v>51248.106</v>
      </c>
      <c r="E1422" s="30" t="s">
        <v>10</v>
      </c>
      <c r="F1422" s="190">
        <v>592.22500000000002</v>
      </c>
      <c r="G1422" s="30" t="s">
        <v>335</v>
      </c>
      <c r="H1422" s="30"/>
    </row>
    <row r="1423" spans="1:15" x14ac:dyDescent="0.25">
      <c r="A1423" s="30" t="s">
        <v>611</v>
      </c>
      <c r="B1423" s="30" t="s">
        <v>333</v>
      </c>
      <c r="C1423" s="30">
        <v>10</v>
      </c>
      <c r="D1423" s="190">
        <v>58713.925999999999</v>
      </c>
      <c r="E1423" s="30" t="s">
        <v>10</v>
      </c>
      <c r="F1423" s="190">
        <v>364.65899999999999</v>
      </c>
      <c r="G1423" s="30" t="s">
        <v>335</v>
      </c>
      <c r="H1423" s="30"/>
    </row>
    <row r="1424" spans="1:15" x14ac:dyDescent="0.25">
      <c r="A1424" s="30" t="s">
        <v>612</v>
      </c>
      <c r="B1424" s="30" t="s">
        <v>333</v>
      </c>
      <c r="C1424" s="30">
        <v>10</v>
      </c>
      <c r="D1424" s="190">
        <v>9553.5259999999998</v>
      </c>
      <c r="E1424" s="30" t="s">
        <v>10</v>
      </c>
      <c r="F1424" s="190">
        <v>138.75700000000001</v>
      </c>
      <c r="G1424" s="30" t="s">
        <v>335</v>
      </c>
      <c r="H1424" s="30"/>
    </row>
    <row r="1425" spans="1:15" x14ac:dyDescent="0.25">
      <c r="A1425" s="30" t="s">
        <v>613</v>
      </c>
      <c r="B1425" s="30" t="s">
        <v>333</v>
      </c>
      <c r="C1425" s="30">
        <v>10</v>
      </c>
      <c r="D1425" s="190">
        <v>5697.6090000000004</v>
      </c>
      <c r="E1425" s="30" t="s">
        <v>10</v>
      </c>
      <c r="F1425" s="190">
        <v>41.671999999999997</v>
      </c>
      <c r="G1425" s="30" t="s">
        <v>335</v>
      </c>
      <c r="H1425" s="30"/>
    </row>
    <row r="1426" spans="1:15" x14ac:dyDescent="0.25">
      <c r="A1426" s="30" t="s">
        <v>614</v>
      </c>
      <c r="B1426" s="30" t="s">
        <v>333</v>
      </c>
      <c r="C1426" s="30">
        <v>10</v>
      </c>
      <c r="D1426" s="190">
        <v>6151.6949999999997</v>
      </c>
      <c r="E1426" s="30" t="s">
        <v>10</v>
      </c>
      <c r="F1426" s="190">
        <v>86.918000000000006</v>
      </c>
      <c r="G1426" s="30" t="s">
        <v>335</v>
      </c>
      <c r="H1426" s="30"/>
    </row>
    <row r="1427" spans="1:15" x14ac:dyDescent="0.25">
      <c r="A1427" s="30" t="s">
        <v>615</v>
      </c>
      <c r="B1427" s="30" t="s">
        <v>333</v>
      </c>
      <c r="C1427" s="30">
        <v>10</v>
      </c>
      <c r="D1427" s="190">
        <v>844.50300000000004</v>
      </c>
      <c r="E1427" s="30" t="s">
        <v>10</v>
      </c>
      <c r="F1427" s="190">
        <v>10.771000000000001</v>
      </c>
      <c r="G1427" s="30" t="s">
        <v>335</v>
      </c>
      <c r="H1427" s="30"/>
    </row>
    <row r="1428" spans="1:15" x14ac:dyDescent="0.25">
      <c r="A1428" s="30" t="s">
        <v>616</v>
      </c>
      <c r="B1428" s="30" t="s">
        <v>333</v>
      </c>
      <c r="C1428" s="30">
        <v>10</v>
      </c>
      <c r="D1428" s="190">
        <v>380.85599999999999</v>
      </c>
      <c r="E1428" s="30" t="s">
        <v>10</v>
      </c>
      <c r="F1428" s="190">
        <v>6.81</v>
      </c>
      <c r="G1428" s="30" t="s">
        <v>335</v>
      </c>
      <c r="H1428" s="30"/>
    </row>
    <row r="1429" spans="1:15" x14ac:dyDescent="0.25">
      <c r="A1429" s="30" t="s">
        <v>617</v>
      </c>
      <c r="B1429" s="30" t="s">
        <v>333</v>
      </c>
      <c r="C1429" s="30">
        <v>10</v>
      </c>
      <c r="D1429" s="190">
        <v>586.18200000000002</v>
      </c>
      <c r="E1429" s="30" t="s">
        <v>10</v>
      </c>
      <c r="F1429" s="190">
        <v>3.4580000000000002</v>
      </c>
      <c r="G1429" s="30" t="s">
        <v>335</v>
      </c>
      <c r="H1429" s="30"/>
    </row>
    <row r="1431" spans="1:15" x14ac:dyDescent="0.25">
      <c r="A1431" s="30" t="s">
        <v>618</v>
      </c>
      <c r="B1431" s="30"/>
      <c r="C1431" s="30"/>
      <c r="D1431" s="190"/>
      <c r="E1431" s="30"/>
      <c r="F1431" s="190"/>
      <c r="G1431" s="30"/>
      <c r="H1431" s="30"/>
    </row>
    <row r="1432" spans="1:15" ht="20" thickBot="1" x14ac:dyDescent="0.3">
      <c r="A1432" s="30" t="s">
        <v>2</v>
      </c>
      <c r="B1432" s="30" t="s">
        <v>3</v>
      </c>
      <c r="C1432" s="30" t="s">
        <v>4</v>
      </c>
      <c r="D1432" s="190" t="s">
        <v>5</v>
      </c>
      <c r="E1432" s="30" t="s">
        <v>6</v>
      </c>
      <c r="F1432" s="190" t="s">
        <v>7</v>
      </c>
      <c r="G1432" s="30"/>
      <c r="H1432" s="30"/>
    </row>
    <row r="1433" spans="1:15" x14ac:dyDescent="0.25">
      <c r="A1433" s="30" t="s">
        <v>619</v>
      </c>
      <c r="B1433" s="30" t="s">
        <v>333</v>
      </c>
      <c r="C1433" s="30">
        <v>10</v>
      </c>
      <c r="D1433" s="190">
        <v>303778.66499999998</v>
      </c>
      <c r="E1433" s="30" t="s">
        <v>10</v>
      </c>
      <c r="F1433" s="190">
        <v>1273.038</v>
      </c>
      <c r="G1433" s="30" t="s">
        <v>335</v>
      </c>
      <c r="H1433" s="30"/>
      <c r="J1433" s="5" t="s">
        <v>627</v>
      </c>
      <c r="K1433" s="72" t="s">
        <v>340</v>
      </c>
      <c r="L1433" s="72" t="s">
        <v>341</v>
      </c>
      <c r="M1433" s="21" t="s">
        <v>162</v>
      </c>
      <c r="N1433" s="78"/>
      <c r="O1433" s="44"/>
    </row>
    <row r="1434" spans="1:15" x14ac:dyDescent="0.25">
      <c r="A1434" s="30" t="s">
        <v>620</v>
      </c>
      <c r="B1434" s="30" t="s">
        <v>333</v>
      </c>
      <c r="C1434" s="30">
        <v>10</v>
      </c>
      <c r="D1434" s="190">
        <v>518186.43400000001</v>
      </c>
      <c r="E1434" s="30" t="s">
        <v>10</v>
      </c>
      <c r="F1434" s="190">
        <v>7099.8879999999999</v>
      </c>
      <c r="G1434" s="30" t="s">
        <v>335</v>
      </c>
      <c r="H1434" s="30"/>
      <c r="J1434" s="6">
        <v>10</v>
      </c>
      <c r="K1434" s="119">
        <f>D1433</f>
        <v>303778.66499999998</v>
      </c>
      <c r="L1434" s="119">
        <f>D1434</f>
        <v>518186.43400000001</v>
      </c>
      <c r="M1434" s="22">
        <f>(K1434/L1434-1)</f>
        <v>-0.41376569306328081</v>
      </c>
    </row>
    <row r="1435" spans="1:15" x14ac:dyDescent="0.25">
      <c r="A1435" s="30" t="s">
        <v>625</v>
      </c>
      <c r="B1435" s="30" t="s">
        <v>333</v>
      </c>
      <c r="C1435" s="30">
        <v>10</v>
      </c>
      <c r="D1435" s="190">
        <v>176914.63500000001</v>
      </c>
      <c r="E1435" s="30" t="s">
        <v>10</v>
      </c>
      <c r="F1435" s="190">
        <v>2569.2800000000002</v>
      </c>
      <c r="G1435" s="30" t="s">
        <v>335</v>
      </c>
      <c r="H1435" s="30"/>
      <c r="J1435" s="6">
        <v>5</v>
      </c>
      <c r="K1435" s="119">
        <f>D1435</f>
        <v>176914.63500000001</v>
      </c>
      <c r="L1435" s="119">
        <f>D1436</f>
        <v>359767.77500000002</v>
      </c>
      <c r="M1435" s="22">
        <f t="shared" ref="M1435:M1438" si="149">(K1435/L1435-1)</f>
        <v>-0.50825324752890944</v>
      </c>
    </row>
    <row r="1436" spans="1:15" x14ac:dyDescent="0.25">
      <c r="A1436" s="30" t="s">
        <v>626</v>
      </c>
      <c r="B1436" s="30" t="s">
        <v>333</v>
      </c>
      <c r="C1436" s="30">
        <v>10</v>
      </c>
      <c r="D1436" s="190">
        <v>359767.77500000002</v>
      </c>
      <c r="E1436" s="30" t="s">
        <v>10</v>
      </c>
      <c r="F1436" s="190">
        <v>4290.1369999999997</v>
      </c>
      <c r="G1436" s="30" t="s">
        <v>335</v>
      </c>
      <c r="H1436" s="30"/>
      <c r="J1436" s="6">
        <v>3</v>
      </c>
      <c r="K1436" s="119">
        <f>D1437</f>
        <v>123474.106</v>
      </c>
      <c r="L1436" s="119">
        <f>D1438</f>
        <v>229977.326</v>
      </c>
      <c r="M1436" s="22">
        <f t="shared" si="149"/>
        <v>-0.46310313217573462</v>
      </c>
    </row>
    <row r="1437" spans="1:15" x14ac:dyDescent="0.25">
      <c r="A1437" s="30" t="s">
        <v>623</v>
      </c>
      <c r="B1437" s="30" t="s">
        <v>333</v>
      </c>
      <c r="C1437" s="30">
        <v>10</v>
      </c>
      <c r="D1437" s="190">
        <v>123474.106</v>
      </c>
      <c r="E1437" s="30" t="s">
        <v>10</v>
      </c>
      <c r="F1437" s="190">
        <v>2845.1320000000001</v>
      </c>
      <c r="G1437" s="30" t="s">
        <v>335</v>
      </c>
      <c r="H1437" s="30"/>
      <c r="J1437" s="67">
        <v>2</v>
      </c>
      <c r="K1437" s="119">
        <f>D1439</f>
        <v>94825.161999999997</v>
      </c>
      <c r="L1437" s="119">
        <f>D1440</f>
        <v>117489.077</v>
      </c>
      <c r="M1437" s="22">
        <f t="shared" si="149"/>
        <v>-0.19290231550631731</v>
      </c>
    </row>
    <row r="1438" spans="1:15" ht="20" thickBot="1" x14ac:dyDescent="0.3">
      <c r="A1438" s="30" t="s">
        <v>624</v>
      </c>
      <c r="B1438" s="30" t="s">
        <v>333</v>
      </c>
      <c r="C1438" s="30">
        <v>10</v>
      </c>
      <c r="D1438" s="190">
        <v>229977.326</v>
      </c>
      <c r="E1438" s="30" t="s">
        <v>10</v>
      </c>
      <c r="F1438" s="190">
        <v>11381.609</v>
      </c>
      <c r="G1438" s="30" t="s">
        <v>335</v>
      </c>
      <c r="H1438" s="30"/>
      <c r="J1438" s="68">
        <v>1</v>
      </c>
      <c r="K1438" s="120">
        <f>D1441</f>
        <v>63665.196000000004</v>
      </c>
      <c r="L1438" s="120">
        <f>D1442</f>
        <v>28813.66</v>
      </c>
      <c r="M1438" s="23">
        <f t="shared" si="149"/>
        <v>1.2095490819285022</v>
      </c>
    </row>
    <row r="1439" spans="1:15" x14ac:dyDescent="0.25">
      <c r="A1439" s="30" t="s">
        <v>621</v>
      </c>
      <c r="B1439" s="30" t="s">
        <v>333</v>
      </c>
      <c r="C1439" s="30">
        <v>10</v>
      </c>
      <c r="D1439" s="190">
        <v>94825.161999999997</v>
      </c>
      <c r="E1439" s="30" t="s">
        <v>10</v>
      </c>
      <c r="F1439" s="190">
        <v>1841.3710000000001</v>
      </c>
      <c r="G1439" s="30" t="s">
        <v>335</v>
      </c>
      <c r="H1439" s="30"/>
    </row>
    <row r="1440" spans="1:15" x14ac:dyDescent="0.25">
      <c r="A1440" s="30" t="s">
        <v>622</v>
      </c>
      <c r="B1440" s="30" t="s">
        <v>333</v>
      </c>
      <c r="C1440" s="30">
        <v>10</v>
      </c>
      <c r="D1440" s="190">
        <v>117489.077</v>
      </c>
      <c r="E1440" s="30" t="s">
        <v>10</v>
      </c>
      <c r="F1440" s="190">
        <v>5445.6390000000001</v>
      </c>
      <c r="G1440" s="30" t="s">
        <v>335</v>
      </c>
      <c r="H1440" s="30"/>
    </row>
    <row r="1441" spans="1:15" x14ac:dyDescent="0.25">
      <c r="A1441" s="30" t="s">
        <v>776</v>
      </c>
      <c r="B1441" s="30" t="s">
        <v>333</v>
      </c>
      <c r="C1441" s="30">
        <v>10</v>
      </c>
      <c r="D1441" s="190">
        <v>63665.196000000004</v>
      </c>
      <c r="E1441" s="30" t="s">
        <v>10</v>
      </c>
      <c r="F1441" s="190">
        <v>561.78800000000001</v>
      </c>
      <c r="G1441" s="30" t="s">
        <v>335</v>
      </c>
      <c r="H1441" s="30"/>
    </row>
    <row r="1442" spans="1:15" x14ac:dyDescent="0.25">
      <c r="A1442" s="30" t="s">
        <v>777</v>
      </c>
      <c r="B1442" s="30" t="s">
        <v>333</v>
      </c>
      <c r="C1442" s="30">
        <v>10</v>
      </c>
      <c r="D1442" s="190">
        <v>28813.66</v>
      </c>
      <c r="E1442" s="30" t="s">
        <v>10</v>
      </c>
      <c r="F1442" s="190">
        <v>81.165000000000006</v>
      </c>
      <c r="G1442" s="30" t="s">
        <v>335</v>
      </c>
      <c r="H1442" s="30"/>
    </row>
    <row r="1444" spans="1:15" x14ac:dyDescent="0.25">
      <c r="A1444" s="30" t="s">
        <v>628</v>
      </c>
      <c r="B1444" s="30"/>
      <c r="C1444" s="30"/>
      <c r="D1444" s="190"/>
      <c r="E1444" s="30"/>
      <c r="F1444" s="190"/>
      <c r="G1444" s="30"/>
      <c r="H1444" s="30"/>
    </row>
    <row r="1445" spans="1:15" ht="20" thickBot="1" x14ac:dyDescent="0.3">
      <c r="A1445" s="30" t="s">
        <v>2</v>
      </c>
      <c r="B1445" s="30" t="s">
        <v>3</v>
      </c>
      <c r="C1445" s="30" t="s">
        <v>4</v>
      </c>
      <c r="D1445" s="190" t="s">
        <v>5</v>
      </c>
      <c r="E1445" s="30" t="s">
        <v>6</v>
      </c>
      <c r="F1445" s="190" t="s">
        <v>7</v>
      </c>
      <c r="G1445" s="30"/>
      <c r="H1445" s="30"/>
    </row>
    <row r="1446" spans="1:15" x14ac:dyDescent="0.25">
      <c r="A1446" s="30" t="s">
        <v>629</v>
      </c>
      <c r="B1446" s="30" t="s">
        <v>333</v>
      </c>
      <c r="C1446" s="30">
        <v>10</v>
      </c>
      <c r="D1446" s="190">
        <v>791241.75399999996</v>
      </c>
      <c r="E1446" s="30" t="s">
        <v>10</v>
      </c>
      <c r="F1446" s="190">
        <v>6307.1970000000001</v>
      </c>
      <c r="G1446" s="30" t="s">
        <v>335</v>
      </c>
      <c r="H1446" s="30"/>
      <c r="J1446" s="5" t="s">
        <v>628</v>
      </c>
      <c r="K1446" s="72" t="s">
        <v>340</v>
      </c>
      <c r="L1446" s="72" t="s">
        <v>341</v>
      </c>
      <c r="M1446" s="17" t="s">
        <v>162</v>
      </c>
      <c r="N1446" s="72" t="s">
        <v>342</v>
      </c>
      <c r="O1446" s="21" t="s">
        <v>162</v>
      </c>
    </row>
    <row r="1447" spans="1:15" x14ac:dyDescent="0.25">
      <c r="A1447" s="30" t="s">
        <v>630</v>
      </c>
      <c r="B1447" s="30" t="s">
        <v>333</v>
      </c>
      <c r="C1447" s="30">
        <v>10</v>
      </c>
      <c r="D1447" s="190">
        <v>528134.625</v>
      </c>
      <c r="E1447" s="30" t="s">
        <v>10</v>
      </c>
      <c r="F1447" s="190">
        <v>9297.0470000000005</v>
      </c>
      <c r="G1447" s="30" t="s">
        <v>335</v>
      </c>
      <c r="H1447" s="30"/>
      <c r="J1447" s="6">
        <v>100000</v>
      </c>
      <c r="K1447" s="119">
        <f>D1446</f>
        <v>791241.75399999996</v>
      </c>
      <c r="L1447" s="119">
        <f>D1447</f>
        <v>528134.625</v>
      </c>
      <c r="M1447" s="18">
        <f>(K1447/L1447-1)</f>
        <v>0.49818193419906898</v>
      </c>
      <c r="N1447" s="73">
        <f>D1448</f>
        <v>569035.36600000004</v>
      </c>
      <c r="O1447" s="22">
        <f>(K1447/N1447-1)</f>
        <v>0.39049662161068555</v>
      </c>
    </row>
    <row r="1448" spans="1:15" x14ac:dyDescent="0.25">
      <c r="A1448" s="30" t="s">
        <v>631</v>
      </c>
      <c r="B1448" s="30" t="s">
        <v>333</v>
      </c>
      <c r="C1448" s="30">
        <v>10</v>
      </c>
      <c r="D1448" s="190">
        <v>569035.36600000004</v>
      </c>
      <c r="E1448" s="30" t="s">
        <v>10</v>
      </c>
      <c r="F1448" s="190">
        <v>40349.050999999999</v>
      </c>
      <c r="G1448" s="30" t="s">
        <v>335</v>
      </c>
      <c r="H1448" s="30"/>
      <c r="J1448" s="6">
        <v>50000</v>
      </c>
      <c r="K1448" s="119">
        <f>D1449</f>
        <v>393679.09600000002</v>
      </c>
      <c r="L1448" s="119">
        <f>D1450</f>
        <v>261854.905</v>
      </c>
      <c r="M1448" s="18">
        <f t="shared" ref="M1448:M1451" si="150">(K1448/L1448-1)</f>
        <v>0.50342456254542967</v>
      </c>
      <c r="N1448" s="73">
        <f>D1451</f>
        <v>278350.01799999998</v>
      </c>
      <c r="O1448" s="22">
        <f t="shared" ref="O1448:O1451" si="151">(K1448/N1448-1)</f>
        <v>0.41433113181979397</v>
      </c>
    </row>
    <row r="1449" spans="1:15" x14ac:dyDescent="0.25">
      <c r="A1449" s="30" t="s">
        <v>632</v>
      </c>
      <c r="B1449" s="30" t="s">
        <v>333</v>
      </c>
      <c r="C1449" s="30">
        <v>10</v>
      </c>
      <c r="D1449" s="190">
        <v>393679.09600000002</v>
      </c>
      <c r="E1449" s="30" t="s">
        <v>10</v>
      </c>
      <c r="F1449" s="190">
        <v>8391.1710000000003</v>
      </c>
      <c r="G1449" s="30" t="s">
        <v>335</v>
      </c>
      <c r="H1449" s="30"/>
      <c r="J1449" s="6">
        <v>10000</v>
      </c>
      <c r="K1449" s="119">
        <f>D1452</f>
        <v>79943.172000000006</v>
      </c>
      <c r="L1449" s="119">
        <f>D1453</f>
        <v>57192.792999999998</v>
      </c>
      <c r="M1449" s="18">
        <f t="shared" si="150"/>
        <v>0.39778401799681307</v>
      </c>
      <c r="N1449" s="73">
        <f>D1454</f>
        <v>62943.008999999998</v>
      </c>
      <c r="O1449" s="22">
        <f t="shared" si="151"/>
        <v>0.2700881840586935</v>
      </c>
    </row>
    <row r="1450" spans="1:15" x14ac:dyDescent="0.25">
      <c r="A1450" s="30" t="s">
        <v>633</v>
      </c>
      <c r="B1450" s="30" t="s">
        <v>333</v>
      </c>
      <c r="C1450" s="30">
        <v>10</v>
      </c>
      <c r="D1450" s="190">
        <v>261854.905</v>
      </c>
      <c r="E1450" s="30" t="s">
        <v>10</v>
      </c>
      <c r="F1450" s="190">
        <v>4567.8440000000001</v>
      </c>
      <c r="G1450" s="30" t="s">
        <v>335</v>
      </c>
      <c r="H1450" s="30"/>
      <c r="J1450" s="67">
        <v>1000</v>
      </c>
      <c r="K1450" s="119">
        <f>D1455</f>
        <v>8990.3240000000005</v>
      </c>
      <c r="L1450" s="119">
        <f>D1456</f>
        <v>6849.6239999999998</v>
      </c>
      <c r="M1450" s="18">
        <f t="shared" si="150"/>
        <v>0.31252810373240947</v>
      </c>
      <c r="N1450" s="73">
        <f>D1457</f>
        <v>5853.2370000000001</v>
      </c>
      <c r="O1450" s="22">
        <f t="shared" si="151"/>
        <v>0.53595762481512366</v>
      </c>
    </row>
    <row r="1451" spans="1:15" ht="20" thickBot="1" x14ac:dyDescent="0.3">
      <c r="A1451" s="30" t="s">
        <v>634</v>
      </c>
      <c r="B1451" s="30" t="s">
        <v>333</v>
      </c>
      <c r="C1451" s="30">
        <v>10</v>
      </c>
      <c r="D1451" s="190">
        <v>278350.01799999998</v>
      </c>
      <c r="E1451" s="30" t="s">
        <v>10</v>
      </c>
      <c r="F1451" s="190">
        <v>6402.0649999999996</v>
      </c>
      <c r="G1451" s="30" t="s">
        <v>335</v>
      </c>
      <c r="H1451" s="30"/>
      <c r="J1451" s="68">
        <v>100</v>
      </c>
      <c r="K1451" s="120">
        <f>D1458</f>
        <v>815.81299999999999</v>
      </c>
      <c r="L1451" s="120">
        <f>D1459</f>
        <v>389.68</v>
      </c>
      <c r="M1451" s="19">
        <f t="shared" si="150"/>
        <v>1.0935459864504207</v>
      </c>
      <c r="N1451" s="74">
        <f>D1460</f>
        <v>491.75700000000001</v>
      </c>
      <c r="O1451" s="23">
        <f t="shared" si="151"/>
        <v>0.65897587629662624</v>
      </c>
    </row>
    <row r="1452" spans="1:15" x14ac:dyDescent="0.25">
      <c r="A1452" s="30" t="s">
        <v>635</v>
      </c>
      <c r="B1452" s="30" t="s">
        <v>333</v>
      </c>
      <c r="C1452" s="30">
        <v>10</v>
      </c>
      <c r="D1452" s="190">
        <v>79943.172000000006</v>
      </c>
      <c r="E1452" s="30" t="s">
        <v>10</v>
      </c>
      <c r="F1452" s="190">
        <v>573.529</v>
      </c>
      <c r="G1452" s="30" t="s">
        <v>335</v>
      </c>
      <c r="H1452" s="30"/>
    </row>
    <row r="1453" spans="1:15" x14ac:dyDescent="0.25">
      <c r="A1453" s="30" t="s">
        <v>636</v>
      </c>
      <c r="B1453" s="30" t="s">
        <v>333</v>
      </c>
      <c r="C1453" s="30">
        <v>10</v>
      </c>
      <c r="D1453" s="190">
        <v>57192.792999999998</v>
      </c>
      <c r="E1453" s="30" t="s">
        <v>10</v>
      </c>
      <c r="F1453" s="190">
        <v>5262.7370000000001</v>
      </c>
      <c r="G1453" s="30" t="s">
        <v>335</v>
      </c>
      <c r="H1453" s="30"/>
    </row>
    <row r="1454" spans="1:15" x14ac:dyDescent="0.25">
      <c r="A1454" s="30" t="s">
        <v>637</v>
      </c>
      <c r="B1454" s="30" t="s">
        <v>333</v>
      </c>
      <c r="C1454" s="30">
        <v>10</v>
      </c>
      <c r="D1454" s="190">
        <v>62943.008999999998</v>
      </c>
      <c r="E1454" s="30" t="s">
        <v>10</v>
      </c>
      <c r="F1454" s="190">
        <v>1504.4580000000001</v>
      </c>
      <c r="G1454" s="30" t="s">
        <v>335</v>
      </c>
      <c r="H1454" s="30"/>
    </row>
    <row r="1455" spans="1:15" x14ac:dyDescent="0.25">
      <c r="A1455" s="30" t="s">
        <v>638</v>
      </c>
      <c r="B1455" s="30" t="s">
        <v>333</v>
      </c>
      <c r="C1455" s="30">
        <v>10</v>
      </c>
      <c r="D1455" s="190">
        <v>8990.3240000000005</v>
      </c>
      <c r="E1455" s="30" t="s">
        <v>10</v>
      </c>
      <c r="F1455" s="190">
        <v>55.722000000000001</v>
      </c>
      <c r="G1455" s="30" t="s">
        <v>335</v>
      </c>
      <c r="H1455" s="30"/>
    </row>
    <row r="1456" spans="1:15" x14ac:dyDescent="0.25">
      <c r="A1456" s="30" t="s">
        <v>639</v>
      </c>
      <c r="B1456" s="30" t="s">
        <v>333</v>
      </c>
      <c r="C1456" s="30">
        <v>10</v>
      </c>
      <c r="D1456" s="190">
        <v>6849.6239999999998</v>
      </c>
      <c r="E1456" s="30" t="s">
        <v>10</v>
      </c>
      <c r="F1456" s="190">
        <v>62.831000000000003</v>
      </c>
      <c r="G1456" s="30" t="s">
        <v>335</v>
      </c>
      <c r="H1456" s="30"/>
    </row>
    <row r="1457" spans="1:15" x14ac:dyDescent="0.25">
      <c r="A1457" s="30" t="s">
        <v>640</v>
      </c>
      <c r="B1457" s="30" t="s">
        <v>333</v>
      </c>
      <c r="C1457" s="30">
        <v>10</v>
      </c>
      <c r="D1457" s="190">
        <v>5853.2370000000001</v>
      </c>
      <c r="E1457" s="30" t="s">
        <v>10</v>
      </c>
      <c r="F1457" s="190">
        <v>76.588999999999999</v>
      </c>
      <c r="G1457" s="30" t="s">
        <v>335</v>
      </c>
      <c r="H1457" s="30"/>
    </row>
    <row r="1458" spans="1:15" x14ac:dyDescent="0.25">
      <c r="A1458" s="30" t="s">
        <v>641</v>
      </c>
      <c r="B1458" s="30" t="s">
        <v>333</v>
      </c>
      <c r="C1458" s="30">
        <v>10</v>
      </c>
      <c r="D1458" s="190">
        <v>815.81299999999999</v>
      </c>
      <c r="E1458" s="30" t="s">
        <v>10</v>
      </c>
      <c r="F1458" s="190">
        <v>17.670999999999999</v>
      </c>
      <c r="G1458" s="30" t="s">
        <v>335</v>
      </c>
      <c r="H1458" s="30"/>
    </row>
    <row r="1459" spans="1:15" x14ac:dyDescent="0.25">
      <c r="A1459" s="30" t="s">
        <v>642</v>
      </c>
      <c r="B1459" s="30" t="s">
        <v>333</v>
      </c>
      <c r="C1459" s="30">
        <v>10</v>
      </c>
      <c r="D1459" s="190">
        <v>389.68</v>
      </c>
      <c r="E1459" s="30" t="s">
        <v>10</v>
      </c>
      <c r="F1459" s="190">
        <v>1.113</v>
      </c>
      <c r="G1459" s="30" t="s">
        <v>335</v>
      </c>
      <c r="H1459" s="30"/>
    </row>
    <row r="1460" spans="1:15" x14ac:dyDescent="0.25">
      <c r="A1460" s="30" t="s">
        <v>643</v>
      </c>
      <c r="B1460" s="30" t="s">
        <v>333</v>
      </c>
      <c r="C1460" s="30">
        <v>10</v>
      </c>
      <c r="D1460" s="190">
        <v>491.75700000000001</v>
      </c>
      <c r="E1460" s="30" t="s">
        <v>10</v>
      </c>
      <c r="F1460" s="190">
        <v>8.9489999999999998</v>
      </c>
      <c r="G1460" s="30" t="s">
        <v>335</v>
      </c>
      <c r="H1460" s="30"/>
    </row>
    <row r="1461" spans="1:15" x14ac:dyDescent="0.25">
      <c r="A1461" s="30"/>
      <c r="B1461" s="30"/>
      <c r="C1461" s="30"/>
      <c r="D1461" s="190"/>
      <c r="E1461" s="30"/>
      <c r="F1461" s="190"/>
      <c r="G1461" s="30"/>
      <c r="H1461" s="30"/>
    </row>
    <row r="1462" spans="1:15" x14ac:dyDescent="0.25">
      <c r="A1462" s="30" t="s">
        <v>644</v>
      </c>
      <c r="B1462" s="30"/>
      <c r="C1462" s="30"/>
      <c r="D1462" s="190"/>
      <c r="E1462" s="30"/>
      <c r="F1462" s="190"/>
      <c r="G1462" s="30"/>
      <c r="H1462" s="30"/>
    </row>
    <row r="1463" spans="1:15" ht="20" thickBot="1" x14ac:dyDescent="0.3">
      <c r="A1463" s="30" t="s">
        <v>2</v>
      </c>
      <c r="B1463" s="30" t="s">
        <v>3</v>
      </c>
      <c r="C1463" s="30" t="s">
        <v>4</v>
      </c>
      <c r="D1463" s="190" t="s">
        <v>5</v>
      </c>
      <c r="E1463" s="30" t="s">
        <v>6</v>
      </c>
      <c r="F1463" s="190" t="s">
        <v>7</v>
      </c>
      <c r="G1463" s="30"/>
      <c r="H1463" s="30"/>
    </row>
    <row r="1464" spans="1:15" x14ac:dyDescent="0.25">
      <c r="A1464" s="30" t="s">
        <v>645</v>
      </c>
      <c r="B1464" s="30" t="s">
        <v>333</v>
      </c>
      <c r="C1464" s="30">
        <v>10</v>
      </c>
      <c r="D1464" s="190">
        <v>410754.78200000001</v>
      </c>
      <c r="E1464" s="30" t="s">
        <v>10</v>
      </c>
      <c r="F1464" s="190">
        <v>12037.57</v>
      </c>
      <c r="G1464" s="30" t="s">
        <v>335</v>
      </c>
      <c r="H1464" s="30"/>
      <c r="J1464" s="5" t="s">
        <v>644</v>
      </c>
      <c r="K1464" s="72" t="s">
        <v>340</v>
      </c>
      <c r="L1464" s="72" t="s">
        <v>341</v>
      </c>
      <c r="M1464" s="17" t="s">
        <v>162</v>
      </c>
      <c r="N1464" s="72" t="s">
        <v>342</v>
      </c>
      <c r="O1464" s="21" t="s">
        <v>162</v>
      </c>
    </row>
    <row r="1465" spans="1:15" x14ac:dyDescent="0.25">
      <c r="A1465" s="30" t="s">
        <v>646</v>
      </c>
      <c r="B1465" s="30" t="s">
        <v>333</v>
      </c>
      <c r="C1465" s="30">
        <v>10</v>
      </c>
      <c r="D1465" s="190">
        <v>139881.34</v>
      </c>
      <c r="E1465" s="30" t="s">
        <v>10</v>
      </c>
      <c r="F1465" s="190">
        <v>2373.6280000000002</v>
      </c>
      <c r="G1465" s="30" t="s">
        <v>335</v>
      </c>
      <c r="H1465" s="30"/>
      <c r="J1465" s="6">
        <v>100000</v>
      </c>
      <c r="K1465" s="119">
        <f>D1464</f>
        <v>410754.78200000001</v>
      </c>
      <c r="L1465" s="119">
        <f>D1465</f>
        <v>139881.34</v>
      </c>
      <c r="M1465" s="18">
        <f>(K1465/L1465-1)</f>
        <v>1.9364515810328955</v>
      </c>
      <c r="N1465" s="73">
        <f>D1466</f>
        <v>286243.87300000002</v>
      </c>
      <c r="O1465" s="22">
        <f>(K1465/N1465-1)</f>
        <v>0.43498191837279943</v>
      </c>
    </row>
    <row r="1466" spans="1:15" x14ac:dyDescent="0.25">
      <c r="A1466" s="30" t="s">
        <v>647</v>
      </c>
      <c r="B1466" s="30" t="s">
        <v>333</v>
      </c>
      <c r="C1466" s="30">
        <v>10</v>
      </c>
      <c r="D1466" s="190">
        <v>286243.87300000002</v>
      </c>
      <c r="E1466" s="30" t="s">
        <v>10</v>
      </c>
      <c r="F1466" s="190">
        <v>15293.308999999999</v>
      </c>
      <c r="G1466" s="30" t="s">
        <v>335</v>
      </c>
      <c r="H1466" s="30"/>
      <c r="J1466" s="6">
        <v>50000</v>
      </c>
      <c r="K1466" s="119">
        <f>D1467</f>
        <v>201425.59400000001</v>
      </c>
      <c r="L1466" s="119">
        <f>D1468</f>
        <v>69367.880999999994</v>
      </c>
      <c r="M1466" s="18">
        <f t="shared" ref="M1466:M1469" si="152">(K1466/L1466-1)</f>
        <v>1.9037299553665195</v>
      </c>
      <c r="N1466" s="73">
        <f>D1469</f>
        <v>140175.07999999999</v>
      </c>
      <c r="O1466" s="22">
        <f t="shared" ref="O1466:O1469" si="153">(K1466/N1466-1)</f>
        <v>0.43695722520721958</v>
      </c>
    </row>
    <row r="1467" spans="1:15" x14ac:dyDescent="0.25">
      <c r="A1467" s="30" t="s">
        <v>648</v>
      </c>
      <c r="B1467" s="30" t="s">
        <v>333</v>
      </c>
      <c r="C1467" s="30">
        <v>10</v>
      </c>
      <c r="D1467" s="190">
        <v>201425.59400000001</v>
      </c>
      <c r="E1467" s="30" t="s">
        <v>10</v>
      </c>
      <c r="F1467" s="190">
        <v>9031.3050000000003</v>
      </c>
      <c r="G1467" s="30" t="s">
        <v>335</v>
      </c>
      <c r="H1467" s="30"/>
      <c r="J1467" s="6">
        <v>10000</v>
      </c>
      <c r="K1467" s="119">
        <f>D1470</f>
        <v>41592.014000000003</v>
      </c>
      <c r="L1467" s="119">
        <f>D1471</f>
        <v>14480.166999999999</v>
      </c>
      <c r="M1467" s="18">
        <f t="shared" si="152"/>
        <v>1.8723435302921581</v>
      </c>
      <c r="N1467" s="73">
        <f>D1472</f>
        <v>30083.495999999999</v>
      </c>
      <c r="O1467" s="22">
        <f t="shared" si="153"/>
        <v>0.38255254641947212</v>
      </c>
    </row>
    <row r="1468" spans="1:15" x14ac:dyDescent="0.25">
      <c r="A1468" s="30" t="s">
        <v>649</v>
      </c>
      <c r="B1468" s="30" t="s">
        <v>333</v>
      </c>
      <c r="C1468" s="30">
        <v>10</v>
      </c>
      <c r="D1468" s="190">
        <v>69367.880999999994</v>
      </c>
      <c r="E1468" s="30" t="s">
        <v>10</v>
      </c>
      <c r="F1468" s="190">
        <v>110.77</v>
      </c>
      <c r="G1468" s="30" t="s">
        <v>335</v>
      </c>
      <c r="H1468" s="30"/>
      <c r="J1468" s="67">
        <v>1000</v>
      </c>
      <c r="K1468" s="119">
        <f>D1473</f>
        <v>5246.2070000000003</v>
      </c>
      <c r="L1468" s="119">
        <f>D1474</f>
        <v>930.63699999999994</v>
      </c>
      <c r="M1468" s="18">
        <f t="shared" si="152"/>
        <v>4.637221601978001</v>
      </c>
      <c r="N1468" s="73">
        <f>D1475</f>
        <v>3327.386</v>
      </c>
      <c r="O1468" s="22">
        <f t="shared" si="153"/>
        <v>0.57667520389879634</v>
      </c>
    </row>
    <row r="1469" spans="1:15" ht="20" thickBot="1" x14ac:dyDescent="0.3">
      <c r="A1469" s="30" t="s">
        <v>650</v>
      </c>
      <c r="B1469" s="30" t="s">
        <v>333</v>
      </c>
      <c r="C1469" s="30">
        <v>10</v>
      </c>
      <c r="D1469" s="190">
        <v>140175.07999999999</v>
      </c>
      <c r="E1469" s="30" t="s">
        <v>10</v>
      </c>
      <c r="F1469" s="190">
        <v>1073.1120000000001</v>
      </c>
      <c r="G1469" s="30" t="s">
        <v>335</v>
      </c>
      <c r="H1469" s="30"/>
      <c r="J1469" s="68">
        <v>100</v>
      </c>
      <c r="K1469" s="120">
        <f>D1476</f>
        <v>415.41199999999998</v>
      </c>
      <c r="L1469" s="120">
        <f>D1477</f>
        <v>95.460999999999999</v>
      </c>
      <c r="M1469" s="19">
        <f t="shared" si="152"/>
        <v>3.3516409842763011</v>
      </c>
      <c r="N1469" s="74">
        <f>D1478</f>
        <v>283.08300000000003</v>
      </c>
      <c r="O1469" s="23">
        <f t="shared" si="153"/>
        <v>0.46745654101447265</v>
      </c>
    </row>
    <row r="1470" spans="1:15" x14ac:dyDescent="0.25">
      <c r="A1470" s="30" t="s">
        <v>651</v>
      </c>
      <c r="B1470" s="30" t="s">
        <v>333</v>
      </c>
      <c r="C1470" s="30">
        <v>10</v>
      </c>
      <c r="D1470" s="190">
        <v>41592.014000000003</v>
      </c>
      <c r="E1470" s="30" t="s">
        <v>10</v>
      </c>
      <c r="F1470" s="190">
        <v>457.02600000000001</v>
      </c>
      <c r="G1470" s="30" t="s">
        <v>335</v>
      </c>
      <c r="H1470" s="30"/>
    </row>
    <row r="1471" spans="1:15" x14ac:dyDescent="0.25">
      <c r="A1471" s="30" t="s">
        <v>652</v>
      </c>
      <c r="B1471" s="30" t="s">
        <v>333</v>
      </c>
      <c r="C1471" s="30">
        <v>10</v>
      </c>
      <c r="D1471" s="190">
        <v>14480.166999999999</v>
      </c>
      <c r="E1471" s="30" t="s">
        <v>10</v>
      </c>
      <c r="F1471" s="190">
        <v>331.22199999999998</v>
      </c>
      <c r="G1471" s="30" t="s">
        <v>335</v>
      </c>
      <c r="H1471" s="30"/>
    </row>
    <row r="1472" spans="1:15" x14ac:dyDescent="0.25">
      <c r="A1472" s="30" t="s">
        <v>653</v>
      </c>
      <c r="B1472" s="30" t="s">
        <v>333</v>
      </c>
      <c r="C1472" s="30">
        <v>10</v>
      </c>
      <c r="D1472" s="190">
        <v>30083.495999999999</v>
      </c>
      <c r="E1472" s="30" t="s">
        <v>10</v>
      </c>
      <c r="F1472" s="190">
        <v>2329.8539999999998</v>
      </c>
      <c r="G1472" s="30" t="s">
        <v>335</v>
      </c>
      <c r="H1472" s="30"/>
    </row>
    <row r="1473" spans="1:17" x14ac:dyDescent="0.25">
      <c r="A1473" s="30" t="s">
        <v>654</v>
      </c>
      <c r="B1473" s="30" t="s">
        <v>333</v>
      </c>
      <c r="C1473" s="30">
        <v>10</v>
      </c>
      <c r="D1473" s="190">
        <v>5246.2070000000003</v>
      </c>
      <c r="E1473" s="30" t="s">
        <v>10</v>
      </c>
      <c r="F1473" s="190">
        <v>30.863</v>
      </c>
      <c r="G1473" s="30" t="s">
        <v>335</v>
      </c>
      <c r="H1473" s="30"/>
    </row>
    <row r="1474" spans="1:17" x14ac:dyDescent="0.25">
      <c r="A1474" s="30" t="s">
        <v>655</v>
      </c>
      <c r="B1474" s="30" t="s">
        <v>333</v>
      </c>
      <c r="C1474" s="30">
        <v>10</v>
      </c>
      <c r="D1474" s="190">
        <v>930.63699999999994</v>
      </c>
      <c r="E1474" s="30" t="s">
        <v>10</v>
      </c>
      <c r="F1474" s="190">
        <v>7.1360000000000001</v>
      </c>
      <c r="G1474" s="30" t="s">
        <v>335</v>
      </c>
      <c r="H1474" s="30"/>
    </row>
    <row r="1475" spans="1:17" x14ac:dyDescent="0.25">
      <c r="A1475" s="30" t="s">
        <v>656</v>
      </c>
      <c r="B1475" s="30" t="s">
        <v>333</v>
      </c>
      <c r="C1475" s="30">
        <v>10</v>
      </c>
      <c r="D1475" s="190">
        <v>3327.386</v>
      </c>
      <c r="E1475" s="30" t="s">
        <v>10</v>
      </c>
      <c r="F1475" s="190">
        <v>49.697000000000003</v>
      </c>
      <c r="G1475" s="30" t="s">
        <v>335</v>
      </c>
      <c r="H1475" s="30"/>
    </row>
    <row r="1476" spans="1:17" x14ac:dyDescent="0.25">
      <c r="A1476" s="30" t="s">
        <v>657</v>
      </c>
      <c r="B1476" s="30" t="s">
        <v>333</v>
      </c>
      <c r="C1476" s="30">
        <v>10</v>
      </c>
      <c r="D1476" s="190">
        <v>415.41199999999998</v>
      </c>
      <c r="E1476" s="30" t="s">
        <v>10</v>
      </c>
      <c r="F1476" s="190">
        <v>6.5439999999999996</v>
      </c>
      <c r="G1476" s="30" t="s">
        <v>335</v>
      </c>
      <c r="H1476" s="30"/>
    </row>
    <row r="1477" spans="1:17" x14ac:dyDescent="0.25">
      <c r="A1477" s="30" t="s">
        <v>658</v>
      </c>
      <c r="B1477" s="30" t="s">
        <v>333</v>
      </c>
      <c r="C1477" s="30">
        <v>10</v>
      </c>
      <c r="D1477" s="190">
        <v>95.460999999999999</v>
      </c>
      <c r="E1477" s="30" t="s">
        <v>10</v>
      </c>
      <c r="F1477" s="190">
        <v>1.0569999999999999</v>
      </c>
      <c r="G1477" s="30" t="s">
        <v>335</v>
      </c>
      <c r="H1477" s="30"/>
    </row>
    <row r="1478" spans="1:17" x14ac:dyDescent="0.25">
      <c r="A1478" s="30" t="s">
        <v>659</v>
      </c>
      <c r="B1478" s="30" t="s">
        <v>333</v>
      </c>
      <c r="C1478" s="30">
        <v>10</v>
      </c>
      <c r="D1478" s="190">
        <v>283.08300000000003</v>
      </c>
      <c r="E1478" s="30" t="s">
        <v>10</v>
      </c>
      <c r="F1478" s="190">
        <v>3.6389999999999998</v>
      </c>
      <c r="G1478" s="30" t="s">
        <v>335</v>
      </c>
      <c r="H1478" s="30"/>
    </row>
    <row r="1480" spans="1:17" x14ac:dyDescent="0.25">
      <c r="A1480" s="30" t="s">
        <v>660</v>
      </c>
      <c r="B1480" s="30"/>
      <c r="C1480" s="30"/>
      <c r="D1480" s="190"/>
      <c r="E1480" s="30"/>
      <c r="F1480" s="190"/>
      <c r="G1480" s="30"/>
      <c r="H1480" s="30"/>
    </row>
    <row r="1481" spans="1:17" ht="20" thickBot="1" x14ac:dyDescent="0.3">
      <c r="A1481" s="30" t="s">
        <v>2</v>
      </c>
      <c r="B1481" s="30" t="s">
        <v>3</v>
      </c>
      <c r="C1481" s="30" t="s">
        <v>4</v>
      </c>
      <c r="D1481" s="190" t="s">
        <v>5</v>
      </c>
      <c r="E1481" s="30" t="s">
        <v>6</v>
      </c>
      <c r="F1481" s="190" t="s">
        <v>7</v>
      </c>
      <c r="G1481" s="30"/>
      <c r="H1481" s="30"/>
    </row>
    <row r="1482" spans="1:17" x14ac:dyDescent="0.25">
      <c r="A1482" s="30" t="s">
        <v>661</v>
      </c>
      <c r="B1482" s="30" t="s">
        <v>333</v>
      </c>
      <c r="C1482" s="30">
        <v>10</v>
      </c>
      <c r="D1482" s="190">
        <v>14870772.634</v>
      </c>
      <c r="E1482" s="30" t="s">
        <v>10</v>
      </c>
      <c r="F1482" s="190">
        <v>148095.14600000001</v>
      </c>
      <c r="G1482" s="30" t="s">
        <v>335</v>
      </c>
      <c r="H1482" s="30"/>
      <c r="J1482" s="70" t="s">
        <v>660</v>
      </c>
      <c r="K1482" s="72" t="s">
        <v>344</v>
      </c>
      <c r="L1482" s="72" t="s">
        <v>341</v>
      </c>
      <c r="M1482" s="17" t="s">
        <v>162</v>
      </c>
      <c r="N1482" s="72" t="s">
        <v>343</v>
      </c>
      <c r="O1482" s="17" t="s">
        <v>162</v>
      </c>
      <c r="P1482" s="72" t="s">
        <v>342</v>
      </c>
      <c r="Q1482" s="21" t="s">
        <v>162</v>
      </c>
    </row>
    <row r="1483" spans="1:17" x14ac:dyDescent="0.25">
      <c r="A1483" s="30" t="s">
        <v>662</v>
      </c>
      <c r="B1483" s="30" t="s">
        <v>333</v>
      </c>
      <c r="C1483" s="30">
        <v>10</v>
      </c>
      <c r="D1483" s="190">
        <v>15470365.488</v>
      </c>
      <c r="E1483" s="30" t="s">
        <v>10</v>
      </c>
      <c r="F1483" s="190">
        <v>114676.92</v>
      </c>
      <c r="G1483" s="30" t="s">
        <v>335</v>
      </c>
      <c r="H1483" s="30"/>
      <c r="J1483" s="6">
        <v>100000</v>
      </c>
      <c r="K1483" s="119">
        <f>D1482</f>
        <v>14870772.634</v>
      </c>
      <c r="L1483" s="119">
        <f>D1483</f>
        <v>15470365.488</v>
      </c>
      <c r="M1483" s="18">
        <f>(K1483/L1483-1)</f>
        <v>-3.8757510574982224E-2</v>
      </c>
      <c r="N1483" s="73">
        <f>D1484</f>
        <v>15364027.539000001</v>
      </c>
      <c r="O1483" s="18">
        <f>(K1483/N1483-1)</f>
        <v>-3.2104531428879812E-2</v>
      </c>
      <c r="P1483" s="73">
        <f>D1485</f>
        <v>14922144.015000001</v>
      </c>
      <c r="Q1483" s="22">
        <f>(K1483/P1483-1)</f>
        <v>-3.4426273428510568E-3</v>
      </c>
    </row>
    <row r="1484" spans="1:17" x14ac:dyDescent="0.25">
      <c r="A1484" s="30" t="s">
        <v>663</v>
      </c>
      <c r="B1484" s="30" t="s">
        <v>333</v>
      </c>
      <c r="C1484" s="30">
        <v>10</v>
      </c>
      <c r="D1484" s="190">
        <v>15364027.539000001</v>
      </c>
      <c r="E1484" s="30" t="s">
        <v>10</v>
      </c>
      <c r="F1484" s="190">
        <v>183654.81899999999</v>
      </c>
      <c r="G1484" s="30" t="s">
        <v>335</v>
      </c>
      <c r="H1484" s="30"/>
      <c r="J1484" s="6">
        <v>50000</v>
      </c>
      <c r="K1484" s="119">
        <f>D1486</f>
        <v>6817516.5310000004</v>
      </c>
      <c r="L1484" s="119">
        <f>D1487</f>
        <v>7102065.6950000003</v>
      </c>
      <c r="M1484" s="18">
        <f t="shared" ref="M1484:M1487" si="154">(K1484/L1484-1)</f>
        <v>-4.0065690211839144E-2</v>
      </c>
      <c r="N1484" s="73">
        <f>D1488</f>
        <v>7169907.8159999996</v>
      </c>
      <c r="O1484" s="18">
        <f t="shared" ref="O1484:O1487" si="155">(K1484/N1484-1)</f>
        <v>-4.9148649333206285E-2</v>
      </c>
      <c r="P1484" s="73">
        <f>D1489</f>
        <v>6980096.4680000003</v>
      </c>
      <c r="Q1484" s="22">
        <f t="shared" ref="Q1484:Q1487" si="156">(K1484/P1484-1)</f>
        <v>-2.3291932675335025E-2</v>
      </c>
    </row>
    <row r="1485" spans="1:17" x14ac:dyDescent="0.25">
      <c r="A1485" s="30" t="s">
        <v>664</v>
      </c>
      <c r="B1485" s="30" t="s">
        <v>333</v>
      </c>
      <c r="C1485" s="30">
        <v>10</v>
      </c>
      <c r="D1485" s="190">
        <v>14922144.015000001</v>
      </c>
      <c r="E1485" s="30" t="s">
        <v>10</v>
      </c>
      <c r="F1485" s="190">
        <v>425355.96799999999</v>
      </c>
      <c r="G1485" s="30" t="s">
        <v>335</v>
      </c>
      <c r="H1485" s="30"/>
      <c r="J1485" s="6">
        <v>10000</v>
      </c>
      <c r="K1485" s="119">
        <f>D1490</f>
        <v>1165313.922</v>
      </c>
      <c r="L1485" s="119">
        <f>D1491</f>
        <v>1168694.9820000001</v>
      </c>
      <c r="M1485" s="18">
        <f t="shared" si="154"/>
        <v>-2.8930217482528997E-3</v>
      </c>
      <c r="N1485" s="73">
        <f>D1492</f>
        <v>1234207.49</v>
      </c>
      <c r="O1485" s="18">
        <f t="shared" si="155"/>
        <v>-5.5820085810692976E-2</v>
      </c>
      <c r="P1485" s="73">
        <f>D1493</f>
        <v>1131924.865</v>
      </c>
      <c r="Q1485" s="22">
        <f t="shared" si="156"/>
        <v>2.9497591255758904E-2</v>
      </c>
    </row>
    <row r="1486" spans="1:17" x14ac:dyDescent="0.25">
      <c r="A1486" s="30" t="s">
        <v>665</v>
      </c>
      <c r="B1486" s="30" t="s">
        <v>333</v>
      </c>
      <c r="C1486" s="30">
        <v>10</v>
      </c>
      <c r="D1486" s="190">
        <v>6817516.5310000004</v>
      </c>
      <c r="E1486" s="30" t="s">
        <v>10</v>
      </c>
      <c r="F1486" s="190">
        <v>150430.44200000001</v>
      </c>
      <c r="G1486" s="30" t="s">
        <v>335</v>
      </c>
      <c r="H1486" s="30"/>
      <c r="J1486" s="67">
        <v>1000</v>
      </c>
      <c r="K1486" s="119">
        <f>D1494</f>
        <v>53964.703999999998</v>
      </c>
      <c r="L1486" s="119">
        <f>D1495</f>
        <v>66378.396999999997</v>
      </c>
      <c r="M1486" s="18">
        <f t="shared" si="154"/>
        <v>-0.18701405217724676</v>
      </c>
      <c r="N1486" s="73">
        <f>D1496</f>
        <v>59316.523999999998</v>
      </c>
      <c r="O1486" s="18">
        <f t="shared" si="155"/>
        <v>-9.022477446588073E-2</v>
      </c>
      <c r="P1486" s="73">
        <f>D1497</f>
        <v>61665.39</v>
      </c>
      <c r="Q1486" s="22">
        <f t="shared" si="156"/>
        <v>-0.12487857451319129</v>
      </c>
    </row>
    <row r="1487" spans="1:17" ht="20" thickBot="1" x14ac:dyDescent="0.3">
      <c r="A1487" s="30" t="s">
        <v>666</v>
      </c>
      <c r="B1487" s="30" t="s">
        <v>333</v>
      </c>
      <c r="C1487" s="30">
        <v>10</v>
      </c>
      <c r="D1487" s="190">
        <v>7102065.6950000003</v>
      </c>
      <c r="E1487" s="30" t="s">
        <v>10</v>
      </c>
      <c r="F1487" s="190">
        <v>127089.63400000001</v>
      </c>
      <c r="G1487" s="30" t="s">
        <v>335</v>
      </c>
      <c r="H1487" s="30"/>
      <c r="J1487" s="68">
        <v>100</v>
      </c>
      <c r="K1487" s="120">
        <f>D1498</f>
        <v>3743.1619999999998</v>
      </c>
      <c r="L1487" s="120">
        <f>D1499</f>
        <v>3990.8870000000002</v>
      </c>
      <c r="M1487" s="19">
        <f t="shared" si="154"/>
        <v>-6.2072667053715169E-2</v>
      </c>
      <c r="N1487" s="74">
        <f>D1500</f>
        <v>4173.8890000000001</v>
      </c>
      <c r="O1487" s="19">
        <f t="shared" si="155"/>
        <v>-0.10319560486634893</v>
      </c>
      <c r="P1487" s="74">
        <f>D1501</f>
        <v>3787.0309999999999</v>
      </c>
      <c r="Q1487" s="23">
        <f t="shared" si="156"/>
        <v>-1.1584008686488234E-2</v>
      </c>
    </row>
    <row r="1488" spans="1:17" x14ac:dyDescent="0.25">
      <c r="A1488" s="30" t="s">
        <v>667</v>
      </c>
      <c r="B1488" s="30" t="s">
        <v>333</v>
      </c>
      <c r="C1488" s="30">
        <v>10</v>
      </c>
      <c r="D1488" s="190">
        <v>7169907.8159999996</v>
      </c>
      <c r="E1488" s="30" t="s">
        <v>10</v>
      </c>
      <c r="F1488" s="190">
        <v>148838.12</v>
      </c>
      <c r="G1488" s="30" t="s">
        <v>335</v>
      </c>
      <c r="H1488" s="30"/>
    </row>
    <row r="1489" spans="1:8" x14ac:dyDescent="0.25">
      <c r="A1489" s="30" t="s">
        <v>668</v>
      </c>
      <c r="B1489" s="30" t="s">
        <v>333</v>
      </c>
      <c r="C1489" s="30">
        <v>10</v>
      </c>
      <c r="D1489" s="190">
        <v>6980096.4680000003</v>
      </c>
      <c r="E1489" s="30" t="s">
        <v>10</v>
      </c>
      <c r="F1489" s="190">
        <v>98609.471000000005</v>
      </c>
      <c r="G1489" s="30" t="s">
        <v>335</v>
      </c>
      <c r="H1489" s="30"/>
    </row>
    <row r="1490" spans="1:8" x14ac:dyDescent="0.25">
      <c r="A1490" s="30" t="s">
        <v>669</v>
      </c>
      <c r="B1490" s="30" t="s">
        <v>333</v>
      </c>
      <c r="C1490" s="30">
        <v>10</v>
      </c>
      <c r="D1490" s="190">
        <v>1165313.922</v>
      </c>
      <c r="E1490" s="30" t="s">
        <v>10</v>
      </c>
      <c r="F1490" s="190">
        <v>56473.029000000002</v>
      </c>
      <c r="G1490" s="30" t="s">
        <v>335</v>
      </c>
      <c r="H1490" s="30"/>
    </row>
    <row r="1491" spans="1:8" x14ac:dyDescent="0.25">
      <c r="A1491" s="30" t="s">
        <v>670</v>
      </c>
      <c r="B1491" s="30" t="s">
        <v>333</v>
      </c>
      <c r="C1491" s="30">
        <v>10</v>
      </c>
      <c r="D1491" s="190">
        <v>1168694.9820000001</v>
      </c>
      <c r="E1491" s="30" t="s">
        <v>10</v>
      </c>
      <c r="F1491" s="190">
        <v>47598.258000000002</v>
      </c>
      <c r="G1491" s="30" t="s">
        <v>335</v>
      </c>
      <c r="H1491" s="30"/>
    </row>
    <row r="1492" spans="1:8" x14ac:dyDescent="0.25">
      <c r="A1492" s="30" t="s">
        <v>671</v>
      </c>
      <c r="B1492" s="30" t="s">
        <v>333</v>
      </c>
      <c r="C1492" s="30">
        <v>10</v>
      </c>
      <c r="D1492" s="190">
        <v>1234207.49</v>
      </c>
      <c r="E1492" s="30" t="s">
        <v>10</v>
      </c>
      <c r="F1492" s="190">
        <v>63519.21</v>
      </c>
      <c r="G1492" s="30" t="s">
        <v>335</v>
      </c>
      <c r="H1492" s="30"/>
    </row>
    <row r="1493" spans="1:8" x14ac:dyDescent="0.25">
      <c r="A1493" s="30" t="s">
        <v>672</v>
      </c>
      <c r="B1493" s="30" t="s">
        <v>333</v>
      </c>
      <c r="C1493" s="30">
        <v>10</v>
      </c>
      <c r="D1493" s="190">
        <v>1131924.865</v>
      </c>
      <c r="E1493" s="30" t="s">
        <v>10</v>
      </c>
      <c r="F1493" s="190">
        <v>24242.694</v>
      </c>
      <c r="G1493" s="30" t="s">
        <v>335</v>
      </c>
      <c r="H1493" s="30"/>
    </row>
    <row r="1494" spans="1:8" x14ac:dyDescent="0.25">
      <c r="A1494" s="30" t="s">
        <v>673</v>
      </c>
      <c r="B1494" s="30" t="s">
        <v>333</v>
      </c>
      <c r="C1494" s="30">
        <v>10</v>
      </c>
      <c r="D1494" s="190">
        <v>53964.703999999998</v>
      </c>
      <c r="E1494" s="30" t="s">
        <v>10</v>
      </c>
      <c r="F1494" s="190">
        <v>765.00400000000002</v>
      </c>
      <c r="G1494" s="30" t="s">
        <v>335</v>
      </c>
      <c r="H1494" s="30"/>
    </row>
    <row r="1495" spans="1:8" x14ac:dyDescent="0.25">
      <c r="A1495" s="30" t="s">
        <v>674</v>
      </c>
      <c r="B1495" s="30" t="s">
        <v>333</v>
      </c>
      <c r="C1495" s="30">
        <v>10</v>
      </c>
      <c r="D1495" s="190">
        <v>66378.396999999997</v>
      </c>
      <c r="E1495" s="30" t="s">
        <v>10</v>
      </c>
      <c r="F1495" s="190">
        <v>2937.3989999999999</v>
      </c>
      <c r="G1495" s="30" t="s">
        <v>335</v>
      </c>
      <c r="H1495" s="30"/>
    </row>
    <row r="1496" spans="1:8" x14ac:dyDescent="0.25">
      <c r="A1496" s="30" t="s">
        <v>675</v>
      </c>
      <c r="B1496" s="30" t="s">
        <v>333</v>
      </c>
      <c r="C1496" s="30">
        <v>10</v>
      </c>
      <c r="D1496" s="190">
        <v>59316.523999999998</v>
      </c>
      <c r="E1496" s="30" t="s">
        <v>10</v>
      </c>
      <c r="F1496" s="190">
        <v>1893.8119999999999</v>
      </c>
      <c r="G1496" s="30" t="s">
        <v>335</v>
      </c>
      <c r="H1496" s="30"/>
    </row>
    <row r="1497" spans="1:8" x14ac:dyDescent="0.25">
      <c r="A1497" s="30" t="s">
        <v>676</v>
      </c>
      <c r="B1497" s="30" t="s">
        <v>333</v>
      </c>
      <c r="C1497" s="30">
        <v>10</v>
      </c>
      <c r="D1497" s="190">
        <v>61665.39</v>
      </c>
      <c r="E1497" s="30" t="s">
        <v>10</v>
      </c>
      <c r="F1497" s="190">
        <v>684.702</v>
      </c>
      <c r="G1497" s="30" t="s">
        <v>335</v>
      </c>
      <c r="H1497" s="30"/>
    </row>
    <row r="1498" spans="1:8" x14ac:dyDescent="0.25">
      <c r="A1498" s="30" t="s">
        <v>677</v>
      </c>
      <c r="B1498" s="30" t="s">
        <v>333</v>
      </c>
      <c r="C1498" s="30">
        <v>10</v>
      </c>
      <c r="D1498" s="190">
        <v>3743.1619999999998</v>
      </c>
      <c r="E1498" s="30" t="s">
        <v>10</v>
      </c>
      <c r="F1498" s="190">
        <v>63.381999999999998</v>
      </c>
      <c r="G1498" s="30" t="s">
        <v>335</v>
      </c>
      <c r="H1498" s="30"/>
    </row>
    <row r="1499" spans="1:8" x14ac:dyDescent="0.25">
      <c r="A1499" s="30" t="s">
        <v>678</v>
      </c>
      <c r="B1499" s="30" t="s">
        <v>333</v>
      </c>
      <c r="C1499" s="30">
        <v>10</v>
      </c>
      <c r="D1499" s="190">
        <v>3990.8870000000002</v>
      </c>
      <c r="E1499" s="30" t="s">
        <v>10</v>
      </c>
      <c r="F1499" s="190">
        <v>67.751999999999995</v>
      </c>
      <c r="G1499" s="30" t="s">
        <v>335</v>
      </c>
      <c r="H1499" s="30"/>
    </row>
    <row r="1500" spans="1:8" x14ac:dyDescent="0.25">
      <c r="A1500" s="30" t="s">
        <v>679</v>
      </c>
      <c r="B1500" s="30" t="s">
        <v>333</v>
      </c>
      <c r="C1500" s="30">
        <v>10</v>
      </c>
      <c r="D1500" s="190">
        <v>4173.8890000000001</v>
      </c>
      <c r="E1500" s="30" t="s">
        <v>10</v>
      </c>
      <c r="F1500" s="190">
        <v>82.691999999999993</v>
      </c>
      <c r="G1500" s="30" t="s">
        <v>335</v>
      </c>
      <c r="H1500" s="30"/>
    </row>
    <row r="1501" spans="1:8" x14ac:dyDescent="0.25">
      <c r="A1501" s="30" t="s">
        <v>680</v>
      </c>
      <c r="B1501" s="30" t="s">
        <v>333</v>
      </c>
      <c r="C1501" s="30">
        <v>10</v>
      </c>
      <c r="D1501" s="190">
        <v>3787.0309999999999</v>
      </c>
      <c r="E1501" s="30" t="s">
        <v>10</v>
      </c>
      <c r="F1501" s="190">
        <v>41.883000000000003</v>
      </c>
      <c r="G1501" s="30" t="s">
        <v>335</v>
      </c>
      <c r="H1501" s="30"/>
    </row>
    <row r="1503" spans="1:8" x14ac:dyDescent="0.25">
      <c r="A1503" s="30" t="s">
        <v>681</v>
      </c>
      <c r="B1503" s="30"/>
      <c r="C1503" s="30"/>
      <c r="D1503" s="190"/>
      <c r="E1503" s="30"/>
      <c r="F1503" s="190"/>
      <c r="G1503" s="30"/>
      <c r="H1503" s="30"/>
    </row>
    <row r="1504" spans="1:8" ht="20" thickBot="1" x14ac:dyDescent="0.3">
      <c r="A1504" s="30" t="s">
        <v>2</v>
      </c>
      <c r="B1504" s="30" t="s">
        <v>3</v>
      </c>
      <c r="C1504" s="30" t="s">
        <v>4</v>
      </c>
      <c r="D1504" s="190" t="s">
        <v>5</v>
      </c>
      <c r="E1504" s="30" t="s">
        <v>6</v>
      </c>
      <c r="F1504" s="190" t="s">
        <v>7</v>
      </c>
      <c r="G1504" s="30"/>
      <c r="H1504" s="30"/>
    </row>
    <row r="1505" spans="1:17" x14ac:dyDescent="0.25">
      <c r="A1505" s="30" t="s">
        <v>682</v>
      </c>
      <c r="B1505" s="30" t="s">
        <v>333</v>
      </c>
      <c r="C1505" s="30">
        <v>25</v>
      </c>
      <c r="D1505" s="190">
        <v>975951.049</v>
      </c>
      <c r="E1505" s="30" t="s">
        <v>10</v>
      </c>
      <c r="F1505" s="190">
        <v>9678.84</v>
      </c>
      <c r="G1505" s="30" t="s">
        <v>335</v>
      </c>
      <c r="H1505" s="30"/>
      <c r="J1505" s="70" t="s">
        <v>681</v>
      </c>
      <c r="K1505" s="72" t="s">
        <v>344</v>
      </c>
      <c r="L1505" s="72" t="s">
        <v>341</v>
      </c>
      <c r="M1505" s="17" t="s">
        <v>162</v>
      </c>
      <c r="N1505" s="72" t="s">
        <v>343</v>
      </c>
      <c r="O1505" s="17" t="s">
        <v>162</v>
      </c>
      <c r="P1505" s="72" t="s">
        <v>342</v>
      </c>
      <c r="Q1505" s="21" t="s">
        <v>162</v>
      </c>
    </row>
    <row r="1506" spans="1:17" x14ac:dyDescent="0.25">
      <c r="A1506" s="30" t="s">
        <v>683</v>
      </c>
      <c r="B1506" s="30" t="s">
        <v>333</v>
      </c>
      <c r="C1506" s="30">
        <v>25</v>
      </c>
      <c r="D1506" s="190">
        <v>1121801.585</v>
      </c>
      <c r="E1506" s="30" t="s">
        <v>10</v>
      </c>
      <c r="F1506" s="190">
        <v>9097.223</v>
      </c>
      <c r="G1506" s="30" t="s">
        <v>335</v>
      </c>
      <c r="H1506" s="30"/>
      <c r="J1506" s="6">
        <v>100000</v>
      </c>
      <c r="K1506" s="119">
        <f>D1505</f>
        <v>975951.049</v>
      </c>
      <c r="L1506" s="119">
        <f>D1506</f>
        <v>1121801.585</v>
      </c>
      <c r="M1506" s="18">
        <f>(K1506/L1506-1)</f>
        <v>-0.13001455689688646</v>
      </c>
      <c r="N1506" s="73">
        <f>D1507</f>
        <v>27896780525</v>
      </c>
      <c r="O1506" s="18">
        <f>(K1506/N1506-1)</f>
        <v>-0.99996501563869977</v>
      </c>
      <c r="P1506" s="73">
        <f>D1508</f>
        <v>876622.89599999995</v>
      </c>
      <c r="Q1506" s="22">
        <f>(K1506/P1506-1)</f>
        <v>0.11330773295248275</v>
      </c>
    </row>
    <row r="1507" spans="1:17" x14ac:dyDescent="0.25">
      <c r="A1507" s="30" t="s">
        <v>684</v>
      </c>
      <c r="B1507" s="30" t="s">
        <v>333</v>
      </c>
      <c r="C1507" s="30">
        <v>25</v>
      </c>
      <c r="D1507" s="190">
        <v>27896780525</v>
      </c>
      <c r="E1507" s="30" t="s">
        <v>10</v>
      </c>
      <c r="F1507" s="190">
        <v>165554676.079</v>
      </c>
      <c r="G1507" s="30" t="s">
        <v>335</v>
      </c>
      <c r="H1507" s="30"/>
      <c r="J1507" s="6">
        <v>50000</v>
      </c>
      <c r="K1507" s="119">
        <f>D1509</f>
        <v>484195.57199999999</v>
      </c>
      <c r="L1507" s="119">
        <f>D1510</f>
        <v>565043.93999999994</v>
      </c>
      <c r="M1507" s="18">
        <f t="shared" ref="M1507:M1510" si="157">(K1507/L1507-1)</f>
        <v>-0.14308332905932941</v>
      </c>
      <c r="N1507" s="73">
        <f>D1511</f>
        <v>6966736254.9399996</v>
      </c>
      <c r="O1507" s="18">
        <f t="shared" ref="O1507:O1510" si="158">(K1507/N1507-1)</f>
        <v>-0.99993049893748209</v>
      </c>
      <c r="P1507" s="73">
        <f>D1512</f>
        <v>418738.44199999998</v>
      </c>
      <c r="Q1507" s="22">
        <f t="shared" ref="Q1507:Q1510" si="159">(K1507/P1507-1)</f>
        <v>0.15631984894283968</v>
      </c>
    </row>
    <row r="1508" spans="1:17" x14ac:dyDescent="0.25">
      <c r="A1508" s="30" t="s">
        <v>685</v>
      </c>
      <c r="B1508" s="30" t="s">
        <v>333</v>
      </c>
      <c r="C1508" s="30">
        <v>25</v>
      </c>
      <c r="D1508" s="190">
        <v>876622.89599999995</v>
      </c>
      <c r="E1508" s="30" t="s">
        <v>10</v>
      </c>
      <c r="F1508" s="190">
        <v>21180.148000000001</v>
      </c>
      <c r="G1508" s="30" t="s">
        <v>335</v>
      </c>
      <c r="H1508" s="30"/>
      <c r="J1508" s="6">
        <v>10000</v>
      </c>
      <c r="K1508" s="119">
        <f>D1513</f>
        <v>97324.524999999994</v>
      </c>
      <c r="L1508" s="119">
        <f>D1514</f>
        <v>119570.111</v>
      </c>
      <c r="M1508" s="18">
        <f t="shared" si="157"/>
        <v>-0.18604637742621155</v>
      </c>
      <c r="N1508" s="73">
        <f>D1515</f>
        <v>278319262.20099998</v>
      </c>
      <c r="O1508" s="18">
        <f t="shared" si="158"/>
        <v>-0.99965031336950827</v>
      </c>
      <c r="P1508" s="73">
        <f>D1516</f>
        <v>131761.356</v>
      </c>
      <c r="Q1508" s="22">
        <f t="shared" si="159"/>
        <v>-0.26135759410369153</v>
      </c>
    </row>
    <row r="1509" spans="1:17" x14ac:dyDescent="0.25">
      <c r="A1509" s="30" t="s">
        <v>698</v>
      </c>
      <c r="B1509" s="30" t="s">
        <v>333</v>
      </c>
      <c r="C1509" s="30">
        <v>25</v>
      </c>
      <c r="D1509" s="190">
        <v>484195.57199999999</v>
      </c>
      <c r="E1509" s="30" t="s">
        <v>10</v>
      </c>
      <c r="F1509" s="190">
        <v>4321.7340000000004</v>
      </c>
      <c r="G1509" s="30" t="s">
        <v>335</v>
      </c>
      <c r="H1509" s="30"/>
      <c r="J1509" s="67">
        <v>1000</v>
      </c>
      <c r="K1509" s="119">
        <f>D1517</f>
        <v>10167.713</v>
      </c>
      <c r="L1509" s="119">
        <f>D1518</f>
        <v>15547.58</v>
      </c>
      <c r="M1509" s="18">
        <f t="shared" si="157"/>
        <v>-0.34602600533330585</v>
      </c>
      <c r="N1509" s="73">
        <f>D1519</f>
        <v>2820505.1329999999</v>
      </c>
      <c r="O1509" s="18">
        <f t="shared" si="158"/>
        <v>-0.99639507374723857</v>
      </c>
      <c r="P1509" s="73">
        <f>D1520</f>
        <v>13974.32</v>
      </c>
      <c r="Q1509" s="22">
        <f t="shared" si="159"/>
        <v>-0.27240015972154641</v>
      </c>
    </row>
    <row r="1510" spans="1:17" ht="20" thickBot="1" x14ac:dyDescent="0.3">
      <c r="A1510" s="30" t="s">
        <v>699</v>
      </c>
      <c r="B1510" s="30" t="s">
        <v>333</v>
      </c>
      <c r="C1510" s="30">
        <v>25</v>
      </c>
      <c r="D1510" s="190">
        <v>565043.93999999994</v>
      </c>
      <c r="E1510" s="30" t="s">
        <v>10</v>
      </c>
      <c r="F1510" s="190">
        <v>2379.672</v>
      </c>
      <c r="G1510" s="30" t="s">
        <v>335</v>
      </c>
      <c r="H1510" s="30"/>
      <c r="J1510" s="68">
        <v>100</v>
      </c>
      <c r="K1510" s="120">
        <f>D1521</f>
        <v>960.26700000000005</v>
      </c>
      <c r="L1510" s="120">
        <f>D1522</f>
        <v>1509.3430000000001</v>
      </c>
      <c r="M1510" s="19">
        <f t="shared" si="157"/>
        <v>-0.36378477257985764</v>
      </c>
      <c r="N1510" s="74">
        <f>D1523</f>
        <v>28290.82</v>
      </c>
      <c r="O1510" s="19">
        <f t="shared" si="158"/>
        <v>-0.96605729349661829</v>
      </c>
      <c r="P1510" s="74">
        <f>D1524</f>
        <v>789.58699999999999</v>
      </c>
      <c r="Q1510" s="23">
        <f t="shared" si="159"/>
        <v>0.21616363997887511</v>
      </c>
    </row>
    <row r="1511" spans="1:17" x14ac:dyDescent="0.25">
      <c r="A1511" s="30" t="s">
        <v>700</v>
      </c>
      <c r="B1511" s="30" t="s">
        <v>333</v>
      </c>
      <c r="C1511" s="30">
        <v>25</v>
      </c>
      <c r="D1511" s="190">
        <v>6966736254.9399996</v>
      </c>
      <c r="E1511" s="30" t="s">
        <v>10</v>
      </c>
      <c r="F1511" s="190">
        <v>54527797.295000002</v>
      </c>
      <c r="G1511" s="30" t="s">
        <v>335</v>
      </c>
      <c r="H1511" s="30"/>
    </row>
    <row r="1512" spans="1:17" x14ac:dyDescent="0.25">
      <c r="A1512" s="30" t="s">
        <v>701</v>
      </c>
      <c r="B1512" s="30" t="s">
        <v>333</v>
      </c>
      <c r="C1512" s="30">
        <v>25</v>
      </c>
      <c r="D1512" s="190">
        <v>418738.44199999998</v>
      </c>
      <c r="E1512" s="30" t="s">
        <v>10</v>
      </c>
      <c r="F1512" s="190">
        <v>3023.0569999999998</v>
      </c>
      <c r="G1512" s="30" t="s">
        <v>335</v>
      </c>
      <c r="H1512" s="30"/>
    </row>
    <row r="1513" spans="1:17" x14ac:dyDescent="0.25">
      <c r="A1513" s="30" t="s">
        <v>686</v>
      </c>
      <c r="B1513" s="30" t="s">
        <v>333</v>
      </c>
      <c r="C1513" s="30">
        <v>25</v>
      </c>
      <c r="D1513" s="190">
        <v>97324.524999999994</v>
      </c>
      <c r="E1513" s="30" t="s">
        <v>10</v>
      </c>
      <c r="F1513" s="190">
        <v>765.66099999999994</v>
      </c>
      <c r="G1513" s="30" t="s">
        <v>335</v>
      </c>
      <c r="H1513" s="30"/>
    </row>
    <row r="1514" spans="1:17" x14ac:dyDescent="0.25">
      <c r="A1514" s="30" t="s">
        <v>687</v>
      </c>
      <c r="B1514" s="30" t="s">
        <v>333</v>
      </c>
      <c r="C1514" s="30">
        <v>25</v>
      </c>
      <c r="D1514" s="190">
        <v>119570.111</v>
      </c>
      <c r="E1514" s="30" t="s">
        <v>10</v>
      </c>
      <c r="F1514" s="190">
        <v>890.92600000000004</v>
      </c>
      <c r="G1514" s="30" t="s">
        <v>335</v>
      </c>
      <c r="H1514" s="30"/>
    </row>
    <row r="1515" spans="1:17" x14ac:dyDescent="0.25">
      <c r="A1515" s="30" t="s">
        <v>688</v>
      </c>
      <c r="B1515" s="30" t="s">
        <v>333</v>
      </c>
      <c r="C1515" s="30">
        <v>25</v>
      </c>
      <c r="D1515" s="190">
        <v>278319262.20099998</v>
      </c>
      <c r="E1515" s="30" t="s">
        <v>10</v>
      </c>
      <c r="F1515" s="190">
        <v>2731864.5249999999</v>
      </c>
      <c r="G1515" s="30" t="s">
        <v>335</v>
      </c>
      <c r="H1515" s="30"/>
    </row>
    <row r="1516" spans="1:17" x14ac:dyDescent="0.25">
      <c r="A1516" s="30" t="s">
        <v>689</v>
      </c>
      <c r="B1516" s="30" t="s">
        <v>333</v>
      </c>
      <c r="C1516" s="30">
        <v>25</v>
      </c>
      <c r="D1516" s="190">
        <v>131761.356</v>
      </c>
      <c r="E1516" s="30" t="s">
        <v>10</v>
      </c>
      <c r="F1516" s="190">
        <v>1026.5160000000001</v>
      </c>
      <c r="G1516" s="30" t="s">
        <v>335</v>
      </c>
      <c r="H1516" s="30"/>
    </row>
    <row r="1517" spans="1:17" x14ac:dyDescent="0.25">
      <c r="A1517" s="30" t="s">
        <v>690</v>
      </c>
      <c r="B1517" s="30" t="s">
        <v>333</v>
      </c>
      <c r="C1517" s="30">
        <v>25</v>
      </c>
      <c r="D1517" s="190">
        <v>10167.713</v>
      </c>
      <c r="E1517" s="30" t="s">
        <v>10</v>
      </c>
      <c r="F1517" s="190">
        <v>60.631999999999998</v>
      </c>
      <c r="G1517" s="30" t="s">
        <v>335</v>
      </c>
      <c r="H1517" s="30"/>
    </row>
    <row r="1518" spans="1:17" x14ac:dyDescent="0.25">
      <c r="A1518" s="30" t="s">
        <v>691</v>
      </c>
      <c r="B1518" s="30" t="s">
        <v>333</v>
      </c>
      <c r="C1518" s="30">
        <v>25</v>
      </c>
      <c r="D1518" s="190">
        <v>15547.58</v>
      </c>
      <c r="E1518" s="30" t="s">
        <v>10</v>
      </c>
      <c r="F1518" s="190">
        <v>56.283999999999999</v>
      </c>
      <c r="G1518" s="30" t="s">
        <v>335</v>
      </c>
      <c r="H1518" s="30"/>
    </row>
    <row r="1519" spans="1:17" x14ac:dyDescent="0.25">
      <c r="A1519" s="30" t="s">
        <v>692</v>
      </c>
      <c r="B1519" s="30" t="s">
        <v>333</v>
      </c>
      <c r="C1519" s="30">
        <v>25</v>
      </c>
      <c r="D1519" s="190">
        <v>2820505.1329999999</v>
      </c>
      <c r="E1519" s="30" t="s">
        <v>10</v>
      </c>
      <c r="F1519" s="190">
        <v>33214.14</v>
      </c>
      <c r="G1519" s="30" t="s">
        <v>335</v>
      </c>
      <c r="H1519" s="30"/>
    </row>
    <row r="1520" spans="1:17" x14ac:dyDescent="0.25">
      <c r="A1520" s="30" t="s">
        <v>693</v>
      </c>
      <c r="B1520" s="30" t="s">
        <v>333</v>
      </c>
      <c r="C1520" s="30">
        <v>25</v>
      </c>
      <c r="D1520" s="190">
        <v>13974.32</v>
      </c>
      <c r="E1520" s="30" t="s">
        <v>10</v>
      </c>
      <c r="F1520" s="190">
        <v>73.995000000000005</v>
      </c>
      <c r="G1520" s="30" t="s">
        <v>335</v>
      </c>
      <c r="H1520" s="30"/>
    </row>
    <row r="1521" spans="1:13" x14ac:dyDescent="0.25">
      <c r="A1521" s="30" t="s">
        <v>694</v>
      </c>
      <c r="B1521" s="30" t="s">
        <v>333</v>
      </c>
      <c r="C1521" s="30">
        <v>25</v>
      </c>
      <c r="D1521" s="190">
        <v>960.26700000000005</v>
      </c>
      <c r="E1521" s="30" t="s">
        <v>10</v>
      </c>
      <c r="F1521" s="190">
        <v>6.4950000000000001</v>
      </c>
      <c r="G1521" s="30" t="s">
        <v>335</v>
      </c>
      <c r="H1521" s="30"/>
    </row>
    <row r="1522" spans="1:13" x14ac:dyDescent="0.25">
      <c r="A1522" s="30" t="s">
        <v>695</v>
      </c>
      <c r="B1522" s="30" t="s">
        <v>333</v>
      </c>
      <c r="C1522" s="30">
        <v>25</v>
      </c>
      <c r="D1522" s="190">
        <v>1509.3430000000001</v>
      </c>
      <c r="E1522" s="30" t="s">
        <v>10</v>
      </c>
      <c r="F1522" s="190">
        <v>6.5940000000000003</v>
      </c>
      <c r="G1522" s="30" t="s">
        <v>335</v>
      </c>
      <c r="H1522" s="30"/>
    </row>
    <row r="1523" spans="1:13" x14ac:dyDescent="0.25">
      <c r="A1523" s="30" t="s">
        <v>696</v>
      </c>
      <c r="B1523" s="30" t="s">
        <v>333</v>
      </c>
      <c r="C1523" s="30">
        <v>25</v>
      </c>
      <c r="D1523" s="190">
        <v>28290.82</v>
      </c>
      <c r="E1523" s="30" t="s">
        <v>10</v>
      </c>
      <c r="F1523" s="190">
        <v>150.709</v>
      </c>
      <c r="G1523" s="30" t="s">
        <v>335</v>
      </c>
      <c r="H1523" s="30"/>
    </row>
    <row r="1524" spans="1:13" x14ac:dyDescent="0.25">
      <c r="A1524" s="30" t="s">
        <v>697</v>
      </c>
      <c r="B1524" s="30" t="s">
        <v>333</v>
      </c>
      <c r="C1524" s="30">
        <v>25</v>
      </c>
      <c r="D1524" s="190">
        <v>789.58699999999999</v>
      </c>
      <c r="E1524" s="30" t="s">
        <v>10</v>
      </c>
      <c r="F1524" s="190">
        <v>3.1120000000000001</v>
      </c>
      <c r="G1524" s="30" t="s">
        <v>335</v>
      </c>
      <c r="H1524" s="30"/>
    </row>
    <row r="1526" spans="1:13" x14ac:dyDescent="0.25">
      <c r="A1526" s="30" t="s">
        <v>0</v>
      </c>
      <c r="B1526" s="30" t="s">
        <v>1</v>
      </c>
      <c r="C1526" s="30"/>
      <c r="D1526" s="190"/>
      <c r="E1526" s="30"/>
      <c r="F1526" s="190"/>
      <c r="G1526" s="30"/>
      <c r="H1526" s="30"/>
    </row>
    <row r="1527" spans="1:13" ht="20" thickBot="1" x14ac:dyDescent="0.3">
      <c r="A1527" s="30" t="s">
        <v>2</v>
      </c>
      <c r="B1527" s="30" t="s">
        <v>3</v>
      </c>
      <c r="C1527" s="30" t="s">
        <v>4</v>
      </c>
      <c r="D1527" s="190" t="s">
        <v>5</v>
      </c>
      <c r="E1527" s="30" t="s">
        <v>6</v>
      </c>
      <c r="F1527" s="190" t="s">
        <v>7</v>
      </c>
      <c r="G1527" s="30"/>
      <c r="H1527" s="30"/>
    </row>
    <row r="1528" spans="1:13" x14ac:dyDescent="0.25">
      <c r="A1528" s="30" t="s">
        <v>702</v>
      </c>
      <c r="B1528" s="30" t="s">
        <v>333</v>
      </c>
      <c r="C1528" s="30">
        <v>10</v>
      </c>
      <c r="D1528" s="190">
        <v>13462.455</v>
      </c>
      <c r="E1528" s="30" t="s">
        <v>10</v>
      </c>
      <c r="F1528" s="190">
        <v>165.87700000000001</v>
      </c>
      <c r="G1528" s="30" t="s">
        <v>335</v>
      </c>
      <c r="H1528" s="30"/>
      <c r="J1528" s="70" t="s">
        <v>722</v>
      </c>
      <c r="K1528" s="72" t="s">
        <v>344</v>
      </c>
      <c r="L1528" s="72" t="s">
        <v>341</v>
      </c>
      <c r="M1528" s="17" t="s">
        <v>162</v>
      </c>
    </row>
    <row r="1529" spans="1:13" x14ac:dyDescent="0.25">
      <c r="A1529" s="30" t="s">
        <v>703</v>
      </c>
      <c r="B1529" s="30" t="s">
        <v>333</v>
      </c>
      <c r="C1529" s="30">
        <v>10</v>
      </c>
      <c r="D1529" s="190">
        <v>10544.157999999999</v>
      </c>
      <c r="E1529" s="30" t="s">
        <v>10</v>
      </c>
      <c r="F1529" s="190">
        <v>680.56200000000001</v>
      </c>
      <c r="G1529" s="30" t="s">
        <v>335</v>
      </c>
      <c r="H1529" s="30"/>
      <c r="J1529" s="6" t="s">
        <v>571</v>
      </c>
      <c r="K1529" s="119">
        <f>D1528</f>
        <v>13462.455</v>
      </c>
      <c r="L1529" s="119">
        <f>D1529</f>
        <v>10544.157999999999</v>
      </c>
      <c r="M1529" s="18">
        <f t="shared" ref="M1529:M1534" si="160">(K1529/L1529-1)</f>
        <v>0.27676908862708616</v>
      </c>
    </row>
    <row r="1530" spans="1:13" x14ac:dyDescent="0.25">
      <c r="A1530" s="30" t="s">
        <v>704</v>
      </c>
      <c r="B1530" s="30" t="s">
        <v>333</v>
      </c>
      <c r="C1530" s="30">
        <v>10</v>
      </c>
      <c r="D1530" s="190">
        <v>57931.512999999999</v>
      </c>
      <c r="E1530" s="30" t="s">
        <v>10</v>
      </c>
      <c r="F1530" s="190">
        <v>1685.703</v>
      </c>
      <c r="G1530" s="30" t="s">
        <v>335</v>
      </c>
      <c r="H1530" s="30"/>
      <c r="J1530" s="6" t="s">
        <v>572</v>
      </c>
      <c r="K1530" s="119">
        <f>D1530</f>
        <v>57931.512999999999</v>
      </c>
      <c r="L1530" s="119">
        <f>D1531</f>
        <v>35989.917000000001</v>
      </c>
      <c r="M1530" s="18">
        <f t="shared" si="160"/>
        <v>0.60965953325204936</v>
      </c>
    </row>
    <row r="1531" spans="1:13" x14ac:dyDescent="0.25">
      <c r="A1531" s="30" t="s">
        <v>705</v>
      </c>
      <c r="B1531" s="30" t="s">
        <v>333</v>
      </c>
      <c r="C1531" s="30">
        <v>10</v>
      </c>
      <c r="D1531" s="190">
        <v>35989.917000000001</v>
      </c>
      <c r="E1531" s="30" t="s">
        <v>10</v>
      </c>
      <c r="F1531" s="190">
        <v>484.38299999999998</v>
      </c>
      <c r="G1531" s="30" t="s">
        <v>335</v>
      </c>
      <c r="H1531" s="30"/>
      <c r="J1531" s="6" t="s">
        <v>569</v>
      </c>
      <c r="K1531" s="119">
        <f>D1532</f>
        <v>248809.43400000001</v>
      </c>
      <c r="L1531" s="119">
        <f>D1533</f>
        <v>292416.43</v>
      </c>
      <c r="M1531" s="18">
        <f t="shared" si="160"/>
        <v>-0.14912635380987305</v>
      </c>
    </row>
    <row r="1532" spans="1:13" x14ac:dyDescent="0.25">
      <c r="A1532" s="30" t="s">
        <v>706</v>
      </c>
      <c r="B1532" s="30" t="s">
        <v>333</v>
      </c>
      <c r="C1532" s="30">
        <v>10</v>
      </c>
      <c r="D1532" s="190">
        <v>248809.43400000001</v>
      </c>
      <c r="E1532" s="30" t="s">
        <v>10</v>
      </c>
      <c r="F1532" s="190">
        <v>2258.2660000000001</v>
      </c>
      <c r="G1532" s="30" t="s">
        <v>335</v>
      </c>
      <c r="H1532" s="30"/>
      <c r="J1532" s="6" t="s">
        <v>570</v>
      </c>
      <c r="K1532" s="119">
        <f>D1534</f>
        <v>227558.76699999999</v>
      </c>
      <c r="L1532" s="119">
        <f>D1535</f>
        <v>283495.75</v>
      </c>
      <c r="M1532" s="18">
        <f t="shared" si="160"/>
        <v>-0.19731153994372053</v>
      </c>
    </row>
    <row r="1533" spans="1:13" x14ac:dyDescent="0.25">
      <c r="A1533" s="30" t="s">
        <v>707</v>
      </c>
      <c r="B1533" s="30" t="s">
        <v>333</v>
      </c>
      <c r="C1533" s="30">
        <v>10</v>
      </c>
      <c r="D1533" s="190">
        <v>292416.43</v>
      </c>
      <c r="E1533" s="30" t="s">
        <v>10</v>
      </c>
      <c r="F1533" s="190">
        <v>12341.653</v>
      </c>
      <c r="G1533" s="30" t="s">
        <v>335</v>
      </c>
      <c r="H1533" s="30"/>
      <c r="J1533" s="6" t="s">
        <v>580</v>
      </c>
      <c r="K1533" s="119">
        <f>D1536</f>
        <v>138291.003</v>
      </c>
      <c r="L1533" s="119">
        <f>D1537</f>
        <v>161052.99799999999</v>
      </c>
      <c r="M1533" s="18">
        <f t="shared" si="160"/>
        <v>-0.14133232713867272</v>
      </c>
    </row>
    <row r="1534" spans="1:13" x14ac:dyDescent="0.25">
      <c r="A1534" s="30" t="s">
        <v>708</v>
      </c>
      <c r="B1534" s="30" t="s">
        <v>333</v>
      </c>
      <c r="C1534" s="30">
        <v>10</v>
      </c>
      <c r="D1534" s="190">
        <v>227558.76699999999</v>
      </c>
      <c r="E1534" s="30" t="s">
        <v>10</v>
      </c>
      <c r="F1534" s="190">
        <v>5110.2209999999995</v>
      </c>
      <c r="G1534" s="30" t="s">
        <v>335</v>
      </c>
      <c r="H1534" s="30"/>
      <c r="J1534" s="6" t="s">
        <v>581</v>
      </c>
      <c r="K1534" s="119">
        <f>D1538</f>
        <v>80149.312000000005</v>
      </c>
      <c r="L1534" s="119">
        <f>D1539</f>
        <v>100518.261</v>
      </c>
      <c r="M1534" s="18">
        <f t="shared" si="160"/>
        <v>-0.20263928959137079</v>
      </c>
    </row>
    <row r="1535" spans="1:13" x14ac:dyDescent="0.25">
      <c r="A1535" s="30" t="s">
        <v>709</v>
      </c>
      <c r="B1535" s="30" t="s">
        <v>333</v>
      </c>
      <c r="C1535" s="30">
        <v>10</v>
      </c>
      <c r="D1535" s="190">
        <v>283495.75</v>
      </c>
      <c r="E1535" s="30" t="s">
        <v>10</v>
      </c>
      <c r="F1535" s="190">
        <v>5005.9110000000001</v>
      </c>
      <c r="G1535" s="30" t="s">
        <v>335</v>
      </c>
      <c r="H1535" s="30"/>
      <c r="J1535" s="6" t="s">
        <v>168</v>
      </c>
      <c r="K1535" s="119">
        <f>D1540</f>
        <v>475449.397</v>
      </c>
      <c r="L1535" s="119">
        <f>D1541</f>
        <v>549306.11300000001</v>
      </c>
      <c r="M1535" s="18">
        <f t="shared" ref="M1535:M1538" si="161">(K1535/L1535-1)</f>
        <v>-0.13445456777576403</v>
      </c>
    </row>
    <row r="1536" spans="1:13" x14ac:dyDescent="0.25">
      <c r="A1536" s="30" t="s">
        <v>710</v>
      </c>
      <c r="B1536" s="30" t="s">
        <v>333</v>
      </c>
      <c r="C1536" s="30">
        <v>10</v>
      </c>
      <c r="D1536" s="190">
        <v>138291.003</v>
      </c>
      <c r="E1536" s="30" t="s">
        <v>10</v>
      </c>
      <c r="F1536" s="190">
        <v>4744.34</v>
      </c>
      <c r="G1536" s="30" t="s">
        <v>335</v>
      </c>
      <c r="H1536" s="30"/>
      <c r="J1536" s="6" t="s">
        <v>268</v>
      </c>
      <c r="K1536" s="119">
        <f>D1542</f>
        <v>1007869.796</v>
      </c>
      <c r="L1536" s="119">
        <f>D1543</f>
        <v>1015069.823</v>
      </c>
      <c r="M1536" s="18">
        <f t="shared" si="161"/>
        <v>-7.0931347153249114E-3</v>
      </c>
    </row>
    <row r="1537" spans="1:15" x14ac:dyDescent="0.25">
      <c r="A1537" s="30" t="s">
        <v>711</v>
      </c>
      <c r="B1537" s="30" t="s">
        <v>333</v>
      </c>
      <c r="C1537" s="30">
        <v>10</v>
      </c>
      <c r="D1537" s="190">
        <v>161052.99799999999</v>
      </c>
      <c r="E1537" s="30" t="s">
        <v>10</v>
      </c>
      <c r="F1537" s="190">
        <v>2781.7179999999998</v>
      </c>
      <c r="G1537" s="30" t="s">
        <v>335</v>
      </c>
      <c r="H1537" s="30"/>
      <c r="J1537" s="6" t="s">
        <v>586</v>
      </c>
      <c r="K1537" s="119">
        <f>D1544</f>
        <v>5409.7960000000003</v>
      </c>
      <c r="L1537" s="119">
        <f>D1545</f>
        <v>3185.922</v>
      </c>
      <c r="M1537" s="18">
        <f t="shared" si="161"/>
        <v>0.69803152745108021</v>
      </c>
    </row>
    <row r="1538" spans="1:15" x14ac:dyDescent="0.25">
      <c r="A1538" s="30" t="s">
        <v>712</v>
      </c>
      <c r="B1538" s="30" t="s">
        <v>333</v>
      </c>
      <c r="C1538" s="30">
        <v>10</v>
      </c>
      <c r="D1538" s="190">
        <v>80149.312000000005</v>
      </c>
      <c r="E1538" s="30" t="s">
        <v>10</v>
      </c>
      <c r="F1538" s="190">
        <v>1473.5319999999999</v>
      </c>
      <c r="G1538" s="30" t="s">
        <v>335</v>
      </c>
      <c r="H1538" s="30"/>
      <c r="J1538" s="6" t="s">
        <v>602</v>
      </c>
      <c r="K1538" s="119">
        <f>D1546</f>
        <v>48763.749000000003</v>
      </c>
      <c r="L1538" s="119">
        <f>D1547</f>
        <v>25198.190999999999</v>
      </c>
      <c r="M1538" s="18">
        <f t="shared" si="161"/>
        <v>0.93520832507381213</v>
      </c>
    </row>
    <row r="1539" spans="1:15" x14ac:dyDescent="0.25">
      <c r="A1539" s="30" t="s">
        <v>713</v>
      </c>
      <c r="B1539" s="30" t="s">
        <v>333</v>
      </c>
      <c r="C1539" s="30">
        <v>10</v>
      </c>
      <c r="D1539" s="190">
        <v>100518.261</v>
      </c>
      <c r="E1539" s="30" t="s">
        <v>10</v>
      </c>
      <c r="F1539" s="190">
        <v>1619.6690000000001</v>
      </c>
      <c r="G1539" s="30" t="s">
        <v>335</v>
      </c>
      <c r="H1539" s="30"/>
    </row>
    <row r="1540" spans="1:15" x14ac:dyDescent="0.25">
      <c r="A1540" s="30" t="s">
        <v>714</v>
      </c>
      <c r="B1540" s="30" t="s">
        <v>333</v>
      </c>
      <c r="C1540" s="30">
        <v>10</v>
      </c>
      <c r="D1540" s="190">
        <v>475449.397</v>
      </c>
      <c r="E1540" s="30" t="s">
        <v>10</v>
      </c>
      <c r="F1540" s="190">
        <v>15468.627</v>
      </c>
      <c r="G1540" s="30" t="s">
        <v>335</v>
      </c>
      <c r="H1540" s="30"/>
    </row>
    <row r="1541" spans="1:15" x14ac:dyDescent="0.25">
      <c r="A1541" s="30" t="s">
        <v>715</v>
      </c>
      <c r="B1541" s="30" t="s">
        <v>333</v>
      </c>
      <c r="C1541" s="30">
        <v>10</v>
      </c>
      <c r="D1541" s="190">
        <v>549306.11300000001</v>
      </c>
      <c r="E1541" s="30" t="s">
        <v>10</v>
      </c>
      <c r="F1541" s="190">
        <v>113784.61900000001</v>
      </c>
      <c r="G1541" s="30" t="s">
        <v>335</v>
      </c>
      <c r="H1541" s="30"/>
    </row>
    <row r="1542" spans="1:15" x14ac:dyDescent="0.25">
      <c r="A1542" s="30" t="s">
        <v>716</v>
      </c>
      <c r="B1542" s="30" t="s">
        <v>333</v>
      </c>
      <c r="C1542" s="30">
        <v>10</v>
      </c>
      <c r="D1542" s="190">
        <v>1007869.796</v>
      </c>
      <c r="E1542" s="30" t="s">
        <v>10</v>
      </c>
      <c r="F1542" s="190">
        <v>8696.1370000000006</v>
      </c>
      <c r="G1542" s="30" t="s">
        <v>335</v>
      </c>
      <c r="H1542" s="30"/>
    </row>
    <row r="1543" spans="1:15" x14ac:dyDescent="0.25">
      <c r="A1543" s="30" t="s">
        <v>717</v>
      </c>
      <c r="B1543" s="30" t="s">
        <v>333</v>
      </c>
      <c r="C1543" s="30">
        <v>10</v>
      </c>
      <c r="D1543" s="190">
        <v>1015069.823</v>
      </c>
      <c r="E1543" s="30" t="s">
        <v>10</v>
      </c>
      <c r="F1543" s="190">
        <v>9053.4719999999998</v>
      </c>
      <c r="G1543" s="30" t="s">
        <v>335</v>
      </c>
      <c r="H1543" s="30"/>
    </row>
    <row r="1544" spans="1:15" x14ac:dyDescent="0.25">
      <c r="A1544" s="30" t="s">
        <v>718</v>
      </c>
      <c r="B1544" s="30" t="s">
        <v>333</v>
      </c>
      <c r="C1544" s="30">
        <v>10</v>
      </c>
      <c r="D1544" s="190">
        <v>5409.7960000000003</v>
      </c>
      <c r="E1544" s="30" t="s">
        <v>10</v>
      </c>
      <c r="F1544" s="190">
        <v>98.861999999999995</v>
      </c>
      <c r="G1544" s="30" t="s">
        <v>335</v>
      </c>
      <c r="H1544" s="30"/>
    </row>
    <row r="1545" spans="1:15" x14ac:dyDescent="0.25">
      <c r="A1545" s="30" t="s">
        <v>719</v>
      </c>
      <c r="B1545" s="30" t="s">
        <v>333</v>
      </c>
      <c r="C1545" s="30">
        <v>10</v>
      </c>
      <c r="D1545" s="190">
        <v>3185.922</v>
      </c>
      <c r="E1545" s="30" t="s">
        <v>10</v>
      </c>
      <c r="F1545" s="190">
        <v>63.723999999999997</v>
      </c>
      <c r="G1545" s="30" t="s">
        <v>335</v>
      </c>
      <c r="H1545" s="30"/>
    </row>
    <row r="1546" spans="1:15" x14ac:dyDescent="0.25">
      <c r="A1546" s="30" t="s">
        <v>720</v>
      </c>
      <c r="B1546" s="30" t="s">
        <v>333</v>
      </c>
      <c r="C1546" s="30">
        <v>10</v>
      </c>
      <c r="D1546" s="190">
        <v>48763.749000000003</v>
      </c>
      <c r="E1546" s="30" t="s">
        <v>10</v>
      </c>
      <c r="F1546" s="190">
        <v>693.20100000000002</v>
      </c>
      <c r="G1546" s="30" t="s">
        <v>335</v>
      </c>
      <c r="H1546" s="30"/>
    </row>
    <row r="1547" spans="1:15" x14ac:dyDescent="0.25">
      <c r="A1547" s="30" t="s">
        <v>721</v>
      </c>
      <c r="B1547" s="30" t="s">
        <v>333</v>
      </c>
      <c r="C1547" s="30">
        <v>10</v>
      </c>
      <c r="D1547" s="190">
        <v>25198.190999999999</v>
      </c>
      <c r="E1547" s="30" t="s">
        <v>10</v>
      </c>
      <c r="F1547" s="190">
        <v>332.77699999999999</v>
      </c>
      <c r="G1547" s="30" t="s">
        <v>335</v>
      </c>
      <c r="H1547" s="30"/>
    </row>
    <row r="1549" spans="1:15" x14ac:dyDescent="0.25">
      <c r="A1549" s="30" t="s">
        <v>724</v>
      </c>
      <c r="B1549" s="30"/>
      <c r="C1549" s="30"/>
      <c r="D1549" s="190"/>
      <c r="E1549" s="30"/>
      <c r="F1549" s="190"/>
      <c r="G1549" s="30"/>
      <c r="H1549" s="30"/>
    </row>
    <row r="1550" spans="1:15" ht="20" thickBot="1" x14ac:dyDescent="0.3">
      <c r="A1550" s="30" t="s">
        <v>2</v>
      </c>
      <c r="B1550" s="30" t="s">
        <v>3</v>
      </c>
      <c r="C1550" s="30" t="s">
        <v>4</v>
      </c>
      <c r="D1550" s="190" t="s">
        <v>5</v>
      </c>
      <c r="E1550" s="30" t="s">
        <v>6</v>
      </c>
      <c r="F1550" s="190" t="s">
        <v>7</v>
      </c>
      <c r="G1550" s="30"/>
      <c r="H1550" s="30"/>
    </row>
    <row r="1551" spans="1:15" x14ac:dyDescent="0.25">
      <c r="A1551" s="30" t="s">
        <v>725</v>
      </c>
      <c r="B1551" s="30" t="s">
        <v>333</v>
      </c>
      <c r="C1551" s="30">
        <v>10</v>
      </c>
      <c r="D1551" s="190">
        <v>230425.39799999999</v>
      </c>
      <c r="E1551" s="30" t="s">
        <v>10</v>
      </c>
      <c r="F1551" s="190">
        <v>4720.991</v>
      </c>
      <c r="G1551" s="30" t="s">
        <v>335</v>
      </c>
      <c r="H1551" s="30"/>
      <c r="J1551" s="5" t="s">
        <v>724</v>
      </c>
      <c r="K1551" s="72" t="s">
        <v>340</v>
      </c>
      <c r="L1551" s="72" t="s">
        <v>341</v>
      </c>
      <c r="M1551" s="17" t="s">
        <v>162</v>
      </c>
      <c r="N1551" s="72" t="s">
        <v>342</v>
      </c>
      <c r="O1551" s="21" t="s">
        <v>162</v>
      </c>
    </row>
    <row r="1552" spans="1:15" x14ac:dyDescent="0.25">
      <c r="A1552" s="30" t="s">
        <v>726</v>
      </c>
      <c r="B1552" s="30" t="s">
        <v>333</v>
      </c>
      <c r="C1552" s="30">
        <v>10</v>
      </c>
      <c r="D1552" s="190">
        <v>169812.894</v>
      </c>
      <c r="E1552" s="30" t="s">
        <v>10</v>
      </c>
      <c r="F1552" s="190">
        <v>5994.8379999999997</v>
      </c>
      <c r="G1552" s="30" t="s">
        <v>335</v>
      </c>
      <c r="H1552" s="30"/>
      <c r="J1552" s="6">
        <v>100000</v>
      </c>
      <c r="K1552" s="119">
        <f>D1551</f>
        <v>230425.39799999999</v>
      </c>
      <c r="L1552" s="119">
        <f>D1552</f>
        <v>169812.894</v>
      </c>
      <c r="M1552" s="18">
        <f>(K1552/L1552-1)</f>
        <v>0.35693699443105875</v>
      </c>
      <c r="N1552" s="73">
        <f>D1553</f>
        <v>281766.18699999998</v>
      </c>
      <c r="O1552" s="22">
        <f>(K1552/N1552-1)</f>
        <v>-0.18221061067203215</v>
      </c>
    </row>
    <row r="1553" spans="1:15" x14ac:dyDescent="0.25">
      <c r="A1553" s="30" t="s">
        <v>727</v>
      </c>
      <c r="B1553" s="30" t="s">
        <v>333</v>
      </c>
      <c r="C1553" s="30">
        <v>10</v>
      </c>
      <c r="D1553" s="190">
        <v>281766.18699999998</v>
      </c>
      <c r="E1553" s="30" t="s">
        <v>10</v>
      </c>
      <c r="F1553" s="190">
        <v>33712.849000000002</v>
      </c>
      <c r="G1553" s="30" t="s">
        <v>335</v>
      </c>
      <c r="H1553" s="30"/>
      <c r="J1553" s="6">
        <v>50000</v>
      </c>
      <c r="K1553" s="119">
        <f>D1554</f>
        <v>137357.266</v>
      </c>
      <c r="L1553" s="119">
        <f>D1555</f>
        <v>66273.236000000004</v>
      </c>
      <c r="M1553" s="18">
        <f t="shared" ref="M1553:M1556" si="162">(K1553/L1553-1)</f>
        <v>1.0725902987444282</v>
      </c>
      <c r="N1553" s="73">
        <f>D1556</f>
        <v>386952.09299999999</v>
      </c>
      <c r="O1553" s="22">
        <f t="shared" ref="O1553:O1556" si="163">(K1553/N1553-1)</f>
        <v>-0.64502772181671597</v>
      </c>
    </row>
    <row r="1554" spans="1:15" x14ac:dyDescent="0.25">
      <c r="A1554" s="30" t="s">
        <v>728</v>
      </c>
      <c r="B1554" s="30" t="s">
        <v>333</v>
      </c>
      <c r="C1554" s="30">
        <v>10</v>
      </c>
      <c r="D1554" s="190">
        <v>137357.266</v>
      </c>
      <c r="E1554" s="30" t="s">
        <v>10</v>
      </c>
      <c r="F1554" s="190">
        <v>3396.1480000000001</v>
      </c>
      <c r="G1554" s="30" t="s">
        <v>335</v>
      </c>
      <c r="H1554" s="30"/>
      <c r="J1554" s="6">
        <v>10000</v>
      </c>
      <c r="K1554" s="119">
        <f>D1557</f>
        <v>21267.414000000001</v>
      </c>
      <c r="L1554" s="119">
        <f>D1558</f>
        <v>10316.657999999999</v>
      </c>
      <c r="M1554" s="18">
        <f t="shared" si="162"/>
        <v>1.0614635088223339</v>
      </c>
      <c r="N1554" s="73">
        <f>D1559</f>
        <v>74725.642999999996</v>
      </c>
      <c r="O1554" s="22">
        <f t="shared" si="163"/>
        <v>-0.71539336235621276</v>
      </c>
    </row>
    <row r="1555" spans="1:15" x14ac:dyDescent="0.25">
      <c r="A1555" s="30" t="s">
        <v>729</v>
      </c>
      <c r="B1555" s="30" t="s">
        <v>333</v>
      </c>
      <c r="C1555" s="30">
        <v>10</v>
      </c>
      <c r="D1555" s="190">
        <v>66273.236000000004</v>
      </c>
      <c r="E1555" s="30" t="s">
        <v>10</v>
      </c>
      <c r="F1555" s="190">
        <v>2894.6480000000001</v>
      </c>
      <c r="G1555" s="30" t="s">
        <v>335</v>
      </c>
      <c r="H1555" s="30"/>
      <c r="J1555" s="67">
        <v>1000</v>
      </c>
      <c r="K1555" s="119">
        <f>D1560</f>
        <v>1954.375</v>
      </c>
      <c r="L1555" s="119">
        <f>D1561</f>
        <v>1164.155</v>
      </c>
      <c r="M1555" s="18">
        <f t="shared" si="162"/>
        <v>0.67879277244009617</v>
      </c>
      <c r="N1555" s="73">
        <f>D1562</f>
        <v>7603.7449999999999</v>
      </c>
      <c r="O1555" s="22">
        <f t="shared" si="163"/>
        <v>-0.74297204864182054</v>
      </c>
    </row>
    <row r="1556" spans="1:15" ht="20" thickBot="1" x14ac:dyDescent="0.3">
      <c r="A1556" s="30" t="s">
        <v>730</v>
      </c>
      <c r="B1556" s="30" t="s">
        <v>333</v>
      </c>
      <c r="C1556" s="30">
        <v>10</v>
      </c>
      <c r="D1556" s="190">
        <v>386952.09299999999</v>
      </c>
      <c r="E1556" s="30" t="s">
        <v>10</v>
      </c>
      <c r="F1556" s="190">
        <v>7518.9790000000003</v>
      </c>
      <c r="G1556" s="30" t="s">
        <v>335</v>
      </c>
      <c r="H1556" s="30"/>
      <c r="J1556" s="68">
        <v>100</v>
      </c>
      <c r="K1556" s="120">
        <f>D1563</f>
        <v>197.5</v>
      </c>
      <c r="L1556" s="120">
        <f>D1564</f>
        <v>129.93</v>
      </c>
      <c r="M1556" s="19">
        <f t="shared" si="162"/>
        <v>0.52004925729238805</v>
      </c>
      <c r="N1556" s="74">
        <f>D1565</f>
        <v>194.12100000000001</v>
      </c>
      <c r="O1556" s="23">
        <f t="shared" si="163"/>
        <v>1.7406669036322597E-2</v>
      </c>
    </row>
    <row r="1557" spans="1:15" x14ac:dyDescent="0.25">
      <c r="A1557" s="30" t="s">
        <v>731</v>
      </c>
      <c r="B1557" s="30" t="s">
        <v>333</v>
      </c>
      <c r="C1557" s="30">
        <v>10</v>
      </c>
      <c r="D1557" s="190">
        <v>21267.414000000001</v>
      </c>
      <c r="E1557" s="30" t="s">
        <v>10</v>
      </c>
      <c r="F1557" s="190">
        <v>46.81</v>
      </c>
      <c r="G1557" s="30" t="s">
        <v>335</v>
      </c>
      <c r="H1557" s="30"/>
    </row>
    <row r="1558" spans="1:15" x14ac:dyDescent="0.25">
      <c r="A1558" s="30" t="s">
        <v>732</v>
      </c>
      <c r="B1558" s="30" t="s">
        <v>333</v>
      </c>
      <c r="C1558" s="30">
        <v>10</v>
      </c>
      <c r="D1558" s="190">
        <v>10316.657999999999</v>
      </c>
      <c r="E1558" s="30" t="s">
        <v>10</v>
      </c>
      <c r="F1558" s="190">
        <v>113.36</v>
      </c>
      <c r="G1558" s="30" t="s">
        <v>335</v>
      </c>
      <c r="H1558" s="30"/>
    </row>
    <row r="1559" spans="1:15" x14ac:dyDescent="0.25">
      <c r="A1559" s="30" t="s">
        <v>733</v>
      </c>
      <c r="B1559" s="30" t="s">
        <v>333</v>
      </c>
      <c r="C1559" s="30">
        <v>10</v>
      </c>
      <c r="D1559" s="190">
        <v>74725.642999999996</v>
      </c>
      <c r="E1559" s="30" t="s">
        <v>10</v>
      </c>
      <c r="F1559" s="190">
        <v>4703.2430000000004</v>
      </c>
      <c r="G1559" s="30" t="s">
        <v>335</v>
      </c>
      <c r="H1559" s="30"/>
    </row>
    <row r="1560" spans="1:15" x14ac:dyDescent="0.25">
      <c r="A1560" s="30" t="s">
        <v>734</v>
      </c>
      <c r="B1560" s="30" t="s">
        <v>333</v>
      </c>
      <c r="C1560" s="30">
        <v>10</v>
      </c>
      <c r="D1560" s="190">
        <v>1954.375</v>
      </c>
      <c r="E1560" s="30" t="s">
        <v>10</v>
      </c>
      <c r="F1560" s="190">
        <v>7.1159999999999997</v>
      </c>
      <c r="G1560" s="30" t="s">
        <v>335</v>
      </c>
      <c r="H1560" s="30"/>
    </row>
    <row r="1561" spans="1:15" x14ac:dyDescent="0.25">
      <c r="A1561" s="30" t="s">
        <v>735</v>
      </c>
      <c r="B1561" s="30" t="s">
        <v>333</v>
      </c>
      <c r="C1561" s="30">
        <v>10</v>
      </c>
      <c r="D1561" s="190">
        <v>1164.155</v>
      </c>
      <c r="E1561" s="30" t="s">
        <v>10</v>
      </c>
      <c r="F1561" s="190">
        <v>12.760999999999999</v>
      </c>
      <c r="G1561" s="30" t="s">
        <v>335</v>
      </c>
      <c r="H1561" s="30"/>
    </row>
    <row r="1562" spans="1:15" x14ac:dyDescent="0.25">
      <c r="A1562" s="30" t="s">
        <v>736</v>
      </c>
      <c r="B1562" s="30" t="s">
        <v>333</v>
      </c>
      <c r="C1562" s="30">
        <v>10</v>
      </c>
      <c r="D1562" s="190">
        <v>7603.7449999999999</v>
      </c>
      <c r="E1562" s="30" t="s">
        <v>10</v>
      </c>
      <c r="F1562" s="190">
        <v>38.174999999999997</v>
      </c>
      <c r="G1562" s="30" t="s">
        <v>335</v>
      </c>
      <c r="H1562" s="30"/>
    </row>
    <row r="1563" spans="1:15" x14ac:dyDescent="0.25">
      <c r="A1563" s="30" t="s">
        <v>737</v>
      </c>
      <c r="B1563" s="30" t="s">
        <v>333</v>
      </c>
      <c r="C1563" s="30">
        <v>10</v>
      </c>
      <c r="D1563" s="190">
        <v>197.5</v>
      </c>
      <c r="E1563" s="30" t="s">
        <v>10</v>
      </c>
      <c r="F1563" s="190">
        <v>1.7350000000000001</v>
      </c>
      <c r="G1563" s="30" t="s">
        <v>335</v>
      </c>
      <c r="H1563" s="30"/>
    </row>
    <row r="1564" spans="1:15" x14ac:dyDescent="0.25">
      <c r="A1564" s="30" t="s">
        <v>738</v>
      </c>
      <c r="B1564" s="30" t="s">
        <v>333</v>
      </c>
      <c r="C1564" s="30">
        <v>10</v>
      </c>
      <c r="D1564" s="190">
        <v>129.93</v>
      </c>
      <c r="E1564" s="30" t="s">
        <v>10</v>
      </c>
      <c r="F1564" s="190">
        <v>2.484</v>
      </c>
      <c r="G1564" s="30" t="s">
        <v>335</v>
      </c>
      <c r="H1564" s="30"/>
    </row>
    <row r="1565" spans="1:15" x14ac:dyDescent="0.25">
      <c r="A1565" s="30" t="s">
        <v>739</v>
      </c>
      <c r="B1565" s="30" t="s">
        <v>333</v>
      </c>
      <c r="C1565" s="30">
        <v>10</v>
      </c>
      <c r="D1565" s="190">
        <v>194.12100000000001</v>
      </c>
      <c r="E1565" s="30" t="s">
        <v>10</v>
      </c>
      <c r="F1565" s="190">
        <v>2.8940000000000001</v>
      </c>
      <c r="G1565" s="30" t="s">
        <v>335</v>
      </c>
      <c r="H1565" s="30"/>
    </row>
    <row r="1566" spans="1:15" x14ac:dyDescent="0.25">
      <c r="A1566" s="30"/>
      <c r="B1566" s="30"/>
      <c r="C1566" s="30"/>
      <c r="D1566" s="190"/>
      <c r="E1566" s="30"/>
      <c r="F1566" s="190"/>
      <c r="G1566" s="30"/>
      <c r="H1566" s="30"/>
    </row>
    <row r="1567" spans="1:15" x14ac:dyDescent="0.25">
      <c r="A1567" s="30" t="s">
        <v>740</v>
      </c>
      <c r="B1567" s="30"/>
      <c r="C1567" s="30"/>
      <c r="D1567" s="190"/>
      <c r="E1567" s="30"/>
      <c r="F1567" s="190"/>
      <c r="G1567" s="30"/>
      <c r="H1567" s="30"/>
    </row>
    <row r="1568" spans="1:15" ht="20" thickBot="1" x14ac:dyDescent="0.3">
      <c r="A1568" s="30" t="s">
        <v>2</v>
      </c>
      <c r="B1568" s="30" t="s">
        <v>3</v>
      </c>
      <c r="C1568" s="30" t="s">
        <v>4</v>
      </c>
      <c r="D1568" s="190" t="s">
        <v>5</v>
      </c>
      <c r="E1568" s="30" t="s">
        <v>6</v>
      </c>
      <c r="F1568" s="190" t="s">
        <v>7</v>
      </c>
      <c r="G1568" s="30"/>
      <c r="H1568" s="30"/>
    </row>
    <row r="1569" spans="1:15" x14ac:dyDescent="0.25">
      <c r="A1569" s="30" t="s">
        <v>741</v>
      </c>
      <c r="B1569" s="30" t="s">
        <v>333</v>
      </c>
      <c r="C1569" s="30">
        <v>10</v>
      </c>
      <c r="D1569" s="190">
        <v>689456.41500000004</v>
      </c>
      <c r="E1569" s="30" t="s">
        <v>10</v>
      </c>
      <c r="F1569" s="190">
        <v>19240.355</v>
      </c>
      <c r="G1569" s="30" t="s">
        <v>335</v>
      </c>
      <c r="H1569" s="30"/>
      <c r="J1569" s="5" t="s">
        <v>740</v>
      </c>
      <c r="K1569" s="72" t="s">
        <v>340</v>
      </c>
      <c r="L1569" s="72" t="s">
        <v>341</v>
      </c>
      <c r="M1569" s="17" t="s">
        <v>162</v>
      </c>
      <c r="N1569" s="72" t="s">
        <v>342</v>
      </c>
      <c r="O1569" s="21" t="s">
        <v>162</v>
      </c>
    </row>
    <row r="1570" spans="1:15" x14ac:dyDescent="0.25">
      <c r="A1570" s="30" t="s">
        <v>742</v>
      </c>
      <c r="B1570" s="30" t="s">
        <v>333</v>
      </c>
      <c r="C1570" s="30">
        <v>10</v>
      </c>
      <c r="D1570" s="190">
        <v>446741.31099999999</v>
      </c>
      <c r="E1570" s="30" t="s">
        <v>10</v>
      </c>
      <c r="F1570" s="190">
        <v>71487.620999999999</v>
      </c>
      <c r="G1570" s="30" t="s">
        <v>335</v>
      </c>
      <c r="H1570" s="30"/>
      <c r="J1570" s="6">
        <v>100000</v>
      </c>
      <c r="K1570" s="119">
        <f>D1569</f>
        <v>689456.41500000004</v>
      </c>
      <c r="L1570" s="119">
        <f>D1570</f>
        <v>446741.31099999999</v>
      </c>
      <c r="M1570" s="18">
        <f>(K1570/L1570-1)</f>
        <v>0.54330123054144885</v>
      </c>
      <c r="N1570" s="73">
        <f>D1571</f>
        <v>542521.26899999997</v>
      </c>
      <c r="O1570" s="22">
        <f>(K1570/N1570-1)</f>
        <v>0.27083757706096501</v>
      </c>
    </row>
    <row r="1571" spans="1:15" x14ac:dyDescent="0.25">
      <c r="A1571" s="30" t="s">
        <v>743</v>
      </c>
      <c r="B1571" s="30" t="s">
        <v>333</v>
      </c>
      <c r="C1571" s="30">
        <v>10</v>
      </c>
      <c r="D1571" s="190">
        <v>542521.26899999997</v>
      </c>
      <c r="E1571" s="30" t="s">
        <v>10</v>
      </c>
      <c r="F1571" s="190">
        <v>118643.67</v>
      </c>
      <c r="G1571" s="30" t="s">
        <v>335</v>
      </c>
      <c r="H1571" s="30"/>
      <c r="J1571" s="6">
        <v>50000</v>
      </c>
      <c r="K1571" s="119">
        <f>D1572</f>
        <v>339590.984</v>
      </c>
      <c r="L1571" s="119">
        <f>D1573</f>
        <v>201361.99100000001</v>
      </c>
      <c r="M1571" s="18">
        <f t="shared" ref="M1571:M1574" si="164">(K1571/L1571-1)</f>
        <v>0.68647013427673143</v>
      </c>
      <c r="N1571" s="73">
        <f>D1574</f>
        <v>245881.64199999999</v>
      </c>
      <c r="O1571" s="22">
        <f t="shared" ref="O1571:O1574" si="165">(K1571/N1571-1)</f>
        <v>0.38111565075687914</v>
      </c>
    </row>
    <row r="1572" spans="1:15" x14ac:dyDescent="0.25">
      <c r="A1572" s="30" t="s">
        <v>744</v>
      </c>
      <c r="B1572" s="30" t="s">
        <v>333</v>
      </c>
      <c r="C1572" s="30">
        <v>10</v>
      </c>
      <c r="D1572" s="190">
        <v>339590.984</v>
      </c>
      <c r="E1572" s="30" t="s">
        <v>10</v>
      </c>
      <c r="F1572" s="190">
        <v>4792.0039999999999</v>
      </c>
      <c r="G1572" s="30" t="s">
        <v>335</v>
      </c>
      <c r="H1572" s="30"/>
      <c r="J1572" s="6">
        <v>10000</v>
      </c>
      <c r="K1572" s="119">
        <f>D1575</f>
        <v>64493.457000000002</v>
      </c>
      <c r="L1572" s="119">
        <f>D1576</f>
        <v>36145.900999999998</v>
      </c>
      <c r="M1572" s="18">
        <f t="shared" si="164"/>
        <v>0.78425368342595769</v>
      </c>
      <c r="N1572" s="73">
        <f>D1577</f>
        <v>104387.978</v>
      </c>
      <c r="O1572" s="22">
        <f t="shared" si="165"/>
        <v>-0.38217543594914727</v>
      </c>
    </row>
    <row r="1573" spans="1:15" x14ac:dyDescent="0.25">
      <c r="A1573" s="30" t="s">
        <v>745</v>
      </c>
      <c r="B1573" s="30" t="s">
        <v>333</v>
      </c>
      <c r="C1573" s="30">
        <v>10</v>
      </c>
      <c r="D1573" s="190">
        <v>201361.99100000001</v>
      </c>
      <c r="E1573" s="30" t="s">
        <v>10</v>
      </c>
      <c r="F1573" s="190">
        <v>269.43700000000001</v>
      </c>
      <c r="G1573" s="30" t="s">
        <v>335</v>
      </c>
      <c r="H1573" s="30"/>
      <c r="J1573" s="67">
        <v>1000</v>
      </c>
      <c r="K1573" s="119">
        <f>D1578</f>
        <v>5740.085</v>
      </c>
      <c r="L1573" s="119">
        <f>D1579</f>
        <v>3921.384</v>
      </c>
      <c r="M1573" s="18">
        <f t="shared" si="164"/>
        <v>0.46379059026098957</v>
      </c>
      <c r="N1573" s="73">
        <f>D1580</f>
        <v>11760.635</v>
      </c>
      <c r="O1573" s="22">
        <f t="shared" si="165"/>
        <v>-0.51192388846350556</v>
      </c>
    </row>
    <row r="1574" spans="1:15" ht="20" thickBot="1" x14ac:dyDescent="0.3">
      <c r="A1574" s="30" t="s">
        <v>746</v>
      </c>
      <c r="B1574" s="30" t="s">
        <v>333</v>
      </c>
      <c r="C1574" s="30">
        <v>10</v>
      </c>
      <c r="D1574" s="190">
        <v>245881.64199999999</v>
      </c>
      <c r="E1574" s="30" t="s">
        <v>10</v>
      </c>
      <c r="F1574" s="190">
        <v>6881.8090000000002</v>
      </c>
      <c r="G1574" s="30" t="s">
        <v>335</v>
      </c>
      <c r="H1574" s="30"/>
      <c r="J1574" s="68">
        <v>100</v>
      </c>
      <c r="K1574" s="120">
        <f>D1581</f>
        <v>587.64499999999998</v>
      </c>
      <c r="L1574" s="120">
        <f>D1582</f>
        <v>367.59800000000001</v>
      </c>
      <c r="M1574" s="19">
        <f t="shared" si="164"/>
        <v>0.59860771821391845</v>
      </c>
      <c r="N1574" s="74">
        <f>D1583</f>
        <v>955.63</v>
      </c>
      <c r="O1574" s="23">
        <f t="shared" si="165"/>
        <v>-0.38507058171049469</v>
      </c>
    </row>
    <row r="1575" spans="1:15" x14ac:dyDescent="0.25">
      <c r="A1575" s="30" t="s">
        <v>747</v>
      </c>
      <c r="B1575" s="30" t="s">
        <v>333</v>
      </c>
      <c r="C1575" s="30">
        <v>10</v>
      </c>
      <c r="D1575" s="190">
        <v>64493.457000000002</v>
      </c>
      <c r="E1575" s="30" t="s">
        <v>10</v>
      </c>
      <c r="F1575" s="190">
        <v>1039.5150000000001</v>
      </c>
      <c r="G1575" s="30" t="s">
        <v>335</v>
      </c>
      <c r="H1575" s="30"/>
    </row>
    <row r="1576" spans="1:15" x14ac:dyDescent="0.25">
      <c r="A1576" s="30" t="s">
        <v>748</v>
      </c>
      <c r="B1576" s="30" t="s">
        <v>333</v>
      </c>
      <c r="C1576" s="30">
        <v>10</v>
      </c>
      <c r="D1576" s="190">
        <v>36145.900999999998</v>
      </c>
      <c r="E1576" s="30" t="s">
        <v>10</v>
      </c>
      <c r="F1576" s="190">
        <v>231.12200000000001</v>
      </c>
      <c r="G1576" s="30" t="s">
        <v>335</v>
      </c>
      <c r="H1576" s="30"/>
    </row>
    <row r="1577" spans="1:15" x14ac:dyDescent="0.25">
      <c r="A1577" s="30" t="s">
        <v>749</v>
      </c>
      <c r="B1577" s="30" t="s">
        <v>333</v>
      </c>
      <c r="C1577" s="30">
        <v>10</v>
      </c>
      <c r="D1577" s="190">
        <v>104387.978</v>
      </c>
      <c r="E1577" s="30" t="s">
        <v>10</v>
      </c>
      <c r="F1577" s="190">
        <v>4852.3410000000003</v>
      </c>
      <c r="G1577" s="30" t="s">
        <v>335</v>
      </c>
      <c r="H1577" s="30"/>
    </row>
    <row r="1578" spans="1:15" x14ac:dyDescent="0.25">
      <c r="A1578" s="30" t="s">
        <v>750</v>
      </c>
      <c r="B1578" s="30" t="s">
        <v>333</v>
      </c>
      <c r="C1578" s="30">
        <v>10</v>
      </c>
      <c r="D1578" s="190">
        <v>5740.085</v>
      </c>
      <c r="E1578" s="30" t="s">
        <v>10</v>
      </c>
      <c r="F1578" s="190">
        <v>74.39</v>
      </c>
      <c r="G1578" s="30" t="s">
        <v>335</v>
      </c>
      <c r="H1578" s="30"/>
    </row>
    <row r="1579" spans="1:15" x14ac:dyDescent="0.25">
      <c r="A1579" s="30" t="s">
        <v>751</v>
      </c>
      <c r="B1579" s="30" t="s">
        <v>333</v>
      </c>
      <c r="C1579" s="30">
        <v>10</v>
      </c>
      <c r="D1579" s="190">
        <v>3921.384</v>
      </c>
      <c r="E1579" s="30" t="s">
        <v>10</v>
      </c>
      <c r="F1579" s="190">
        <v>49.298000000000002</v>
      </c>
      <c r="G1579" s="30" t="s">
        <v>335</v>
      </c>
      <c r="H1579" s="30"/>
    </row>
    <row r="1580" spans="1:15" x14ac:dyDescent="0.25">
      <c r="A1580" s="30" t="s">
        <v>752</v>
      </c>
      <c r="B1580" s="30" t="s">
        <v>333</v>
      </c>
      <c r="C1580" s="30">
        <v>10</v>
      </c>
      <c r="D1580" s="190">
        <v>11760.635</v>
      </c>
      <c r="E1580" s="30" t="s">
        <v>10</v>
      </c>
      <c r="F1580" s="190">
        <v>562.97199999999998</v>
      </c>
      <c r="G1580" s="30" t="s">
        <v>335</v>
      </c>
      <c r="H1580" s="30"/>
    </row>
    <row r="1581" spans="1:15" x14ac:dyDescent="0.25">
      <c r="A1581" s="30" t="s">
        <v>753</v>
      </c>
      <c r="B1581" s="30" t="s">
        <v>333</v>
      </c>
      <c r="C1581" s="30">
        <v>10</v>
      </c>
      <c r="D1581" s="190">
        <v>587.64499999999998</v>
      </c>
      <c r="E1581" s="30" t="s">
        <v>10</v>
      </c>
      <c r="F1581" s="190">
        <v>8.8140000000000001</v>
      </c>
      <c r="G1581" s="30" t="s">
        <v>335</v>
      </c>
      <c r="H1581" s="30"/>
    </row>
    <row r="1582" spans="1:15" x14ac:dyDescent="0.25">
      <c r="A1582" s="30" t="s">
        <v>754</v>
      </c>
      <c r="B1582" s="30" t="s">
        <v>333</v>
      </c>
      <c r="C1582" s="30">
        <v>10</v>
      </c>
      <c r="D1582" s="190">
        <v>367.59800000000001</v>
      </c>
      <c r="E1582" s="30" t="s">
        <v>10</v>
      </c>
      <c r="F1582" s="190">
        <v>16.297000000000001</v>
      </c>
      <c r="G1582" s="30" t="s">
        <v>335</v>
      </c>
      <c r="H1582" s="30"/>
    </row>
    <row r="1583" spans="1:15" x14ac:dyDescent="0.25">
      <c r="A1583" s="30" t="s">
        <v>755</v>
      </c>
      <c r="B1583" s="30" t="s">
        <v>333</v>
      </c>
      <c r="C1583" s="30">
        <v>10</v>
      </c>
      <c r="D1583" s="190">
        <v>955.63</v>
      </c>
      <c r="E1583" s="30" t="s">
        <v>10</v>
      </c>
      <c r="F1583" s="190">
        <v>11.798999999999999</v>
      </c>
      <c r="G1583" s="30" t="s">
        <v>335</v>
      </c>
      <c r="H1583" s="30"/>
    </row>
    <row r="1585" spans="1:15" x14ac:dyDescent="0.25">
      <c r="A1585" s="30" t="s">
        <v>759</v>
      </c>
      <c r="B1585" s="30"/>
      <c r="C1585" s="30"/>
      <c r="D1585" s="190"/>
      <c r="E1585" s="30"/>
      <c r="F1585" s="190"/>
      <c r="G1585" s="30"/>
      <c r="H1585" s="30"/>
    </row>
    <row r="1586" spans="1:15" ht="20" thickBot="1" x14ac:dyDescent="0.3">
      <c r="A1586" s="30" t="s">
        <v>2</v>
      </c>
      <c r="B1586" s="30" t="s">
        <v>3</v>
      </c>
      <c r="C1586" s="30" t="s">
        <v>4</v>
      </c>
      <c r="D1586" s="190" t="s">
        <v>5</v>
      </c>
      <c r="E1586" s="30" t="s">
        <v>6</v>
      </c>
      <c r="F1586" s="190" t="s">
        <v>7</v>
      </c>
      <c r="G1586" s="30"/>
      <c r="H1586" s="30"/>
    </row>
    <row r="1587" spans="1:15" x14ac:dyDescent="0.25">
      <c r="A1587" s="30" t="s">
        <v>760</v>
      </c>
      <c r="B1587" s="30" t="s">
        <v>333</v>
      </c>
      <c r="C1587" s="30">
        <v>10</v>
      </c>
      <c r="D1587" s="190">
        <v>640831.97199999995</v>
      </c>
      <c r="E1587" s="30" t="s">
        <v>10</v>
      </c>
      <c r="F1587" s="190">
        <v>7824.3249999999998</v>
      </c>
      <c r="G1587" s="30" t="s">
        <v>335</v>
      </c>
      <c r="H1587" s="30"/>
      <c r="J1587" s="5" t="s">
        <v>759</v>
      </c>
      <c r="K1587" s="72" t="s">
        <v>340</v>
      </c>
      <c r="L1587" s="72" t="s">
        <v>341</v>
      </c>
      <c r="M1587" s="17" t="s">
        <v>162</v>
      </c>
      <c r="N1587" s="72" t="s">
        <v>342</v>
      </c>
      <c r="O1587" s="21" t="s">
        <v>162</v>
      </c>
    </row>
    <row r="1588" spans="1:15" x14ac:dyDescent="0.25">
      <c r="A1588" s="30" t="s">
        <v>761</v>
      </c>
      <c r="B1588" s="30" t="s">
        <v>333</v>
      </c>
      <c r="C1588" s="30">
        <v>10</v>
      </c>
      <c r="D1588" s="190">
        <v>401792.88</v>
      </c>
      <c r="E1588" s="30" t="s">
        <v>10</v>
      </c>
      <c r="F1588" s="190">
        <v>28504.574000000001</v>
      </c>
      <c r="G1588" s="30" t="s">
        <v>335</v>
      </c>
      <c r="H1588" s="30"/>
      <c r="J1588" s="6">
        <v>100000</v>
      </c>
      <c r="K1588" s="119">
        <f>D1587</f>
        <v>640831.97199999995</v>
      </c>
      <c r="L1588" s="119">
        <f>D1588</f>
        <v>401792.88</v>
      </c>
      <c r="M1588" s="18">
        <f>(K1588/L1588-1)</f>
        <v>0.5949311296905011</v>
      </c>
      <c r="N1588" s="73">
        <f>D1589</f>
        <v>518336.13199999998</v>
      </c>
      <c r="O1588" s="22">
        <f>(K1588/N1588-1)</f>
        <v>0.23632510341764101</v>
      </c>
    </row>
    <row r="1589" spans="1:15" x14ac:dyDescent="0.25">
      <c r="A1589" s="30" t="s">
        <v>762</v>
      </c>
      <c r="B1589" s="30" t="s">
        <v>333</v>
      </c>
      <c r="C1589" s="30">
        <v>10</v>
      </c>
      <c r="D1589" s="190">
        <v>518336.13199999998</v>
      </c>
      <c r="E1589" s="30" t="s">
        <v>10</v>
      </c>
      <c r="F1589" s="190">
        <v>152954.50399999999</v>
      </c>
      <c r="G1589" s="30" t="s">
        <v>335</v>
      </c>
      <c r="H1589" s="30"/>
      <c r="J1589" s="6">
        <v>50000</v>
      </c>
      <c r="K1589" s="119">
        <f>D1590</f>
        <v>315454.35100000002</v>
      </c>
      <c r="L1589" s="119">
        <f>D1591</f>
        <v>199267.27799999999</v>
      </c>
      <c r="M1589" s="18">
        <f t="shared" ref="M1589:M1592" si="166">(K1589/L1589-1)</f>
        <v>0.58307151162068882</v>
      </c>
      <c r="N1589" s="73">
        <f>D1592</f>
        <v>470664.63199999998</v>
      </c>
      <c r="O1589" s="22">
        <f t="shared" ref="O1589:O1592" si="167">(K1589/N1589-1)</f>
        <v>-0.32976831154799824</v>
      </c>
    </row>
    <row r="1590" spans="1:15" x14ac:dyDescent="0.25">
      <c r="A1590" s="30" t="s">
        <v>763</v>
      </c>
      <c r="B1590" s="30" t="s">
        <v>333</v>
      </c>
      <c r="C1590" s="30">
        <v>10</v>
      </c>
      <c r="D1590" s="190">
        <v>315454.35100000002</v>
      </c>
      <c r="E1590" s="30" t="s">
        <v>10</v>
      </c>
      <c r="F1590" s="190">
        <v>2597.806</v>
      </c>
      <c r="G1590" s="30" t="s">
        <v>335</v>
      </c>
      <c r="H1590" s="30"/>
      <c r="J1590" s="6">
        <v>10000</v>
      </c>
      <c r="K1590" s="119">
        <f>D1593</f>
        <v>63854.241000000002</v>
      </c>
      <c r="L1590" s="119">
        <f>D1594</f>
        <v>41237.968000000001</v>
      </c>
      <c r="M1590" s="18">
        <f t="shared" si="166"/>
        <v>0.54843325451923342</v>
      </c>
      <c r="N1590" s="73">
        <f>D1595</f>
        <v>59323.724999999999</v>
      </c>
      <c r="O1590" s="22">
        <f t="shared" si="167"/>
        <v>7.6369378355792827E-2</v>
      </c>
    </row>
    <row r="1591" spans="1:15" x14ac:dyDescent="0.25">
      <c r="A1591" s="30" t="s">
        <v>764</v>
      </c>
      <c r="B1591" s="30" t="s">
        <v>333</v>
      </c>
      <c r="C1591" s="30">
        <v>10</v>
      </c>
      <c r="D1591" s="190">
        <v>199267.27799999999</v>
      </c>
      <c r="E1591" s="30" t="s">
        <v>10</v>
      </c>
      <c r="F1591" s="190">
        <v>8193.9189999999999</v>
      </c>
      <c r="G1591" s="30" t="s">
        <v>335</v>
      </c>
      <c r="H1591" s="30"/>
      <c r="J1591" s="67">
        <v>1000</v>
      </c>
      <c r="K1591" s="119">
        <f>D1596</f>
        <v>7339.83</v>
      </c>
      <c r="L1591" s="119">
        <f>D1597</f>
        <v>4223.3370000000004</v>
      </c>
      <c r="M1591" s="18">
        <f t="shared" si="166"/>
        <v>0.73792193234875625</v>
      </c>
      <c r="N1591" s="73">
        <f>D1598</f>
        <v>5932.152</v>
      </c>
      <c r="O1591" s="22">
        <f t="shared" si="167"/>
        <v>0.2372963470929268</v>
      </c>
    </row>
    <row r="1592" spans="1:15" ht="20" thickBot="1" x14ac:dyDescent="0.3">
      <c r="A1592" s="30" t="s">
        <v>765</v>
      </c>
      <c r="B1592" s="30" t="s">
        <v>333</v>
      </c>
      <c r="C1592" s="30">
        <v>10</v>
      </c>
      <c r="D1592" s="190">
        <v>470664.63199999998</v>
      </c>
      <c r="E1592" s="30" t="s">
        <v>10</v>
      </c>
      <c r="F1592" s="190">
        <v>12133.989</v>
      </c>
      <c r="G1592" s="30" t="s">
        <v>335</v>
      </c>
      <c r="H1592" s="30"/>
      <c r="J1592" s="68">
        <v>100</v>
      </c>
      <c r="K1592" s="120">
        <f>D1599</f>
        <v>669.19299999999998</v>
      </c>
      <c r="L1592" s="120">
        <f>D1600</f>
        <v>415.24</v>
      </c>
      <c r="M1592" s="19">
        <f t="shared" si="166"/>
        <v>0.6115812542144301</v>
      </c>
      <c r="N1592" s="74">
        <f>D1601</f>
        <v>475.142</v>
      </c>
      <c r="O1592" s="23">
        <f t="shared" si="167"/>
        <v>0.40840632905531393</v>
      </c>
    </row>
    <row r="1593" spans="1:15" x14ac:dyDescent="0.25">
      <c r="A1593" s="30" t="s">
        <v>757</v>
      </c>
      <c r="B1593" s="30" t="s">
        <v>333</v>
      </c>
      <c r="C1593" s="30">
        <v>25</v>
      </c>
      <c r="D1593" s="190">
        <v>63854.241000000002</v>
      </c>
      <c r="E1593" s="30" t="s">
        <v>10</v>
      </c>
      <c r="F1593" s="190">
        <v>504.572</v>
      </c>
      <c r="G1593" s="30" t="s">
        <v>335</v>
      </c>
      <c r="H1593" s="30"/>
    </row>
    <row r="1594" spans="1:15" x14ac:dyDescent="0.25">
      <c r="A1594" s="30" t="s">
        <v>758</v>
      </c>
      <c r="B1594" s="30" t="s">
        <v>333</v>
      </c>
      <c r="C1594" s="30">
        <v>25</v>
      </c>
      <c r="D1594" s="190">
        <v>41237.968000000001</v>
      </c>
      <c r="E1594" s="30" t="s">
        <v>10</v>
      </c>
      <c r="F1594" s="190">
        <v>297.95600000000002</v>
      </c>
      <c r="G1594" s="30" t="s">
        <v>335</v>
      </c>
      <c r="H1594" s="30"/>
    </row>
    <row r="1595" spans="1:15" x14ac:dyDescent="0.25">
      <c r="A1595" s="30" t="s">
        <v>768</v>
      </c>
      <c r="B1595" s="30" t="s">
        <v>333</v>
      </c>
      <c r="C1595" s="30">
        <v>10</v>
      </c>
      <c r="D1595" s="190">
        <v>59323.724999999999</v>
      </c>
      <c r="E1595" s="30" t="s">
        <v>10</v>
      </c>
      <c r="F1595" s="190">
        <v>1251.1780000000001</v>
      </c>
      <c r="G1595" s="30" t="s">
        <v>335</v>
      </c>
      <c r="H1595" s="30"/>
    </row>
    <row r="1596" spans="1:15" x14ac:dyDescent="0.25">
      <c r="A1596" s="30" t="s">
        <v>769</v>
      </c>
      <c r="B1596" s="30" t="s">
        <v>333</v>
      </c>
      <c r="C1596" s="30">
        <v>10</v>
      </c>
      <c r="D1596" s="190">
        <v>7339.83</v>
      </c>
      <c r="E1596" s="30" t="s">
        <v>10</v>
      </c>
      <c r="F1596" s="190">
        <v>115.337</v>
      </c>
      <c r="G1596" s="30" t="s">
        <v>335</v>
      </c>
      <c r="H1596" s="30"/>
    </row>
    <row r="1597" spans="1:15" x14ac:dyDescent="0.25">
      <c r="A1597" s="30" t="s">
        <v>770</v>
      </c>
      <c r="B1597" s="30" t="s">
        <v>333</v>
      </c>
      <c r="C1597" s="30">
        <v>10</v>
      </c>
      <c r="D1597" s="190">
        <v>4223.3370000000004</v>
      </c>
      <c r="E1597" s="30" t="s">
        <v>10</v>
      </c>
      <c r="F1597" s="190">
        <v>132.17599999999999</v>
      </c>
      <c r="G1597" s="30" t="s">
        <v>335</v>
      </c>
      <c r="H1597" s="30"/>
    </row>
    <row r="1598" spans="1:15" x14ac:dyDescent="0.25">
      <c r="A1598" s="30" t="s">
        <v>771</v>
      </c>
      <c r="B1598" s="30" t="s">
        <v>333</v>
      </c>
      <c r="C1598" s="30">
        <v>10</v>
      </c>
      <c r="D1598" s="190">
        <v>5932.152</v>
      </c>
      <c r="E1598" s="30" t="s">
        <v>10</v>
      </c>
      <c r="F1598" s="190">
        <v>45.162999999999997</v>
      </c>
      <c r="G1598" s="30" t="s">
        <v>335</v>
      </c>
      <c r="H1598" s="30"/>
    </row>
    <row r="1599" spans="1:15" x14ac:dyDescent="0.25">
      <c r="A1599" s="30" t="s">
        <v>772</v>
      </c>
      <c r="B1599" s="30" t="s">
        <v>333</v>
      </c>
      <c r="C1599" s="30">
        <v>10</v>
      </c>
      <c r="D1599" s="190">
        <v>669.19299999999998</v>
      </c>
      <c r="E1599" s="30" t="s">
        <v>10</v>
      </c>
      <c r="F1599" s="190">
        <v>20.835000000000001</v>
      </c>
      <c r="G1599" s="30" t="s">
        <v>335</v>
      </c>
      <c r="H1599" s="30"/>
    </row>
    <row r="1600" spans="1:15" x14ac:dyDescent="0.25">
      <c r="A1600" s="30" t="s">
        <v>773</v>
      </c>
      <c r="B1600" s="30" t="s">
        <v>333</v>
      </c>
      <c r="C1600" s="30">
        <v>10</v>
      </c>
      <c r="D1600" s="190">
        <v>415.24</v>
      </c>
      <c r="E1600" s="30" t="s">
        <v>10</v>
      </c>
      <c r="F1600" s="190">
        <v>13.875</v>
      </c>
      <c r="G1600" s="30" t="s">
        <v>335</v>
      </c>
      <c r="H1600" s="30"/>
    </row>
    <row r="1601" spans="1:8" x14ac:dyDescent="0.25">
      <c r="A1601" s="30" t="s">
        <v>774</v>
      </c>
      <c r="B1601" s="30" t="s">
        <v>333</v>
      </c>
      <c r="C1601" s="30">
        <v>10</v>
      </c>
      <c r="D1601" s="190">
        <v>475.142</v>
      </c>
      <c r="E1601" s="30" t="s">
        <v>10</v>
      </c>
      <c r="F1601" s="190">
        <v>43.683</v>
      </c>
      <c r="G1601" s="30" t="s">
        <v>335</v>
      </c>
      <c r="H1601" s="30"/>
    </row>
    <row r="1603" spans="1:8" x14ac:dyDescent="0.25">
      <c r="A1603" s="30" t="s">
        <v>0</v>
      </c>
      <c r="B1603" s="30" t="s">
        <v>1</v>
      </c>
      <c r="C1603" s="30"/>
      <c r="D1603" s="190"/>
      <c r="E1603" s="30"/>
      <c r="F1603" s="190"/>
      <c r="G1603" s="30"/>
      <c r="H1603" s="30"/>
    </row>
    <row r="1604" spans="1:8" x14ac:dyDescent="0.25">
      <c r="A1604" s="30" t="s">
        <v>2</v>
      </c>
      <c r="B1604" s="30" t="s">
        <v>3</v>
      </c>
      <c r="C1604" s="30" t="s">
        <v>4</v>
      </c>
      <c r="D1604" s="190" t="s">
        <v>5</v>
      </c>
      <c r="E1604" s="30" t="s">
        <v>6</v>
      </c>
      <c r="F1604" s="190" t="s">
        <v>7</v>
      </c>
      <c r="G1604" s="30"/>
      <c r="H1604" s="30"/>
    </row>
    <row r="1605" spans="1:8" x14ac:dyDescent="0.25">
      <c r="A1605" s="30" t="s">
        <v>756</v>
      </c>
      <c r="B1605" s="30" t="s">
        <v>333</v>
      </c>
      <c r="C1605" s="30">
        <v>10</v>
      </c>
      <c r="D1605" s="190">
        <v>27400.932000000001</v>
      </c>
      <c r="E1605" s="30" t="s">
        <v>10</v>
      </c>
      <c r="F1605" s="190">
        <v>461.22300000000001</v>
      </c>
      <c r="G1605" s="30" t="s">
        <v>335</v>
      </c>
      <c r="H1605" s="30"/>
    </row>
    <row r="1606" spans="1:8" x14ac:dyDescent="0.25">
      <c r="A1606" s="30" t="s">
        <v>757</v>
      </c>
      <c r="B1606" s="30" t="s">
        <v>333</v>
      </c>
      <c r="C1606" s="30">
        <v>10</v>
      </c>
      <c r="D1606" s="190">
        <v>64114.836000000003</v>
      </c>
      <c r="E1606" s="30" t="s">
        <v>10</v>
      </c>
      <c r="F1606" s="190">
        <v>3082.3910000000001</v>
      </c>
      <c r="G1606" s="30" t="s">
        <v>335</v>
      </c>
      <c r="H1606" s="30"/>
    </row>
    <row r="1607" spans="1:8" x14ac:dyDescent="0.25">
      <c r="A1607" s="30" t="s">
        <v>758</v>
      </c>
      <c r="B1607" s="30" t="s">
        <v>333</v>
      </c>
      <c r="C1607" s="30">
        <v>10</v>
      </c>
      <c r="D1607" s="190">
        <v>41136.546000000002</v>
      </c>
      <c r="E1607" s="30" t="s">
        <v>10</v>
      </c>
      <c r="F1607" s="190">
        <v>1296.375</v>
      </c>
      <c r="G1607" s="30" t="s">
        <v>335</v>
      </c>
      <c r="H1607" s="30"/>
    </row>
    <row r="1608" spans="1:8" x14ac:dyDescent="0.25">
      <c r="A1608" s="30" t="s">
        <v>702</v>
      </c>
      <c r="B1608" s="30" t="s">
        <v>333</v>
      </c>
      <c r="C1608" s="30">
        <v>10</v>
      </c>
      <c r="D1608" s="190">
        <v>13462.455</v>
      </c>
      <c r="E1608" s="30" t="s">
        <v>10</v>
      </c>
      <c r="F1608" s="190">
        <v>165.87700000000001</v>
      </c>
      <c r="G1608" s="30" t="s">
        <v>335</v>
      </c>
      <c r="H1608" s="30"/>
    </row>
    <row r="1609" spans="1:8" x14ac:dyDescent="0.25">
      <c r="A1609" s="30" t="s">
        <v>703</v>
      </c>
      <c r="B1609" s="30" t="s">
        <v>333</v>
      </c>
      <c r="C1609" s="30">
        <v>10</v>
      </c>
      <c r="D1609" s="190">
        <v>10544.157999999999</v>
      </c>
      <c r="E1609" s="30" t="s">
        <v>10</v>
      </c>
      <c r="F1609" s="190">
        <v>680.56200000000001</v>
      </c>
      <c r="G1609" s="30" t="s">
        <v>335</v>
      </c>
      <c r="H1609" s="30"/>
    </row>
    <row r="1610" spans="1:8" x14ac:dyDescent="0.25">
      <c r="A1610" s="30" t="s">
        <v>704</v>
      </c>
      <c r="B1610" s="30" t="s">
        <v>333</v>
      </c>
      <c r="C1610" s="30">
        <v>10</v>
      </c>
      <c r="D1610" s="190">
        <v>57931.512999999999</v>
      </c>
      <c r="E1610" s="30" t="s">
        <v>10</v>
      </c>
      <c r="F1610" s="190">
        <v>1685.703</v>
      </c>
      <c r="G1610" s="30" t="s">
        <v>335</v>
      </c>
      <c r="H1610" s="30"/>
    </row>
    <row r="1611" spans="1:8" x14ac:dyDescent="0.25">
      <c r="A1611" s="30" t="s">
        <v>705</v>
      </c>
      <c r="B1611" s="30" t="s">
        <v>333</v>
      </c>
      <c r="C1611" s="30">
        <v>10</v>
      </c>
      <c r="D1611" s="190">
        <v>35989.917000000001</v>
      </c>
      <c r="E1611" s="30" t="s">
        <v>10</v>
      </c>
      <c r="F1611" s="190">
        <v>484.38299999999998</v>
      </c>
      <c r="G1611" s="30" t="s">
        <v>335</v>
      </c>
      <c r="H1611" s="30"/>
    </row>
    <row r="1612" spans="1:8" x14ac:dyDescent="0.25">
      <c r="A1612" s="30" t="s">
        <v>706</v>
      </c>
      <c r="B1612" s="30" t="s">
        <v>333</v>
      </c>
      <c r="C1612" s="30">
        <v>10</v>
      </c>
      <c r="D1612" s="190">
        <v>248809.43400000001</v>
      </c>
      <c r="E1612" s="30" t="s">
        <v>10</v>
      </c>
      <c r="F1612" s="190">
        <v>2258.2660000000001</v>
      </c>
      <c r="G1612" s="30" t="s">
        <v>335</v>
      </c>
      <c r="H1612" s="30"/>
    </row>
    <row r="1613" spans="1:8" x14ac:dyDescent="0.25">
      <c r="A1613" s="30" t="s">
        <v>707</v>
      </c>
      <c r="B1613" s="30" t="s">
        <v>333</v>
      </c>
      <c r="C1613" s="30">
        <v>10</v>
      </c>
      <c r="D1613" s="190">
        <v>292416.43</v>
      </c>
      <c r="E1613" s="30" t="s">
        <v>10</v>
      </c>
      <c r="F1613" s="190">
        <v>12341.653</v>
      </c>
      <c r="G1613" s="30" t="s">
        <v>335</v>
      </c>
      <c r="H1613" s="30"/>
    </row>
    <row r="1614" spans="1:8" x14ac:dyDescent="0.25">
      <c r="A1614" s="30" t="s">
        <v>708</v>
      </c>
      <c r="B1614" s="30" t="s">
        <v>333</v>
      </c>
      <c r="C1614" s="30">
        <v>10</v>
      </c>
      <c r="D1614" s="190">
        <v>227558.76699999999</v>
      </c>
      <c r="E1614" s="30" t="s">
        <v>10</v>
      </c>
      <c r="F1614" s="190">
        <v>5110.2209999999995</v>
      </c>
      <c r="G1614" s="30" t="s">
        <v>335</v>
      </c>
      <c r="H1614" s="30"/>
    </row>
    <row r="1615" spans="1:8" x14ac:dyDescent="0.25">
      <c r="A1615" s="30" t="s">
        <v>709</v>
      </c>
      <c r="B1615" s="30" t="s">
        <v>333</v>
      </c>
      <c r="C1615" s="30">
        <v>10</v>
      </c>
      <c r="D1615" s="190">
        <v>283495.75</v>
      </c>
      <c r="E1615" s="30" t="s">
        <v>10</v>
      </c>
      <c r="F1615" s="190">
        <v>5005.9110000000001</v>
      </c>
      <c r="G1615" s="30" t="s">
        <v>335</v>
      </c>
      <c r="H1615" s="30"/>
    </row>
    <row r="1616" spans="1:8" x14ac:dyDescent="0.25">
      <c r="A1616" s="30" t="s">
        <v>710</v>
      </c>
      <c r="B1616" s="30" t="s">
        <v>333</v>
      </c>
      <c r="C1616" s="30">
        <v>10</v>
      </c>
      <c r="D1616" s="190">
        <v>138291.003</v>
      </c>
      <c r="E1616" s="30" t="s">
        <v>10</v>
      </c>
      <c r="F1616" s="190">
        <v>4744.34</v>
      </c>
      <c r="G1616" s="30" t="s">
        <v>335</v>
      </c>
      <c r="H1616" s="30"/>
    </row>
    <row r="1617" spans="1:15" x14ac:dyDescent="0.25">
      <c r="A1617" s="30" t="s">
        <v>711</v>
      </c>
      <c r="B1617" s="30" t="s">
        <v>333</v>
      </c>
      <c r="C1617" s="30">
        <v>10</v>
      </c>
      <c r="D1617" s="190">
        <v>161052.99799999999</v>
      </c>
      <c r="E1617" s="30" t="s">
        <v>10</v>
      </c>
      <c r="F1617" s="190">
        <v>2781.7179999999998</v>
      </c>
      <c r="G1617" s="30" t="s">
        <v>335</v>
      </c>
      <c r="H1617" s="30"/>
    </row>
    <row r="1618" spans="1:15" x14ac:dyDescent="0.25">
      <c r="A1618" s="30" t="s">
        <v>712</v>
      </c>
      <c r="B1618" s="30" t="s">
        <v>333</v>
      </c>
      <c r="C1618" s="30">
        <v>10</v>
      </c>
      <c r="D1618" s="190">
        <v>80149.312000000005</v>
      </c>
      <c r="E1618" s="30" t="s">
        <v>10</v>
      </c>
      <c r="F1618" s="190">
        <v>1473.5319999999999</v>
      </c>
      <c r="G1618" s="30" t="s">
        <v>335</v>
      </c>
      <c r="H1618" s="30"/>
    </row>
    <row r="1619" spans="1:15" x14ac:dyDescent="0.25">
      <c r="A1619" s="30" t="s">
        <v>713</v>
      </c>
      <c r="B1619" s="30" t="s">
        <v>333</v>
      </c>
      <c r="C1619" s="30">
        <v>10</v>
      </c>
      <c r="D1619" s="190">
        <v>100518.261</v>
      </c>
      <c r="E1619" s="30" t="s">
        <v>10</v>
      </c>
      <c r="F1619" s="190">
        <v>1619.6690000000001</v>
      </c>
      <c r="G1619" s="30" t="s">
        <v>335</v>
      </c>
      <c r="H1619" s="30"/>
    </row>
    <row r="1620" spans="1:15" x14ac:dyDescent="0.25">
      <c r="A1620" s="30" t="s">
        <v>714</v>
      </c>
      <c r="B1620" s="30" t="s">
        <v>333</v>
      </c>
      <c r="C1620" s="30">
        <v>10</v>
      </c>
      <c r="D1620" s="190">
        <v>475449.397</v>
      </c>
      <c r="E1620" s="30" t="s">
        <v>10</v>
      </c>
      <c r="F1620" s="190">
        <v>15468.627</v>
      </c>
      <c r="G1620" s="30" t="s">
        <v>335</v>
      </c>
      <c r="H1620" s="30"/>
    </row>
    <row r="1621" spans="1:15" x14ac:dyDescent="0.25">
      <c r="A1621" s="30" t="s">
        <v>715</v>
      </c>
      <c r="B1621" s="30" t="s">
        <v>333</v>
      </c>
      <c r="C1621" s="30">
        <v>10</v>
      </c>
      <c r="D1621" s="190">
        <v>549306.11300000001</v>
      </c>
      <c r="E1621" s="30" t="s">
        <v>10</v>
      </c>
      <c r="F1621" s="190">
        <v>113784.61900000001</v>
      </c>
      <c r="G1621" s="30" t="s">
        <v>335</v>
      </c>
      <c r="H1621" s="30"/>
    </row>
    <row r="1622" spans="1:15" x14ac:dyDescent="0.25">
      <c r="A1622" s="30" t="s">
        <v>716</v>
      </c>
      <c r="B1622" s="30" t="s">
        <v>333</v>
      </c>
      <c r="C1622" s="30">
        <v>10</v>
      </c>
      <c r="D1622" s="190">
        <v>1007869.796</v>
      </c>
      <c r="E1622" s="30" t="s">
        <v>10</v>
      </c>
      <c r="F1622" s="190">
        <v>8696.1370000000006</v>
      </c>
      <c r="G1622" s="30" t="s">
        <v>335</v>
      </c>
      <c r="H1622" s="30"/>
    </row>
    <row r="1623" spans="1:15" x14ac:dyDescent="0.25">
      <c r="A1623" s="30" t="s">
        <v>717</v>
      </c>
      <c r="B1623" s="30" t="s">
        <v>333</v>
      </c>
      <c r="C1623" s="30">
        <v>10</v>
      </c>
      <c r="D1623" s="190">
        <v>1015069.823</v>
      </c>
      <c r="E1623" s="30" t="s">
        <v>10</v>
      </c>
      <c r="F1623" s="190">
        <v>9053.4719999999998</v>
      </c>
      <c r="G1623" s="30" t="s">
        <v>335</v>
      </c>
      <c r="H1623" s="30"/>
    </row>
    <row r="1624" spans="1:15" x14ac:dyDescent="0.25">
      <c r="A1624" s="30" t="s">
        <v>718</v>
      </c>
      <c r="B1624" s="30" t="s">
        <v>333</v>
      </c>
      <c r="C1624" s="30">
        <v>10</v>
      </c>
      <c r="D1624" s="190">
        <v>5409.7960000000003</v>
      </c>
      <c r="E1624" s="30" t="s">
        <v>10</v>
      </c>
      <c r="F1624" s="190">
        <v>98.861999999999995</v>
      </c>
      <c r="G1624" s="30" t="s">
        <v>335</v>
      </c>
      <c r="H1624" s="30"/>
    </row>
    <row r="1625" spans="1:15" x14ac:dyDescent="0.25">
      <c r="A1625" s="30" t="s">
        <v>719</v>
      </c>
      <c r="B1625" s="30" t="s">
        <v>333</v>
      </c>
      <c r="C1625" s="30">
        <v>10</v>
      </c>
      <c r="D1625" s="190">
        <v>3185.922</v>
      </c>
      <c r="E1625" s="30" t="s">
        <v>10</v>
      </c>
      <c r="F1625" s="190">
        <v>63.723999999999997</v>
      </c>
      <c r="G1625" s="30" t="s">
        <v>335</v>
      </c>
      <c r="H1625" s="30"/>
    </row>
    <row r="1626" spans="1:15" x14ac:dyDescent="0.25">
      <c r="A1626" s="30" t="s">
        <v>720</v>
      </c>
      <c r="B1626" s="30" t="s">
        <v>333</v>
      </c>
      <c r="C1626" s="30">
        <v>10</v>
      </c>
      <c r="D1626" s="190">
        <v>48763.749000000003</v>
      </c>
      <c r="E1626" s="30" t="s">
        <v>10</v>
      </c>
      <c r="F1626" s="190">
        <v>693.20100000000002</v>
      </c>
      <c r="G1626" s="30" t="s">
        <v>335</v>
      </c>
      <c r="H1626" s="30"/>
    </row>
    <row r="1627" spans="1:15" x14ac:dyDescent="0.25">
      <c r="A1627" s="30" t="s">
        <v>721</v>
      </c>
      <c r="B1627" s="30" t="s">
        <v>333</v>
      </c>
      <c r="C1627" s="30">
        <v>10</v>
      </c>
      <c r="D1627" s="190">
        <v>25198.190999999999</v>
      </c>
      <c r="E1627" s="30" t="s">
        <v>10</v>
      </c>
      <c r="F1627" s="190">
        <v>332.77699999999999</v>
      </c>
      <c r="G1627" s="30" t="s">
        <v>335</v>
      </c>
      <c r="H1627" s="30"/>
    </row>
    <row r="1629" spans="1:15" x14ac:dyDescent="0.25">
      <c r="A1629" s="30" t="s">
        <v>161</v>
      </c>
      <c r="B1629" s="30"/>
      <c r="C1629" s="30"/>
      <c r="D1629" s="190"/>
      <c r="E1629" s="30"/>
      <c r="F1629" s="190"/>
      <c r="G1629" s="30"/>
      <c r="H1629" s="30"/>
    </row>
    <row r="1630" spans="1:15" ht="20" thickBot="1" x14ac:dyDescent="0.3">
      <c r="A1630" s="30" t="s">
        <v>2</v>
      </c>
      <c r="B1630" s="30" t="s">
        <v>3</v>
      </c>
      <c r="C1630" s="30" t="s">
        <v>4</v>
      </c>
      <c r="D1630" s="190" t="s">
        <v>5</v>
      </c>
      <c r="E1630" s="30" t="s">
        <v>6</v>
      </c>
      <c r="F1630" s="190" t="s">
        <v>7</v>
      </c>
      <c r="G1630" s="30"/>
      <c r="H1630" s="30"/>
    </row>
    <row r="1631" spans="1:15" x14ac:dyDescent="0.25">
      <c r="A1631" s="30" t="s">
        <v>8</v>
      </c>
      <c r="B1631" s="30" t="s">
        <v>333</v>
      </c>
      <c r="C1631" s="30">
        <v>25</v>
      </c>
      <c r="D1631" s="190">
        <v>3825709.4470000002</v>
      </c>
      <c r="E1631" s="30" t="s">
        <v>10</v>
      </c>
      <c r="F1631" s="190">
        <v>41173.262000000002</v>
      </c>
      <c r="G1631" s="30" t="s">
        <v>335</v>
      </c>
      <c r="H1631" s="30"/>
      <c r="J1631" s="5" t="s">
        <v>161</v>
      </c>
      <c r="K1631" s="72" t="s">
        <v>340</v>
      </c>
      <c r="L1631" s="72" t="s">
        <v>341</v>
      </c>
      <c r="M1631" s="17" t="s">
        <v>162</v>
      </c>
      <c r="N1631" s="72" t="s">
        <v>342</v>
      </c>
      <c r="O1631" s="21" t="s">
        <v>162</v>
      </c>
    </row>
    <row r="1632" spans="1:15" x14ac:dyDescent="0.25">
      <c r="A1632" s="30" t="s">
        <v>12</v>
      </c>
      <c r="B1632" s="30" t="s">
        <v>333</v>
      </c>
      <c r="C1632" s="30">
        <v>25</v>
      </c>
      <c r="D1632" s="190">
        <v>8635993.5529999994</v>
      </c>
      <c r="E1632" s="30" t="s">
        <v>10</v>
      </c>
      <c r="F1632" s="190">
        <v>140200.23300000001</v>
      </c>
      <c r="G1632" s="30" t="s">
        <v>335</v>
      </c>
      <c r="H1632" s="30"/>
      <c r="J1632" s="6">
        <v>100000</v>
      </c>
      <c r="K1632" s="119">
        <f>D1631</f>
        <v>3825709.4470000002</v>
      </c>
      <c r="L1632" s="119">
        <f>D1632</f>
        <v>8635993.5529999994</v>
      </c>
      <c r="M1632" s="18">
        <f>(K1632/L1632-1)</f>
        <v>-0.55700413351153877</v>
      </c>
      <c r="N1632" s="73">
        <f>D1633</f>
        <v>5756767.7019999996</v>
      </c>
      <c r="O1632" s="22">
        <f>(K1632/N1632-1)</f>
        <v>-0.3354414065255954</v>
      </c>
    </row>
    <row r="1633" spans="1:15" x14ac:dyDescent="0.25">
      <c r="A1633" s="30" t="s">
        <v>13</v>
      </c>
      <c r="B1633" s="30" t="s">
        <v>333</v>
      </c>
      <c r="C1633" s="30">
        <v>25</v>
      </c>
      <c r="D1633" s="190">
        <v>5756767.7019999996</v>
      </c>
      <c r="E1633" s="30" t="s">
        <v>10</v>
      </c>
      <c r="F1633" s="190">
        <v>49522.362000000001</v>
      </c>
      <c r="G1633" s="30" t="s">
        <v>335</v>
      </c>
      <c r="H1633" s="30"/>
      <c r="J1633" s="6">
        <v>50000</v>
      </c>
      <c r="K1633" s="119">
        <f>D1634</f>
        <v>1893957.9609999999</v>
      </c>
      <c r="L1633" s="119">
        <f>D1635</f>
        <v>4232262.2549999999</v>
      </c>
      <c r="M1633" s="18">
        <f t="shared" ref="M1633:M1636" si="168">(K1633/L1633-1)</f>
        <v>-0.5524951321807916</v>
      </c>
      <c r="N1633" s="73">
        <f>D1636</f>
        <v>2906656.2409999999</v>
      </c>
      <c r="O1633" s="22">
        <f t="shared" ref="O1633:O1636" si="169">(K1633/N1633-1)</f>
        <v>-0.3484066212286574</v>
      </c>
    </row>
    <row r="1634" spans="1:15" x14ac:dyDescent="0.25">
      <c r="A1634" s="30" t="s">
        <v>14</v>
      </c>
      <c r="B1634" s="30" t="s">
        <v>333</v>
      </c>
      <c r="C1634" s="30">
        <v>25</v>
      </c>
      <c r="D1634" s="190">
        <v>1893957.9609999999</v>
      </c>
      <c r="E1634" s="30" t="s">
        <v>10</v>
      </c>
      <c r="F1634" s="190">
        <v>16710.574000000001</v>
      </c>
      <c r="G1634" s="30" t="s">
        <v>335</v>
      </c>
      <c r="H1634" s="30"/>
      <c r="J1634" s="6">
        <v>10000</v>
      </c>
      <c r="K1634" s="119">
        <f>D1637</f>
        <v>386294.96799999999</v>
      </c>
      <c r="L1634" s="119">
        <f>D1638</f>
        <v>841374.951</v>
      </c>
      <c r="M1634" s="18">
        <f t="shared" si="168"/>
        <v>-0.54087655267027324</v>
      </c>
      <c r="N1634" s="73">
        <f>D1639</f>
        <v>571724.26800000004</v>
      </c>
      <c r="O1634" s="22">
        <f t="shared" si="169"/>
        <v>-0.32433344249784413</v>
      </c>
    </row>
    <row r="1635" spans="1:15" x14ac:dyDescent="0.25">
      <c r="A1635" s="30" t="s">
        <v>15</v>
      </c>
      <c r="B1635" s="30" t="s">
        <v>333</v>
      </c>
      <c r="C1635" s="30">
        <v>25</v>
      </c>
      <c r="D1635" s="190">
        <v>4232262.2549999999</v>
      </c>
      <c r="E1635" s="30" t="s">
        <v>10</v>
      </c>
      <c r="F1635" s="190">
        <v>79507.937999999995</v>
      </c>
      <c r="G1635" s="30" t="s">
        <v>335</v>
      </c>
      <c r="H1635" s="30"/>
      <c r="J1635" s="67">
        <v>1000</v>
      </c>
      <c r="K1635" s="119">
        <f>D1640</f>
        <v>53823.097999999998</v>
      </c>
      <c r="L1635" s="119">
        <f>D1641</f>
        <v>94145.106</v>
      </c>
      <c r="M1635" s="18">
        <f t="shared" si="168"/>
        <v>-0.42829637899605744</v>
      </c>
      <c r="N1635" s="73">
        <f>D1642</f>
        <v>58842.178</v>
      </c>
      <c r="O1635" s="22">
        <f t="shared" si="169"/>
        <v>-8.5297318532295052E-2</v>
      </c>
    </row>
    <row r="1636" spans="1:15" ht="20" thickBot="1" x14ac:dyDescent="0.3">
      <c r="A1636" s="30" t="s">
        <v>16</v>
      </c>
      <c r="B1636" s="30" t="s">
        <v>333</v>
      </c>
      <c r="C1636" s="30">
        <v>25</v>
      </c>
      <c r="D1636" s="190">
        <v>2906656.2409999999</v>
      </c>
      <c r="E1636" s="30" t="s">
        <v>10</v>
      </c>
      <c r="F1636" s="190">
        <v>34675.550999999999</v>
      </c>
      <c r="G1636" s="30" t="s">
        <v>335</v>
      </c>
      <c r="H1636" s="30"/>
      <c r="J1636" s="68">
        <v>100</v>
      </c>
      <c r="K1636" s="120">
        <f>D1643</f>
        <v>3859.8589999999999</v>
      </c>
      <c r="L1636" s="120">
        <f>D1644</f>
        <v>5873.1540000000005</v>
      </c>
      <c r="M1636" s="19">
        <f t="shared" si="168"/>
        <v>-0.34279622158724266</v>
      </c>
      <c r="N1636" s="74">
        <f>D1645</f>
        <v>5730.3959999999997</v>
      </c>
      <c r="O1636" s="23">
        <f t="shared" si="169"/>
        <v>-0.3264236886944637</v>
      </c>
    </row>
    <row r="1637" spans="1:15" x14ac:dyDescent="0.25">
      <c r="A1637" s="30" t="s">
        <v>17</v>
      </c>
      <c r="B1637" s="30" t="s">
        <v>333</v>
      </c>
      <c r="C1637" s="30">
        <v>25</v>
      </c>
      <c r="D1637" s="190">
        <v>386294.96799999999</v>
      </c>
      <c r="E1637" s="30" t="s">
        <v>10</v>
      </c>
      <c r="F1637" s="190">
        <v>2327.8470000000002</v>
      </c>
      <c r="G1637" s="30" t="s">
        <v>335</v>
      </c>
      <c r="H1637" s="30"/>
    </row>
    <row r="1638" spans="1:15" x14ac:dyDescent="0.25">
      <c r="A1638" s="30" t="s">
        <v>18</v>
      </c>
      <c r="B1638" s="30" t="s">
        <v>333</v>
      </c>
      <c r="C1638" s="30">
        <v>25</v>
      </c>
      <c r="D1638" s="190">
        <v>841374.951</v>
      </c>
      <c r="E1638" s="30" t="s">
        <v>10</v>
      </c>
      <c r="F1638" s="190">
        <v>9857.7919999999995</v>
      </c>
      <c r="G1638" s="30" t="s">
        <v>335</v>
      </c>
      <c r="H1638" s="30"/>
    </row>
    <row r="1639" spans="1:15" x14ac:dyDescent="0.25">
      <c r="A1639" s="30" t="s">
        <v>19</v>
      </c>
      <c r="B1639" s="30" t="s">
        <v>333</v>
      </c>
      <c r="C1639" s="30">
        <v>25</v>
      </c>
      <c r="D1639" s="190">
        <v>571724.26800000004</v>
      </c>
      <c r="E1639" s="30" t="s">
        <v>10</v>
      </c>
      <c r="F1639" s="190">
        <v>5816.625</v>
      </c>
      <c r="G1639" s="30" t="s">
        <v>335</v>
      </c>
      <c r="H1639" s="30"/>
    </row>
    <row r="1640" spans="1:15" x14ac:dyDescent="0.25">
      <c r="A1640" s="30" t="s">
        <v>20</v>
      </c>
      <c r="B1640" s="30" t="s">
        <v>333</v>
      </c>
      <c r="C1640" s="30">
        <v>25</v>
      </c>
      <c r="D1640" s="190">
        <v>53823.097999999998</v>
      </c>
      <c r="E1640" s="30" t="s">
        <v>10</v>
      </c>
      <c r="F1640" s="190">
        <v>548.90599999999995</v>
      </c>
      <c r="G1640" s="30" t="s">
        <v>335</v>
      </c>
      <c r="H1640" s="30"/>
    </row>
    <row r="1641" spans="1:15" x14ac:dyDescent="0.25">
      <c r="A1641" s="30" t="s">
        <v>21</v>
      </c>
      <c r="B1641" s="30" t="s">
        <v>333</v>
      </c>
      <c r="C1641" s="30">
        <v>25</v>
      </c>
      <c r="D1641" s="190">
        <v>94145.106</v>
      </c>
      <c r="E1641" s="30" t="s">
        <v>10</v>
      </c>
      <c r="F1641" s="190">
        <v>393.03</v>
      </c>
      <c r="G1641" s="30" t="s">
        <v>335</v>
      </c>
      <c r="H1641" s="30"/>
    </row>
    <row r="1642" spans="1:15" x14ac:dyDescent="0.25">
      <c r="A1642" s="30" t="s">
        <v>22</v>
      </c>
      <c r="B1642" s="30" t="s">
        <v>333</v>
      </c>
      <c r="C1642" s="30">
        <v>25</v>
      </c>
      <c r="D1642" s="190">
        <v>58842.178</v>
      </c>
      <c r="E1642" s="30" t="s">
        <v>10</v>
      </c>
      <c r="F1642" s="190">
        <v>570.05600000000004</v>
      </c>
      <c r="G1642" s="30" t="s">
        <v>335</v>
      </c>
      <c r="H1642" s="30"/>
    </row>
    <row r="1643" spans="1:15" x14ac:dyDescent="0.25">
      <c r="A1643" s="30" t="s">
        <v>23</v>
      </c>
      <c r="B1643" s="30" t="s">
        <v>333</v>
      </c>
      <c r="C1643" s="30">
        <v>25</v>
      </c>
      <c r="D1643" s="190">
        <v>3859.8589999999999</v>
      </c>
      <c r="E1643" s="30" t="s">
        <v>10</v>
      </c>
      <c r="F1643" s="190">
        <v>21.047999999999998</v>
      </c>
      <c r="G1643" s="30" t="s">
        <v>335</v>
      </c>
      <c r="H1643" s="30"/>
    </row>
    <row r="1644" spans="1:15" x14ac:dyDescent="0.25">
      <c r="A1644" s="30" t="s">
        <v>24</v>
      </c>
      <c r="B1644" s="30" t="s">
        <v>333</v>
      </c>
      <c r="C1644" s="30">
        <v>25</v>
      </c>
      <c r="D1644" s="190">
        <v>5873.1540000000005</v>
      </c>
      <c r="E1644" s="30" t="s">
        <v>10</v>
      </c>
      <c r="F1644" s="190">
        <v>47.52</v>
      </c>
      <c r="G1644" s="30" t="s">
        <v>335</v>
      </c>
      <c r="H1644" s="30"/>
    </row>
    <row r="1645" spans="1:15" x14ac:dyDescent="0.25">
      <c r="A1645" s="30" t="s">
        <v>25</v>
      </c>
      <c r="B1645" s="30" t="s">
        <v>333</v>
      </c>
      <c r="C1645" s="30">
        <v>25</v>
      </c>
      <c r="D1645" s="190">
        <v>5730.3959999999997</v>
      </c>
      <c r="E1645" s="30" t="s">
        <v>10</v>
      </c>
      <c r="F1645" s="190">
        <v>44.341000000000001</v>
      </c>
      <c r="G1645" s="30" t="s">
        <v>335</v>
      </c>
      <c r="H1645" s="30"/>
    </row>
    <row r="1647" spans="1:15" x14ac:dyDescent="0.25">
      <c r="A1647" s="30" t="s">
        <v>163</v>
      </c>
      <c r="B1647" s="30"/>
      <c r="C1647" s="30"/>
      <c r="D1647" s="190"/>
      <c r="E1647" s="30"/>
      <c r="F1647" s="190"/>
      <c r="G1647" s="30"/>
      <c r="H1647" s="30"/>
    </row>
    <row r="1648" spans="1:15" ht="20" thickBot="1" x14ac:dyDescent="0.3">
      <c r="A1648" s="30" t="s">
        <v>2</v>
      </c>
      <c r="B1648" s="30" t="s">
        <v>3</v>
      </c>
      <c r="C1648" s="30" t="s">
        <v>4</v>
      </c>
      <c r="D1648" s="190" t="s">
        <v>5</v>
      </c>
      <c r="E1648" s="30" t="s">
        <v>6</v>
      </c>
      <c r="F1648" s="190" t="s">
        <v>7</v>
      </c>
      <c r="G1648" s="30"/>
      <c r="H1648" s="30"/>
    </row>
    <row r="1649" spans="1:15" x14ac:dyDescent="0.25">
      <c r="A1649" s="30" t="s">
        <v>26</v>
      </c>
      <c r="B1649" s="30" t="s">
        <v>333</v>
      </c>
      <c r="C1649" s="30">
        <v>25</v>
      </c>
      <c r="D1649" s="190">
        <v>2069717.233</v>
      </c>
      <c r="E1649" s="30" t="s">
        <v>10</v>
      </c>
      <c r="F1649" s="190">
        <v>10432.012000000001</v>
      </c>
      <c r="G1649" s="30" t="s">
        <v>335</v>
      </c>
      <c r="H1649" s="30"/>
      <c r="J1649" s="5" t="s">
        <v>163</v>
      </c>
      <c r="K1649" s="72" t="s">
        <v>340</v>
      </c>
      <c r="L1649" s="72" t="s">
        <v>341</v>
      </c>
      <c r="M1649" s="17" t="s">
        <v>162</v>
      </c>
      <c r="N1649" s="72" t="s">
        <v>342</v>
      </c>
      <c r="O1649" s="21" t="s">
        <v>162</v>
      </c>
    </row>
    <row r="1650" spans="1:15" x14ac:dyDescent="0.25">
      <c r="A1650" s="30" t="s">
        <v>27</v>
      </c>
      <c r="B1650" s="30" t="s">
        <v>333</v>
      </c>
      <c r="C1650" s="30">
        <v>25</v>
      </c>
      <c r="D1650" s="190">
        <v>2743344.8309999998</v>
      </c>
      <c r="E1650" s="30" t="s">
        <v>10</v>
      </c>
      <c r="F1650" s="190">
        <v>143089.17499999999</v>
      </c>
      <c r="G1650" s="30" t="s">
        <v>335</v>
      </c>
      <c r="H1650" s="30"/>
      <c r="J1650" s="6">
        <v>100000</v>
      </c>
      <c r="K1650" s="119">
        <f>D1649</f>
        <v>2069717.233</v>
      </c>
      <c r="L1650" s="119">
        <f>D1650</f>
        <v>2743344.8309999998</v>
      </c>
      <c r="M1650" s="18">
        <f>(K1650/L1650-1)</f>
        <v>-0.2455497356321954</v>
      </c>
      <c r="N1650" s="73">
        <f>D1651</f>
        <v>2922782.7390000001</v>
      </c>
      <c r="O1650" s="22">
        <f>(K1650/N1650-1)</f>
        <v>-0.29186757353434611</v>
      </c>
    </row>
    <row r="1651" spans="1:15" x14ac:dyDescent="0.25">
      <c r="A1651" s="30" t="s">
        <v>28</v>
      </c>
      <c r="B1651" s="30" t="s">
        <v>333</v>
      </c>
      <c r="C1651" s="30">
        <v>25</v>
      </c>
      <c r="D1651" s="190">
        <v>2922782.7390000001</v>
      </c>
      <c r="E1651" s="30" t="s">
        <v>10</v>
      </c>
      <c r="F1651" s="190">
        <v>18238.182000000001</v>
      </c>
      <c r="G1651" s="30" t="s">
        <v>335</v>
      </c>
      <c r="H1651" s="30"/>
      <c r="J1651" s="6">
        <v>50000</v>
      </c>
      <c r="K1651" s="119">
        <f>D1652</f>
        <v>1039578.468</v>
      </c>
      <c r="L1651" s="119">
        <f>D1653</f>
        <v>1355581.0730000001</v>
      </c>
      <c r="M1651" s="18">
        <f t="shared" ref="M1651:M1654" si="170">(K1651/L1651-1)</f>
        <v>-0.23311228763371805</v>
      </c>
      <c r="N1651" s="73">
        <f>D1654</f>
        <v>1478189.7080000001</v>
      </c>
      <c r="O1651" s="22">
        <f t="shared" ref="O1651:O1654" si="171">(K1651/N1651-1)</f>
        <v>-0.29672188733707516</v>
      </c>
    </row>
    <row r="1652" spans="1:15" x14ac:dyDescent="0.25">
      <c r="A1652" s="30" t="s">
        <v>29</v>
      </c>
      <c r="B1652" s="30" t="s">
        <v>333</v>
      </c>
      <c r="C1652" s="30">
        <v>25</v>
      </c>
      <c r="D1652" s="190">
        <v>1039578.468</v>
      </c>
      <c r="E1652" s="30" t="s">
        <v>10</v>
      </c>
      <c r="F1652" s="190">
        <v>15128.379000000001</v>
      </c>
      <c r="G1652" s="30" t="s">
        <v>335</v>
      </c>
      <c r="H1652" s="30"/>
      <c r="J1652" s="6">
        <v>10000</v>
      </c>
      <c r="K1652" s="119">
        <f>D1655</f>
        <v>209647.29699999999</v>
      </c>
      <c r="L1652" s="119">
        <f>D1656</f>
        <v>255363.64799999999</v>
      </c>
      <c r="M1652" s="18">
        <f t="shared" si="170"/>
        <v>-0.17902450626018629</v>
      </c>
      <c r="N1652" s="73">
        <f>D1657</f>
        <v>289189.73300000001</v>
      </c>
      <c r="O1652" s="22">
        <f t="shared" si="171"/>
        <v>-0.27505276613675633</v>
      </c>
    </row>
    <row r="1653" spans="1:15" x14ac:dyDescent="0.25">
      <c r="A1653" s="30" t="s">
        <v>30</v>
      </c>
      <c r="B1653" s="30" t="s">
        <v>333</v>
      </c>
      <c r="C1653" s="30">
        <v>25</v>
      </c>
      <c r="D1653" s="190">
        <v>1355581.0730000001</v>
      </c>
      <c r="E1653" s="30" t="s">
        <v>10</v>
      </c>
      <c r="F1653" s="190">
        <v>95927.282999999996</v>
      </c>
      <c r="G1653" s="30" t="s">
        <v>335</v>
      </c>
      <c r="H1653" s="30"/>
      <c r="J1653" s="67">
        <v>1000</v>
      </c>
      <c r="K1653" s="119">
        <f>D1658</f>
        <v>27270.163</v>
      </c>
      <c r="L1653" s="119">
        <f>D1659</f>
        <v>39059.667999999998</v>
      </c>
      <c r="M1653" s="18">
        <f t="shared" si="170"/>
        <v>-0.30183321066630664</v>
      </c>
      <c r="N1653" s="73">
        <f>D1660</f>
        <v>27795.761999999999</v>
      </c>
      <c r="O1653" s="22">
        <f t="shared" si="171"/>
        <v>-1.8909321500162446E-2</v>
      </c>
    </row>
    <row r="1654" spans="1:15" ht="20" thickBot="1" x14ac:dyDescent="0.3">
      <c r="A1654" s="30" t="s">
        <v>31</v>
      </c>
      <c r="B1654" s="30" t="s">
        <v>333</v>
      </c>
      <c r="C1654" s="30">
        <v>25</v>
      </c>
      <c r="D1654" s="190">
        <v>1478189.7080000001</v>
      </c>
      <c r="E1654" s="30" t="s">
        <v>10</v>
      </c>
      <c r="F1654" s="190">
        <v>70786.385999999999</v>
      </c>
      <c r="G1654" s="30" t="s">
        <v>335</v>
      </c>
      <c r="H1654" s="30"/>
      <c r="J1654" s="68">
        <v>100</v>
      </c>
      <c r="K1654" s="120">
        <f>D1661</f>
        <v>2072.7269999999999</v>
      </c>
      <c r="L1654" s="120">
        <f>D1662</f>
        <v>2279.2379999999998</v>
      </c>
      <c r="M1654" s="19">
        <f t="shared" si="170"/>
        <v>-9.0605281238729796E-2</v>
      </c>
      <c r="N1654" s="74">
        <f>D1663</f>
        <v>2615.11</v>
      </c>
      <c r="O1654" s="23">
        <f t="shared" si="171"/>
        <v>-0.20740351266294732</v>
      </c>
    </row>
    <row r="1655" spans="1:15" x14ac:dyDescent="0.25">
      <c r="A1655" s="30" t="s">
        <v>32</v>
      </c>
      <c r="B1655" s="30" t="s">
        <v>333</v>
      </c>
      <c r="C1655" s="30">
        <v>25</v>
      </c>
      <c r="D1655" s="190">
        <v>209647.29699999999</v>
      </c>
      <c r="E1655" s="30" t="s">
        <v>10</v>
      </c>
      <c r="F1655" s="190">
        <v>724.99900000000002</v>
      </c>
      <c r="G1655" s="30" t="s">
        <v>335</v>
      </c>
      <c r="H1655" s="30"/>
    </row>
    <row r="1656" spans="1:15" x14ac:dyDescent="0.25">
      <c r="A1656" s="30" t="s">
        <v>33</v>
      </c>
      <c r="B1656" s="30" t="s">
        <v>333</v>
      </c>
      <c r="C1656" s="30">
        <v>25</v>
      </c>
      <c r="D1656" s="190">
        <v>255363.64799999999</v>
      </c>
      <c r="E1656" s="30" t="s">
        <v>10</v>
      </c>
      <c r="F1656" s="190">
        <v>1955.423</v>
      </c>
      <c r="G1656" s="30" t="s">
        <v>335</v>
      </c>
      <c r="H1656" s="30"/>
    </row>
    <row r="1657" spans="1:15" x14ac:dyDescent="0.25">
      <c r="A1657" s="30" t="s">
        <v>34</v>
      </c>
      <c r="B1657" s="30" t="s">
        <v>333</v>
      </c>
      <c r="C1657" s="30">
        <v>25</v>
      </c>
      <c r="D1657" s="190">
        <v>289189.73300000001</v>
      </c>
      <c r="E1657" s="30" t="s">
        <v>10</v>
      </c>
      <c r="F1657" s="190">
        <v>665.36900000000003</v>
      </c>
      <c r="G1657" s="30" t="s">
        <v>335</v>
      </c>
      <c r="H1657" s="30"/>
    </row>
    <row r="1658" spans="1:15" x14ac:dyDescent="0.25">
      <c r="A1658" s="30" t="s">
        <v>35</v>
      </c>
      <c r="B1658" s="30" t="s">
        <v>333</v>
      </c>
      <c r="C1658" s="30">
        <v>25</v>
      </c>
      <c r="D1658" s="190">
        <v>27270.163</v>
      </c>
      <c r="E1658" s="30" t="s">
        <v>10</v>
      </c>
      <c r="F1658" s="190">
        <v>89.466999999999999</v>
      </c>
      <c r="G1658" s="30" t="s">
        <v>335</v>
      </c>
      <c r="H1658" s="30"/>
    </row>
    <row r="1659" spans="1:15" x14ac:dyDescent="0.25">
      <c r="A1659" s="30" t="s">
        <v>36</v>
      </c>
      <c r="B1659" s="30" t="s">
        <v>333</v>
      </c>
      <c r="C1659" s="30">
        <v>25</v>
      </c>
      <c r="D1659" s="190">
        <v>39059.667999999998</v>
      </c>
      <c r="E1659" s="30" t="s">
        <v>10</v>
      </c>
      <c r="F1659" s="190">
        <v>211.93799999999999</v>
      </c>
      <c r="G1659" s="30" t="s">
        <v>335</v>
      </c>
      <c r="H1659" s="30"/>
    </row>
    <row r="1660" spans="1:15" x14ac:dyDescent="0.25">
      <c r="A1660" s="30" t="s">
        <v>37</v>
      </c>
      <c r="B1660" s="30" t="s">
        <v>333</v>
      </c>
      <c r="C1660" s="30">
        <v>25</v>
      </c>
      <c r="D1660" s="190">
        <v>27795.761999999999</v>
      </c>
      <c r="E1660" s="30" t="s">
        <v>10</v>
      </c>
      <c r="F1660" s="190">
        <v>120.03100000000001</v>
      </c>
      <c r="G1660" s="30" t="s">
        <v>335</v>
      </c>
      <c r="H1660" s="30"/>
    </row>
    <row r="1661" spans="1:15" x14ac:dyDescent="0.25">
      <c r="A1661" s="30" t="s">
        <v>38</v>
      </c>
      <c r="B1661" s="30" t="s">
        <v>333</v>
      </c>
      <c r="C1661" s="30">
        <v>25</v>
      </c>
      <c r="D1661" s="190">
        <v>2072.7269999999999</v>
      </c>
      <c r="E1661" s="30" t="s">
        <v>10</v>
      </c>
      <c r="F1661" s="190">
        <v>11.214</v>
      </c>
      <c r="G1661" s="30" t="s">
        <v>335</v>
      </c>
      <c r="H1661" s="30"/>
    </row>
    <row r="1662" spans="1:15" x14ac:dyDescent="0.25">
      <c r="A1662" s="30" t="s">
        <v>39</v>
      </c>
      <c r="B1662" s="30" t="s">
        <v>333</v>
      </c>
      <c r="C1662" s="30">
        <v>25</v>
      </c>
      <c r="D1662" s="190">
        <v>2279.2379999999998</v>
      </c>
      <c r="E1662" s="30" t="s">
        <v>10</v>
      </c>
      <c r="F1662" s="190">
        <v>8.5180000000000007</v>
      </c>
      <c r="G1662" s="30" t="s">
        <v>335</v>
      </c>
      <c r="H1662" s="30"/>
    </row>
    <row r="1663" spans="1:15" x14ac:dyDescent="0.25">
      <c r="A1663" s="30" t="s">
        <v>40</v>
      </c>
      <c r="B1663" s="30" t="s">
        <v>333</v>
      </c>
      <c r="C1663" s="30">
        <v>25</v>
      </c>
      <c r="D1663" s="190">
        <v>2615.11</v>
      </c>
      <c r="E1663" s="30" t="s">
        <v>10</v>
      </c>
      <c r="F1663" s="190">
        <v>15.484</v>
      </c>
      <c r="G1663" s="30" t="s">
        <v>335</v>
      </c>
      <c r="H1663" s="30"/>
    </row>
    <row r="1665" spans="1:15" x14ac:dyDescent="0.25">
      <c r="A1665" s="30" t="s">
        <v>164</v>
      </c>
      <c r="B1665" s="30"/>
      <c r="C1665" s="30"/>
      <c r="D1665" s="190"/>
      <c r="E1665" s="30"/>
      <c r="F1665" s="190"/>
      <c r="G1665" s="30"/>
      <c r="H1665" s="30"/>
    </row>
    <row r="1666" spans="1:15" ht="20" thickBot="1" x14ac:dyDescent="0.3">
      <c r="A1666" s="30" t="s">
        <v>2</v>
      </c>
      <c r="B1666" s="30" t="s">
        <v>3</v>
      </c>
      <c r="C1666" s="30" t="s">
        <v>4</v>
      </c>
      <c r="D1666" s="190" t="s">
        <v>5</v>
      </c>
      <c r="E1666" s="30" t="s">
        <v>6</v>
      </c>
      <c r="F1666" s="190" t="s">
        <v>7</v>
      </c>
      <c r="G1666" s="30"/>
      <c r="H1666" s="30"/>
    </row>
    <row r="1667" spans="1:15" x14ac:dyDescent="0.25">
      <c r="A1667" s="30" t="s">
        <v>41</v>
      </c>
      <c r="B1667" s="30" t="s">
        <v>333</v>
      </c>
      <c r="C1667" s="30">
        <v>25</v>
      </c>
      <c r="D1667" s="190">
        <v>1358473.898</v>
      </c>
      <c r="E1667" s="30" t="s">
        <v>10</v>
      </c>
      <c r="F1667" s="190">
        <v>9683.8140000000003</v>
      </c>
      <c r="G1667" s="30" t="s">
        <v>335</v>
      </c>
      <c r="H1667" s="30"/>
      <c r="J1667" s="5" t="s">
        <v>164</v>
      </c>
      <c r="K1667" s="72" t="s">
        <v>340</v>
      </c>
      <c r="L1667" s="72" t="s">
        <v>341</v>
      </c>
      <c r="M1667" s="17" t="s">
        <v>162</v>
      </c>
      <c r="N1667" s="72" t="s">
        <v>342</v>
      </c>
      <c r="O1667" s="21" t="s">
        <v>162</v>
      </c>
    </row>
    <row r="1668" spans="1:15" x14ac:dyDescent="0.25">
      <c r="A1668" s="30" t="s">
        <v>42</v>
      </c>
      <c r="B1668" s="30" t="s">
        <v>333</v>
      </c>
      <c r="C1668" s="30">
        <v>25</v>
      </c>
      <c r="D1668" s="190">
        <v>1389988.061</v>
      </c>
      <c r="E1668" s="30" t="s">
        <v>10</v>
      </c>
      <c r="F1668" s="190">
        <v>41034.927000000003</v>
      </c>
      <c r="G1668" s="30" t="s">
        <v>335</v>
      </c>
      <c r="H1668" s="30"/>
      <c r="J1668" s="6">
        <v>100000</v>
      </c>
      <c r="K1668" s="119">
        <f>D1667</f>
        <v>1358473.898</v>
      </c>
      <c r="L1668" s="119">
        <f>D1668</f>
        <v>1389988.061</v>
      </c>
      <c r="M1668" s="18">
        <f>(K1668/L1668-1)</f>
        <v>-2.2672254448953821E-2</v>
      </c>
      <c r="N1668" s="73">
        <f>D1669</f>
        <v>1689835.3289999999</v>
      </c>
      <c r="O1668" s="22">
        <f>(K1668/N1668-1)</f>
        <v>-0.19609095946413357</v>
      </c>
    </row>
    <row r="1669" spans="1:15" x14ac:dyDescent="0.25">
      <c r="A1669" s="30" t="s">
        <v>43</v>
      </c>
      <c r="B1669" s="30" t="s">
        <v>333</v>
      </c>
      <c r="C1669" s="30">
        <v>25</v>
      </c>
      <c r="D1669" s="190">
        <v>1689835.3289999999</v>
      </c>
      <c r="E1669" s="30" t="s">
        <v>10</v>
      </c>
      <c r="F1669" s="190">
        <v>99131.53</v>
      </c>
      <c r="G1669" s="30" t="s">
        <v>335</v>
      </c>
      <c r="H1669" s="30"/>
      <c r="J1669" s="6">
        <v>50000</v>
      </c>
      <c r="K1669" s="119">
        <f>D1670</f>
        <v>662627.16599999997</v>
      </c>
      <c r="L1669" s="119">
        <f>D1671</f>
        <v>685867.94</v>
      </c>
      <c r="M1669" s="18">
        <f t="shared" ref="M1669:M1672" si="172">(K1669/L1669-1)</f>
        <v>-3.3885202448739604E-2</v>
      </c>
      <c r="N1669" s="73">
        <f>D1672</f>
        <v>867804.77899999998</v>
      </c>
      <c r="O1669" s="22">
        <f t="shared" ref="O1669:O1672" si="173">(K1669/N1669-1)</f>
        <v>-0.23643291436633129</v>
      </c>
    </row>
    <row r="1670" spans="1:15" x14ac:dyDescent="0.25">
      <c r="A1670" s="30" t="s">
        <v>44</v>
      </c>
      <c r="B1670" s="30" t="s">
        <v>333</v>
      </c>
      <c r="C1670" s="30">
        <v>25</v>
      </c>
      <c r="D1670" s="190">
        <v>662627.16599999997</v>
      </c>
      <c r="E1670" s="30" t="s">
        <v>10</v>
      </c>
      <c r="F1670" s="190">
        <v>5735.6719999999996</v>
      </c>
      <c r="G1670" s="30" t="s">
        <v>335</v>
      </c>
      <c r="H1670" s="30"/>
      <c r="J1670" s="6">
        <v>10000</v>
      </c>
      <c r="K1670" s="119">
        <f>D1673</f>
        <v>137460.016</v>
      </c>
      <c r="L1670" s="119">
        <f>D1674</f>
        <v>135419.45000000001</v>
      </c>
      <c r="M1670" s="18">
        <f t="shared" si="172"/>
        <v>1.506848536159322E-2</v>
      </c>
      <c r="N1670" s="73">
        <f>D1675</f>
        <v>148778.26999999999</v>
      </c>
      <c r="O1670" s="22">
        <f t="shared" si="173"/>
        <v>-7.6074644502856392E-2</v>
      </c>
    </row>
    <row r="1671" spans="1:15" x14ac:dyDescent="0.25">
      <c r="A1671" s="30" t="s">
        <v>45</v>
      </c>
      <c r="B1671" s="30" t="s">
        <v>333</v>
      </c>
      <c r="C1671" s="30">
        <v>25</v>
      </c>
      <c r="D1671" s="190">
        <v>685867.94</v>
      </c>
      <c r="E1671" s="30" t="s">
        <v>10</v>
      </c>
      <c r="F1671" s="190">
        <v>13876.04</v>
      </c>
      <c r="G1671" s="30" t="s">
        <v>335</v>
      </c>
      <c r="H1671" s="30"/>
      <c r="J1671" s="67">
        <v>1000</v>
      </c>
      <c r="K1671" s="119">
        <f>D1676</f>
        <v>17218.968000000001</v>
      </c>
      <c r="L1671" s="119">
        <f>D1677</f>
        <v>15338.212</v>
      </c>
      <c r="M1671" s="18">
        <f t="shared" si="172"/>
        <v>0.12261898583746267</v>
      </c>
      <c r="N1671" s="73">
        <f>D1678</f>
        <v>16271.732</v>
      </c>
      <c r="O1671" s="22">
        <f t="shared" si="173"/>
        <v>5.8213593980038558E-2</v>
      </c>
    </row>
    <row r="1672" spans="1:15" ht="20" thickBot="1" x14ac:dyDescent="0.3">
      <c r="A1672" s="30" t="s">
        <v>46</v>
      </c>
      <c r="B1672" s="30" t="s">
        <v>333</v>
      </c>
      <c r="C1672" s="30">
        <v>25</v>
      </c>
      <c r="D1672" s="190">
        <v>867804.77899999998</v>
      </c>
      <c r="E1672" s="30" t="s">
        <v>10</v>
      </c>
      <c r="F1672" s="190">
        <v>33156.652000000002</v>
      </c>
      <c r="G1672" s="30" t="s">
        <v>335</v>
      </c>
      <c r="H1672" s="30"/>
      <c r="J1672" s="68">
        <v>100</v>
      </c>
      <c r="K1672" s="120">
        <f>D1679</f>
        <v>1364.117</v>
      </c>
      <c r="L1672" s="120">
        <f>D1680</f>
        <v>1317.3030000000001</v>
      </c>
      <c r="M1672" s="19">
        <f t="shared" si="172"/>
        <v>3.5537761623559483E-2</v>
      </c>
      <c r="N1672" s="74">
        <f>D1681</f>
        <v>1468.114</v>
      </c>
      <c r="O1672" s="23">
        <f t="shared" si="173"/>
        <v>-7.0837142074798076E-2</v>
      </c>
    </row>
    <row r="1673" spans="1:15" x14ac:dyDescent="0.25">
      <c r="A1673" s="30" t="s">
        <v>47</v>
      </c>
      <c r="B1673" s="30" t="s">
        <v>333</v>
      </c>
      <c r="C1673" s="30">
        <v>25</v>
      </c>
      <c r="D1673" s="190">
        <v>137460.016</v>
      </c>
      <c r="E1673" s="30" t="s">
        <v>10</v>
      </c>
      <c r="F1673" s="190">
        <v>555.34400000000005</v>
      </c>
      <c r="G1673" s="30" t="s">
        <v>335</v>
      </c>
      <c r="H1673" s="30"/>
    </row>
    <row r="1674" spans="1:15" x14ac:dyDescent="0.25">
      <c r="A1674" s="30" t="s">
        <v>48</v>
      </c>
      <c r="B1674" s="30" t="s">
        <v>333</v>
      </c>
      <c r="C1674" s="30">
        <v>25</v>
      </c>
      <c r="D1674" s="190">
        <v>135419.45000000001</v>
      </c>
      <c r="E1674" s="30" t="s">
        <v>10</v>
      </c>
      <c r="F1674" s="190">
        <v>666.96699999999998</v>
      </c>
      <c r="G1674" s="30" t="s">
        <v>335</v>
      </c>
      <c r="H1674" s="30"/>
    </row>
    <row r="1675" spans="1:15" x14ac:dyDescent="0.25">
      <c r="A1675" s="30" t="s">
        <v>49</v>
      </c>
      <c r="B1675" s="30" t="s">
        <v>333</v>
      </c>
      <c r="C1675" s="30">
        <v>25</v>
      </c>
      <c r="D1675" s="190">
        <v>148778.26999999999</v>
      </c>
      <c r="E1675" s="30" t="s">
        <v>10</v>
      </c>
      <c r="F1675" s="190">
        <v>2884.373</v>
      </c>
      <c r="G1675" s="30" t="s">
        <v>335</v>
      </c>
      <c r="H1675" s="30"/>
    </row>
    <row r="1676" spans="1:15" x14ac:dyDescent="0.25">
      <c r="A1676" s="30" t="s">
        <v>50</v>
      </c>
      <c r="B1676" s="30" t="s">
        <v>333</v>
      </c>
      <c r="C1676" s="30">
        <v>25</v>
      </c>
      <c r="D1676" s="190">
        <v>17218.968000000001</v>
      </c>
      <c r="E1676" s="30" t="s">
        <v>10</v>
      </c>
      <c r="F1676" s="190">
        <v>104.242</v>
      </c>
      <c r="G1676" s="30" t="s">
        <v>335</v>
      </c>
      <c r="H1676" s="30"/>
    </row>
    <row r="1677" spans="1:15" x14ac:dyDescent="0.25">
      <c r="A1677" s="30" t="s">
        <v>51</v>
      </c>
      <c r="B1677" s="30" t="s">
        <v>333</v>
      </c>
      <c r="C1677" s="30">
        <v>25</v>
      </c>
      <c r="D1677" s="190">
        <v>15338.212</v>
      </c>
      <c r="E1677" s="30" t="s">
        <v>10</v>
      </c>
      <c r="F1677" s="190">
        <v>98.816000000000003</v>
      </c>
      <c r="G1677" s="30" t="s">
        <v>335</v>
      </c>
      <c r="H1677" s="30"/>
    </row>
    <row r="1678" spans="1:15" x14ac:dyDescent="0.25">
      <c r="A1678" s="30" t="s">
        <v>52</v>
      </c>
      <c r="B1678" s="30" t="s">
        <v>333</v>
      </c>
      <c r="C1678" s="30">
        <v>25</v>
      </c>
      <c r="D1678" s="190">
        <v>16271.732</v>
      </c>
      <c r="E1678" s="30" t="s">
        <v>10</v>
      </c>
      <c r="F1678" s="190">
        <v>292.89100000000002</v>
      </c>
      <c r="G1678" s="30" t="s">
        <v>335</v>
      </c>
      <c r="H1678" s="30"/>
    </row>
    <row r="1679" spans="1:15" x14ac:dyDescent="0.25">
      <c r="A1679" s="30" t="s">
        <v>53</v>
      </c>
      <c r="B1679" s="30" t="s">
        <v>333</v>
      </c>
      <c r="C1679" s="30">
        <v>25</v>
      </c>
      <c r="D1679" s="190">
        <v>1364.117</v>
      </c>
      <c r="E1679" s="30" t="s">
        <v>10</v>
      </c>
      <c r="F1679" s="190">
        <v>2.6030000000000002</v>
      </c>
      <c r="G1679" s="30" t="s">
        <v>335</v>
      </c>
      <c r="H1679" s="30"/>
    </row>
    <row r="1680" spans="1:15" x14ac:dyDescent="0.25">
      <c r="A1680" s="30" t="s">
        <v>54</v>
      </c>
      <c r="B1680" s="30" t="s">
        <v>333</v>
      </c>
      <c r="C1680" s="30">
        <v>25</v>
      </c>
      <c r="D1680" s="190">
        <v>1317.3030000000001</v>
      </c>
      <c r="E1680" s="30" t="s">
        <v>10</v>
      </c>
      <c r="F1680" s="190">
        <v>5.6630000000000003</v>
      </c>
      <c r="G1680" s="30" t="s">
        <v>335</v>
      </c>
      <c r="H1680" s="30"/>
    </row>
    <row r="1681" spans="1:15" x14ac:dyDescent="0.25">
      <c r="A1681" s="30" t="s">
        <v>55</v>
      </c>
      <c r="B1681" s="30" t="s">
        <v>333</v>
      </c>
      <c r="C1681" s="30">
        <v>25</v>
      </c>
      <c r="D1681" s="190">
        <v>1468.114</v>
      </c>
      <c r="E1681" s="30" t="s">
        <v>10</v>
      </c>
      <c r="F1681" s="190">
        <v>30.308</v>
      </c>
      <c r="G1681" s="30" t="s">
        <v>335</v>
      </c>
      <c r="H1681" s="30"/>
    </row>
    <row r="1683" spans="1:15" x14ac:dyDescent="0.25">
      <c r="A1683" s="30" t="s">
        <v>165</v>
      </c>
      <c r="B1683" s="30"/>
      <c r="C1683" s="30"/>
      <c r="D1683" s="190"/>
      <c r="E1683" s="30"/>
      <c r="F1683" s="190"/>
      <c r="G1683" s="30"/>
      <c r="H1683" s="30"/>
    </row>
    <row r="1684" spans="1:15" ht="20" thickBot="1" x14ac:dyDescent="0.3">
      <c r="A1684" s="30" t="s">
        <v>2</v>
      </c>
      <c r="B1684" s="30" t="s">
        <v>3</v>
      </c>
      <c r="C1684" s="30" t="s">
        <v>4</v>
      </c>
      <c r="D1684" s="190" t="s">
        <v>5</v>
      </c>
      <c r="E1684" s="30" t="s">
        <v>6</v>
      </c>
      <c r="F1684" s="190" t="s">
        <v>7</v>
      </c>
      <c r="G1684" s="30"/>
      <c r="H1684" s="30"/>
    </row>
    <row r="1685" spans="1:15" x14ac:dyDescent="0.25">
      <c r="A1685" s="30" t="s">
        <v>56</v>
      </c>
      <c r="B1685" s="30" t="s">
        <v>333</v>
      </c>
      <c r="C1685" s="30">
        <v>25</v>
      </c>
      <c r="D1685" s="190">
        <v>996788.95400000003</v>
      </c>
      <c r="E1685" s="30" t="s">
        <v>10</v>
      </c>
      <c r="F1685" s="190">
        <v>9963.06</v>
      </c>
      <c r="G1685" s="30" t="s">
        <v>335</v>
      </c>
      <c r="H1685" s="30"/>
      <c r="J1685" s="5" t="s">
        <v>165</v>
      </c>
      <c r="K1685" s="72" t="s">
        <v>340</v>
      </c>
      <c r="L1685" s="72" t="s">
        <v>341</v>
      </c>
      <c r="M1685" s="17" t="s">
        <v>162</v>
      </c>
      <c r="N1685" s="72" t="s">
        <v>342</v>
      </c>
      <c r="O1685" s="21" t="s">
        <v>162</v>
      </c>
    </row>
    <row r="1686" spans="1:15" x14ac:dyDescent="0.25">
      <c r="A1686" s="30" t="s">
        <v>57</v>
      </c>
      <c r="B1686" s="30" t="s">
        <v>333</v>
      </c>
      <c r="C1686" s="30">
        <v>25</v>
      </c>
      <c r="D1686" s="190">
        <v>731201.27099999995</v>
      </c>
      <c r="E1686" s="30" t="s">
        <v>10</v>
      </c>
      <c r="F1686" s="190">
        <v>5232.3869999999997</v>
      </c>
      <c r="G1686" s="30" t="s">
        <v>335</v>
      </c>
      <c r="H1686" s="30"/>
      <c r="J1686" s="6">
        <v>100000</v>
      </c>
      <c r="K1686" s="119">
        <f>D1685</f>
        <v>996788.95400000003</v>
      </c>
      <c r="L1686" s="119">
        <f>D1686</f>
        <v>731201.27099999995</v>
      </c>
      <c r="M1686" s="18">
        <f>(K1686/L1686-1)</f>
        <v>0.36322103575774567</v>
      </c>
      <c r="N1686" s="73">
        <f>D1687</f>
        <v>769753.75600000005</v>
      </c>
      <c r="O1686" s="22">
        <f>(K1686/N1686-1)</f>
        <v>0.29494522921171695</v>
      </c>
    </row>
    <row r="1687" spans="1:15" x14ac:dyDescent="0.25">
      <c r="A1687" s="30" t="s">
        <v>58</v>
      </c>
      <c r="B1687" s="30" t="s">
        <v>333</v>
      </c>
      <c r="C1687" s="30">
        <v>25</v>
      </c>
      <c r="D1687" s="190">
        <v>769753.75600000005</v>
      </c>
      <c r="E1687" s="30" t="s">
        <v>10</v>
      </c>
      <c r="F1687" s="190">
        <v>3995.5010000000002</v>
      </c>
      <c r="G1687" s="30" t="s">
        <v>335</v>
      </c>
      <c r="H1687" s="30"/>
      <c r="J1687" s="6">
        <v>50000</v>
      </c>
      <c r="K1687" s="119">
        <f>D1688</f>
        <v>490565.40899999999</v>
      </c>
      <c r="L1687" s="119">
        <f>D1689</f>
        <v>342627.86200000002</v>
      </c>
      <c r="M1687" s="18">
        <f t="shared" ref="M1687:M1690" si="174">(K1687/L1687-1)</f>
        <v>0.43177325433037894</v>
      </c>
      <c r="N1687" s="73">
        <f>D1690</f>
        <v>382977.86200000002</v>
      </c>
      <c r="O1687" s="22">
        <f t="shared" ref="O1687:O1690" si="175">(K1687/N1687-1)</f>
        <v>0.28092367124865292</v>
      </c>
    </row>
    <row r="1688" spans="1:15" x14ac:dyDescent="0.25">
      <c r="A1688" s="30" t="s">
        <v>59</v>
      </c>
      <c r="B1688" s="30" t="s">
        <v>333</v>
      </c>
      <c r="C1688" s="30">
        <v>25</v>
      </c>
      <c r="D1688" s="190">
        <v>490565.40899999999</v>
      </c>
      <c r="E1688" s="30" t="s">
        <v>10</v>
      </c>
      <c r="F1688" s="190">
        <v>3206.5239999999999</v>
      </c>
      <c r="G1688" s="30" t="s">
        <v>335</v>
      </c>
      <c r="H1688" s="30"/>
      <c r="J1688" s="6">
        <v>10000</v>
      </c>
      <c r="K1688" s="119">
        <f>D1691</f>
        <v>100473.62300000001</v>
      </c>
      <c r="L1688" s="119">
        <f>D1692</f>
        <v>70159.945999999996</v>
      </c>
      <c r="M1688" s="18">
        <f t="shared" si="174"/>
        <v>0.43206528408673539</v>
      </c>
      <c r="N1688" s="73">
        <f>D1693</f>
        <v>78922.872000000003</v>
      </c>
      <c r="O1688" s="22">
        <f t="shared" si="175"/>
        <v>0.27306090685599993</v>
      </c>
    </row>
    <row r="1689" spans="1:15" x14ac:dyDescent="0.25">
      <c r="A1689" s="30" t="s">
        <v>60</v>
      </c>
      <c r="B1689" s="30" t="s">
        <v>333</v>
      </c>
      <c r="C1689" s="30">
        <v>25</v>
      </c>
      <c r="D1689" s="190">
        <v>342627.86200000002</v>
      </c>
      <c r="E1689" s="30" t="s">
        <v>10</v>
      </c>
      <c r="F1689" s="190">
        <v>2099.2190000000001</v>
      </c>
      <c r="G1689" s="30" t="s">
        <v>335</v>
      </c>
      <c r="H1689" s="30"/>
      <c r="J1689" s="67">
        <v>1000</v>
      </c>
      <c r="K1689" s="119">
        <f>D1694</f>
        <v>12303.882</v>
      </c>
      <c r="L1689" s="119">
        <f>D1695</f>
        <v>7468.067</v>
      </c>
      <c r="M1689" s="18">
        <f t="shared" si="174"/>
        <v>0.64753235341889659</v>
      </c>
      <c r="N1689" s="73">
        <f>D1696</f>
        <v>8794.2569999999996</v>
      </c>
      <c r="O1689" s="22">
        <f t="shared" si="175"/>
        <v>0.39908146873578976</v>
      </c>
    </row>
    <row r="1690" spans="1:15" ht="20" thickBot="1" x14ac:dyDescent="0.3">
      <c r="A1690" s="30" t="s">
        <v>61</v>
      </c>
      <c r="B1690" s="30" t="s">
        <v>333</v>
      </c>
      <c r="C1690" s="30">
        <v>25</v>
      </c>
      <c r="D1690" s="190">
        <v>382977.86200000002</v>
      </c>
      <c r="E1690" s="30" t="s">
        <v>10</v>
      </c>
      <c r="F1690" s="190">
        <v>2919.1559999999999</v>
      </c>
      <c r="G1690" s="30" t="s">
        <v>335</v>
      </c>
      <c r="H1690" s="30"/>
      <c r="J1690" s="68">
        <v>100</v>
      </c>
      <c r="K1690" s="120">
        <f>D1697</f>
        <v>985.44799999999998</v>
      </c>
      <c r="L1690" s="120">
        <f>D1698</f>
        <v>651.64599999999996</v>
      </c>
      <c r="M1690" s="19">
        <f t="shared" si="174"/>
        <v>0.51224437808257872</v>
      </c>
      <c r="N1690" s="74">
        <f>D1699</f>
        <v>1156.9849999999999</v>
      </c>
      <c r="O1690" s="23">
        <f t="shared" si="175"/>
        <v>-0.14826207772788746</v>
      </c>
    </row>
    <row r="1691" spans="1:15" x14ac:dyDescent="0.25">
      <c r="A1691" s="30" t="s">
        <v>62</v>
      </c>
      <c r="B1691" s="30" t="s">
        <v>333</v>
      </c>
      <c r="C1691" s="30">
        <v>25</v>
      </c>
      <c r="D1691" s="190">
        <v>100473.62300000001</v>
      </c>
      <c r="E1691" s="30" t="s">
        <v>10</v>
      </c>
      <c r="F1691" s="190">
        <v>435.91699999999997</v>
      </c>
      <c r="G1691" s="30" t="s">
        <v>335</v>
      </c>
      <c r="H1691" s="30"/>
    </row>
    <row r="1692" spans="1:15" x14ac:dyDescent="0.25">
      <c r="A1692" s="30" t="s">
        <v>63</v>
      </c>
      <c r="B1692" s="30" t="s">
        <v>333</v>
      </c>
      <c r="C1692" s="30">
        <v>25</v>
      </c>
      <c r="D1692" s="190">
        <v>70159.945999999996</v>
      </c>
      <c r="E1692" s="30" t="s">
        <v>10</v>
      </c>
      <c r="F1692" s="190">
        <v>383.70100000000002</v>
      </c>
      <c r="G1692" s="30" t="s">
        <v>335</v>
      </c>
      <c r="H1692" s="30"/>
    </row>
    <row r="1693" spans="1:15" x14ac:dyDescent="0.25">
      <c r="A1693" s="30" t="s">
        <v>64</v>
      </c>
      <c r="B1693" s="30" t="s">
        <v>333</v>
      </c>
      <c r="C1693" s="30">
        <v>25</v>
      </c>
      <c r="D1693" s="190">
        <v>78922.872000000003</v>
      </c>
      <c r="E1693" s="30" t="s">
        <v>10</v>
      </c>
      <c r="F1693" s="190">
        <v>336.93799999999999</v>
      </c>
      <c r="G1693" s="30" t="s">
        <v>335</v>
      </c>
      <c r="H1693" s="30"/>
    </row>
    <row r="1694" spans="1:15" x14ac:dyDescent="0.25">
      <c r="A1694" s="30" t="s">
        <v>65</v>
      </c>
      <c r="B1694" s="30" t="s">
        <v>333</v>
      </c>
      <c r="C1694" s="30">
        <v>25</v>
      </c>
      <c r="D1694" s="190">
        <v>12303.882</v>
      </c>
      <c r="E1694" s="30" t="s">
        <v>10</v>
      </c>
      <c r="F1694" s="190">
        <v>43.837000000000003</v>
      </c>
      <c r="G1694" s="30" t="s">
        <v>335</v>
      </c>
      <c r="H1694" s="30"/>
    </row>
    <row r="1695" spans="1:15" x14ac:dyDescent="0.25">
      <c r="A1695" s="30" t="s">
        <v>66</v>
      </c>
      <c r="B1695" s="30" t="s">
        <v>333</v>
      </c>
      <c r="C1695" s="30">
        <v>25</v>
      </c>
      <c r="D1695" s="190">
        <v>7468.067</v>
      </c>
      <c r="E1695" s="30" t="s">
        <v>10</v>
      </c>
      <c r="F1695" s="190">
        <v>33.57</v>
      </c>
      <c r="G1695" s="30" t="s">
        <v>335</v>
      </c>
      <c r="H1695" s="30"/>
    </row>
    <row r="1696" spans="1:15" x14ac:dyDescent="0.25">
      <c r="A1696" s="30" t="s">
        <v>67</v>
      </c>
      <c r="B1696" s="30" t="s">
        <v>333</v>
      </c>
      <c r="C1696" s="30">
        <v>25</v>
      </c>
      <c r="D1696" s="190">
        <v>8794.2569999999996</v>
      </c>
      <c r="E1696" s="30" t="s">
        <v>10</v>
      </c>
      <c r="F1696" s="190">
        <v>20.016999999999999</v>
      </c>
      <c r="G1696" s="30" t="s">
        <v>335</v>
      </c>
      <c r="H1696" s="30"/>
    </row>
    <row r="1697" spans="1:15" x14ac:dyDescent="0.25">
      <c r="A1697" s="30" t="s">
        <v>68</v>
      </c>
      <c r="B1697" s="30" t="s">
        <v>333</v>
      </c>
      <c r="C1697" s="30">
        <v>25</v>
      </c>
      <c r="D1697" s="190">
        <v>985.44799999999998</v>
      </c>
      <c r="E1697" s="30" t="s">
        <v>10</v>
      </c>
      <c r="F1697" s="190">
        <v>4.6310000000000002</v>
      </c>
      <c r="G1697" s="30" t="s">
        <v>335</v>
      </c>
      <c r="H1697" s="30"/>
    </row>
    <row r="1698" spans="1:15" x14ac:dyDescent="0.25">
      <c r="A1698" s="30" t="s">
        <v>69</v>
      </c>
      <c r="B1698" s="30" t="s">
        <v>333</v>
      </c>
      <c r="C1698" s="30">
        <v>25</v>
      </c>
      <c r="D1698" s="190">
        <v>651.64599999999996</v>
      </c>
      <c r="E1698" s="30" t="s">
        <v>10</v>
      </c>
      <c r="F1698" s="190">
        <v>3.75</v>
      </c>
      <c r="G1698" s="30" t="s">
        <v>335</v>
      </c>
      <c r="H1698" s="30"/>
    </row>
    <row r="1699" spans="1:15" x14ac:dyDescent="0.25">
      <c r="A1699" s="30" t="s">
        <v>70</v>
      </c>
      <c r="B1699" s="30" t="s">
        <v>333</v>
      </c>
      <c r="C1699" s="30">
        <v>25</v>
      </c>
      <c r="D1699" s="190">
        <v>1156.9849999999999</v>
      </c>
      <c r="E1699" s="30" t="s">
        <v>10</v>
      </c>
      <c r="F1699" s="190">
        <v>28.574000000000002</v>
      </c>
      <c r="G1699" s="30" t="s">
        <v>335</v>
      </c>
      <c r="H1699" s="30"/>
    </row>
    <row r="1701" spans="1:15" x14ac:dyDescent="0.25">
      <c r="A1701" s="30" t="s">
        <v>759</v>
      </c>
      <c r="B1701" s="30"/>
      <c r="C1701" s="30"/>
      <c r="D1701" s="190"/>
      <c r="E1701" s="30"/>
      <c r="F1701" s="190"/>
      <c r="G1701" s="30"/>
      <c r="H1701" s="30"/>
    </row>
    <row r="1702" spans="1:15" ht="20" thickBot="1" x14ac:dyDescent="0.3">
      <c r="A1702" s="30" t="s">
        <v>2</v>
      </c>
      <c r="B1702" s="30" t="s">
        <v>3</v>
      </c>
      <c r="C1702" s="30" t="s">
        <v>4</v>
      </c>
      <c r="D1702" s="190" t="s">
        <v>5</v>
      </c>
      <c r="E1702" s="30" t="s">
        <v>6</v>
      </c>
      <c r="F1702" s="190" t="s">
        <v>7</v>
      </c>
      <c r="G1702" s="30"/>
      <c r="H1702" s="30"/>
    </row>
    <row r="1703" spans="1:15" x14ac:dyDescent="0.25">
      <c r="A1703" s="30" t="s">
        <v>760</v>
      </c>
      <c r="B1703" s="30" t="s">
        <v>333</v>
      </c>
      <c r="C1703" s="30">
        <v>25</v>
      </c>
      <c r="D1703" s="190">
        <v>639401.99199999997</v>
      </c>
      <c r="E1703" s="30" t="s">
        <v>10</v>
      </c>
      <c r="F1703" s="190">
        <v>7590.6639999999998</v>
      </c>
      <c r="G1703" s="30" t="s">
        <v>335</v>
      </c>
      <c r="H1703" s="30"/>
      <c r="J1703" s="5" t="s">
        <v>759</v>
      </c>
      <c r="K1703" s="72" t="s">
        <v>340</v>
      </c>
      <c r="L1703" s="72" t="s">
        <v>341</v>
      </c>
      <c r="M1703" s="17" t="s">
        <v>162</v>
      </c>
      <c r="N1703" s="72" t="s">
        <v>342</v>
      </c>
      <c r="O1703" s="21" t="s">
        <v>162</v>
      </c>
    </row>
    <row r="1704" spans="1:15" x14ac:dyDescent="0.25">
      <c r="A1704" s="30" t="s">
        <v>761</v>
      </c>
      <c r="B1704" s="30" t="s">
        <v>333</v>
      </c>
      <c r="C1704" s="30">
        <v>25</v>
      </c>
      <c r="D1704" s="190">
        <v>407131.29599999997</v>
      </c>
      <c r="E1704" s="30" t="s">
        <v>10</v>
      </c>
      <c r="F1704" s="190">
        <v>10038.223</v>
      </c>
      <c r="G1704" s="30" t="s">
        <v>335</v>
      </c>
      <c r="H1704" s="30"/>
      <c r="J1704" s="6">
        <v>100000</v>
      </c>
      <c r="K1704" s="119">
        <f>D1703</f>
        <v>639401.99199999997</v>
      </c>
      <c r="L1704" s="119">
        <f>D1704</f>
        <v>407131.29599999997</v>
      </c>
      <c r="M1704" s="18">
        <f>(K1704/L1704-1)</f>
        <v>0.57050562872965682</v>
      </c>
      <c r="N1704" s="73">
        <f>D1705</f>
        <v>485667.29399999999</v>
      </c>
      <c r="O1704" s="22">
        <f>(K1704/N1704-1)</f>
        <v>0.31654323834291387</v>
      </c>
    </row>
    <row r="1705" spans="1:15" x14ac:dyDescent="0.25">
      <c r="A1705" s="30" t="s">
        <v>762</v>
      </c>
      <c r="B1705" s="30" t="s">
        <v>333</v>
      </c>
      <c r="C1705" s="30">
        <v>25</v>
      </c>
      <c r="D1705" s="190">
        <v>485667.29399999999</v>
      </c>
      <c r="E1705" s="30" t="s">
        <v>10</v>
      </c>
      <c r="F1705" s="190">
        <v>49798.677000000003</v>
      </c>
      <c r="G1705" s="30" t="s">
        <v>335</v>
      </c>
      <c r="H1705" s="30"/>
      <c r="J1705" s="6">
        <v>50000</v>
      </c>
      <c r="K1705" s="119">
        <f>D1706</f>
        <v>316769.68300000002</v>
      </c>
      <c r="L1705" s="119">
        <f>D1707</f>
        <v>196218.75399999999</v>
      </c>
      <c r="M1705" s="18">
        <f t="shared" ref="M1705:M1708" si="176">(K1705/L1705-1)</f>
        <v>0.61437006678780581</v>
      </c>
      <c r="N1705" s="73">
        <f>D1708</f>
        <v>483179.63500000001</v>
      </c>
      <c r="O1705" s="22">
        <f t="shared" ref="O1705:O1708" si="177">(K1705/N1705-1)</f>
        <v>-0.34440597232538572</v>
      </c>
    </row>
    <row r="1706" spans="1:15" x14ac:dyDescent="0.25">
      <c r="A1706" s="30" t="s">
        <v>763</v>
      </c>
      <c r="B1706" s="30" t="s">
        <v>333</v>
      </c>
      <c r="C1706" s="30">
        <v>25</v>
      </c>
      <c r="D1706" s="190">
        <v>316769.68300000002</v>
      </c>
      <c r="E1706" s="30" t="s">
        <v>10</v>
      </c>
      <c r="F1706" s="190">
        <v>3544.038</v>
      </c>
      <c r="G1706" s="30" t="s">
        <v>335</v>
      </c>
      <c r="H1706" s="30"/>
      <c r="J1706" s="6">
        <v>10000</v>
      </c>
      <c r="K1706" s="119">
        <f>D1709</f>
        <v>63293.017</v>
      </c>
      <c r="L1706" s="119">
        <f>D1710</f>
        <v>40692.730000000003</v>
      </c>
      <c r="M1706" s="18">
        <f t="shared" si="176"/>
        <v>0.55538881269455254</v>
      </c>
      <c r="N1706" s="73">
        <f>D1711</f>
        <v>59052.019</v>
      </c>
      <c r="O1706" s="22">
        <f t="shared" si="177"/>
        <v>7.1818001684243793E-2</v>
      </c>
    </row>
    <row r="1707" spans="1:15" x14ac:dyDescent="0.25">
      <c r="A1707" s="30" t="s">
        <v>764</v>
      </c>
      <c r="B1707" s="30" t="s">
        <v>333</v>
      </c>
      <c r="C1707" s="30">
        <v>25</v>
      </c>
      <c r="D1707" s="190">
        <v>196218.75399999999</v>
      </c>
      <c r="E1707" s="30" t="s">
        <v>10</v>
      </c>
      <c r="F1707" s="190">
        <v>1400.1379999999999</v>
      </c>
      <c r="G1707" s="30" t="s">
        <v>335</v>
      </c>
      <c r="H1707" s="30"/>
      <c r="J1707" s="67">
        <v>1000</v>
      </c>
      <c r="K1707" s="119">
        <f>D1712</f>
        <v>7541.47</v>
      </c>
      <c r="L1707" s="119">
        <f>D1713</f>
        <v>4100.884</v>
      </c>
      <c r="M1707" s="18">
        <f t="shared" si="176"/>
        <v>0.83898642341504903</v>
      </c>
      <c r="N1707" s="73">
        <f>D1714</f>
        <v>5915.9920000000002</v>
      </c>
      <c r="O1707" s="22">
        <f t="shared" si="177"/>
        <v>0.27476000643679033</v>
      </c>
    </row>
    <row r="1708" spans="1:15" ht="20" thickBot="1" x14ac:dyDescent="0.3">
      <c r="A1708" s="30" t="s">
        <v>765</v>
      </c>
      <c r="B1708" s="30" t="s">
        <v>333</v>
      </c>
      <c r="C1708" s="30">
        <v>25</v>
      </c>
      <c r="D1708" s="190">
        <v>483179.63500000001</v>
      </c>
      <c r="E1708" s="30" t="s">
        <v>10</v>
      </c>
      <c r="F1708" s="190">
        <v>2428.4859999999999</v>
      </c>
      <c r="G1708" s="30" t="s">
        <v>335</v>
      </c>
      <c r="H1708" s="30"/>
      <c r="J1708" s="68">
        <v>100</v>
      </c>
      <c r="K1708" s="120">
        <f>D1715</f>
        <v>664.20799999999997</v>
      </c>
      <c r="L1708" s="120">
        <f>D1716</f>
        <v>406.03100000000001</v>
      </c>
      <c r="M1708" s="19">
        <f t="shared" si="176"/>
        <v>0.63585539035196814</v>
      </c>
      <c r="N1708" s="74">
        <f>D1717</f>
        <v>467.71600000000001</v>
      </c>
      <c r="O1708" s="23">
        <f t="shared" si="177"/>
        <v>0.4201096391827519</v>
      </c>
    </row>
    <row r="1709" spans="1:15" x14ac:dyDescent="0.25">
      <c r="A1709" s="30" t="s">
        <v>766</v>
      </c>
      <c r="B1709" s="30" t="s">
        <v>333</v>
      </c>
      <c r="C1709" s="30">
        <v>25</v>
      </c>
      <c r="D1709" s="190">
        <v>63293.017</v>
      </c>
      <c r="E1709" s="30" t="s">
        <v>10</v>
      </c>
      <c r="F1709" s="190">
        <v>1109.0260000000001</v>
      </c>
      <c r="G1709" s="30" t="s">
        <v>335</v>
      </c>
      <c r="H1709" s="30"/>
    </row>
    <row r="1710" spans="1:15" x14ac:dyDescent="0.25">
      <c r="A1710" s="30" t="s">
        <v>767</v>
      </c>
      <c r="B1710" s="30" t="s">
        <v>333</v>
      </c>
      <c r="C1710" s="30">
        <v>25</v>
      </c>
      <c r="D1710" s="190">
        <v>40692.730000000003</v>
      </c>
      <c r="E1710" s="30" t="s">
        <v>10</v>
      </c>
      <c r="F1710" s="190">
        <v>321.11399999999998</v>
      </c>
      <c r="G1710" s="30" t="s">
        <v>335</v>
      </c>
      <c r="H1710" s="30"/>
    </row>
    <row r="1711" spans="1:15" x14ac:dyDescent="0.25">
      <c r="A1711" s="30" t="s">
        <v>768</v>
      </c>
      <c r="B1711" s="30" t="s">
        <v>333</v>
      </c>
      <c r="C1711" s="30">
        <v>25</v>
      </c>
      <c r="D1711" s="190">
        <v>59052.019</v>
      </c>
      <c r="E1711" s="30" t="s">
        <v>10</v>
      </c>
      <c r="F1711" s="190">
        <v>541.28200000000004</v>
      </c>
      <c r="G1711" s="30" t="s">
        <v>335</v>
      </c>
      <c r="H1711" s="30"/>
    </row>
    <row r="1712" spans="1:15" x14ac:dyDescent="0.25">
      <c r="A1712" s="30" t="s">
        <v>769</v>
      </c>
      <c r="B1712" s="30" t="s">
        <v>333</v>
      </c>
      <c r="C1712" s="30">
        <v>25</v>
      </c>
      <c r="D1712" s="190">
        <v>7541.47</v>
      </c>
      <c r="E1712" s="30" t="s">
        <v>10</v>
      </c>
      <c r="F1712" s="190">
        <v>54.231000000000002</v>
      </c>
      <c r="G1712" s="30" t="s">
        <v>335</v>
      </c>
      <c r="H1712" s="30"/>
    </row>
    <row r="1713" spans="1:17" x14ac:dyDescent="0.25">
      <c r="A1713" s="30" t="s">
        <v>770</v>
      </c>
      <c r="B1713" s="30" t="s">
        <v>333</v>
      </c>
      <c r="C1713" s="30">
        <v>25</v>
      </c>
      <c r="D1713" s="190">
        <v>4100.884</v>
      </c>
      <c r="E1713" s="30" t="s">
        <v>10</v>
      </c>
      <c r="F1713" s="190">
        <v>19.638000000000002</v>
      </c>
      <c r="G1713" s="30" t="s">
        <v>335</v>
      </c>
      <c r="H1713" s="30"/>
    </row>
    <row r="1714" spans="1:17" x14ac:dyDescent="0.25">
      <c r="A1714" s="30" t="s">
        <v>771</v>
      </c>
      <c r="B1714" s="30" t="s">
        <v>333</v>
      </c>
      <c r="C1714" s="30">
        <v>25</v>
      </c>
      <c r="D1714" s="190">
        <v>5915.9920000000002</v>
      </c>
      <c r="E1714" s="30" t="s">
        <v>10</v>
      </c>
      <c r="F1714" s="190">
        <v>42.887</v>
      </c>
      <c r="G1714" s="30" t="s">
        <v>335</v>
      </c>
      <c r="H1714" s="30"/>
    </row>
    <row r="1715" spans="1:17" x14ac:dyDescent="0.25">
      <c r="A1715" s="30" t="s">
        <v>772</v>
      </c>
      <c r="B1715" s="30" t="s">
        <v>333</v>
      </c>
      <c r="C1715" s="30">
        <v>25</v>
      </c>
      <c r="D1715" s="190">
        <v>664.20799999999997</v>
      </c>
      <c r="E1715" s="30" t="s">
        <v>10</v>
      </c>
      <c r="F1715" s="190">
        <v>2.2029999999999998</v>
      </c>
      <c r="G1715" s="30" t="s">
        <v>335</v>
      </c>
      <c r="H1715" s="30"/>
    </row>
    <row r="1716" spans="1:17" x14ac:dyDescent="0.25">
      <c r="A1716" s="30" t="s">
        <v>773</v>
      </c>
      <c r="B1716" s="30" t="s">
        <v>333</v>
      </c>
      <c r="C1716" s="30">
        <v>25</v>
      </c>
      <c r="D1716" s="190">
        <v>406.03100000000001</v>
      </c>
      <c r="E1716" s="30" t="s">
        <v>10</v>
      </c>
      <c r="F1716" s="190">
        <v>3.4350000000000001</v>
      </c>
      <c r="G1716" s="30" t="s">
        <v>335</v>
      </c>
      <c r="H1716" s="30"/>
    </row>
    <row r="1717" spans="1:17" x14ac:dyDescent="0.25">
      <c r="A1717" s="30" t="s">
        <v>774</v>
      </c>
      <c r="B1717" s="30" t="s">
        <v>333</v>
      </c>
      <c r="C1717" s="30">
        <v>25</v>
      </c>
      <c r="D1717" s="190">
        <v>467.71600000000001</v>
      </c>
      <c r="E1717" s="30" t="s">
        <v>10</v>
      </c>
      <c r="F1717" s="190">
        <v>3.1819999999999999</v>
      </c>
      <c r="G1717" s="30" t="s">
        <v>335</v>
      </c>
      <c r="H1717" s="30"/>
    </row>
    <row r="1719" spans="1:17" x14ac:dyDescent="0.25">
      <c r="A1719" s="30" t="s">
        <v>786</v>
      </c>
      <c r="B1719" s="30"/>
      <c r="C1719" s="30"/>
      <c r="D1719" s="190"/>
      <c r="E1719" s="30"/>
      <c r="F1719" s="190"/>
      <c r="G1719" s="30"/>
      <c r="H1719" s="30"/>
    </row>
    <row r="1720" spans="1:17" ht="20" thickBot="1" x14ac:dyDescent="0.3">
      <c r="A1720" s="30" t="s">
        <v>2</v>
      </c>
      <c r="B1720" s="30" t="s">
        <v>3</v>
      </c>
      <c r="C1720" s="30" t="s">
        <v>4</v>
      </c>
      <c r="D1720" s="190" t="s">
        <v>5</v>
      </c>
      <c r="E1720" s="30" t="s">
        <v>6</v>
      </c>
      <c r="F1720" s="190" t="s">
        <v>7</v>
      </c>
      <c r="G1720" s="30"/>
      <c r="H1720" s="30"/>
    </row>
    <row r="1721" spans="1:17" x14ac:dyDescent="0.25">
      <c r="A1721" s="30" t="s">
        <v>787</v>
      </c>
      <c r="B1721" s="30" t="s">
        <v>333</v>
      </c>
      <c r="C1721" s="30">
        <v>25</v>
      </c>
      <c r="D1721" s="190">
        <v>1105742.804</v>
      </c>
      <c r="E1721" s="30" t="s">
        <v>10</v>
      </c>
      <c r="F1721" s="190">
        <v>28820.838</v>
      </c>
      <c r="G1721" s="30" t="s">
        <v>335</v>
      </c>
      <c r="H1721" s="30"/>
      <c r="J1721" s="70" t="s">
        <v>786</v>
      </c>
      <c r="K1721" s="72" t="s">
        <v>344</v>
      </c>
      <c r="L1721" s="72" t="s">
        <v>341</v>
      </c>
      <c r="M1721" s="17" t="s">
        <v>162</v>
      </c>
      <c r="N1721" s="72" t="s">
        <v>343</v>
      </c>
      <c r="O1721" s="17" t="s">
        <v>162</v>
      </c>
      <c r="P1721" s="72" t="s">
        <v>342</v>
      </c>
      <c r="Q1721" s="21" t="s">
        <v>162</v>
      </c>
    </row>
    <row r="1722" spans="1:17" x14ac:dyDescent="0.25">
      <c r="A1722" s="30" t="s">
        <v>788</v>
      </c>
      <c r="B1722" s="30" t="s">
        <v>333</v>
      </c>
      <c r="C1722" s="30">
        <v>25</v>
      </c>
      <c r="D1722" s="190">
        <v>1326076.75</v>
      </c>
      <c r="E1722" s="30" t="s">
        <v>10</v>
      </c>
      <c r="F1722" s="190">
        <v>23060.947</v>
      </c>
      <c r="G1722" s="30" t="s">
        <v>335</v>
      </c>
      <c r="H1722" s="30"/>
      <c r="J1722" s="6">
        <v>100000</v>
      </c>
      <c r="K1722" s="119">
        <f>D1721</f>
        <v>1105742.804</v>
      </c>
      <c r="L1722" s="119">
        <f>D1722</f>
        <v>1326076.75</v>
      </c>
      <c r="M1722" s="18">
        <f>(K1722/L1722-1)</f>
        <v>-0.16615474632218685</v>
      </c>
      <c r="N1722" s="73">
        <f>D1723</f>
        <v>1252598.8370000001</v>
      </c>
      <c r="O1722" s="18">
        <f>(K1722/N1722-1)</f>
        <v>-0.1172410740470774</v>
      </c>
      <c r="P1722" s="73">
        <f>D1724</f>
        <v>1263102.456</v>
      </c>
      <c r="Q1722" s="22">
        <f>(K1722/P1722-1)</f>
        <v>-0.12458185893987372</v>
      </c>
    </row>
    <row r="1723" spans="1:17" x14ac:dyDescent="0.25">
      <c r="A1723" s="30" t="s">
        <v>789</v>
      </c>
      <c r="B1723" s="30" t="s">
        <v>333</v>
      </c>
      <c r="C1723" s="30">
        <v>25</v>
      </c>
      <c r="D1723" s="190">
        <v>1252598.8370000001</v>
      </c>
      <c r="E1723" s="30" t="s">
        <v>10</v>
      </c>
      <c r="F1723" s="190">
        <v>16609.114000000001</v>
      </c>
      <c r="G1723" s="30" t="s">
        <v>335</v>
      </c>
      <c r="H1723" s="30"/>
      <c r="J1723" s="6">
        <v>50000</v>
      </c>
      <c r="K1723" s="119">
        <f>D1725</f>
        <v>495696</v>
      </c>
      <c r="L1723" s="119">
        <f>D1726</f>
        <v>598668</v>
      </c>
      <c r="M1723" s="18">
        <f t="shared" ref="M1723:M1726" si="178">(K1723/L1723-1)</f>
        <v>-0.17200184409388841</v>
      </c>
      <c r="N1723" s="73">
        <f>D1727</f>
        <v>496577</v>
      </c>
      <c r="O1723" s="18">
        <f t="shared" ref="O1723:O1726" si="179">(K1723/N1723-1)</f>
        <v>-1.7741458021616197E-3</v>
      </c>
      <c r="P1723" s="73">
        <f>D1728</f>
        <v>555912</v>
      </c>
      <c r="Q1723" s="22">
        <f t="shared" ref="Q1723:Q1726" si="180">(K1723/P1723-1)</f>
        <v>-0.10831930233562148</v>
      </c>
    </row>
    <row r="1724" spans="1:17" x14ac:dyDescent="0.25">
      <c r="A1724" s="30" t="s">
        <v>790</v>
      </c>
      <c r="B1724" s="30" t="s">
        <v>333</v>
      </c>
      <c r="C1724" s="30">
        <v>25</v>
      </c>
      <c r="D1724" s="190">
        <v>1263102.456</v>
      </c>
      <c r="E1724" s="30" t="s">
        <v>10</v>
      </c>
      <c r="F1724" s="190">
        <v>17426.013999999999</v>
      </c>
      <c r="G1724" s="30" t="s">
        <v>335</v>
      </c>
      <c r="H1724" s="30"/>
      <c r="J1724" s="6">
        <v>10000</v>
      </c>
      <c r="K1724" s="119">
        <f>D1729</f>
        <v>84109</v>
      </c>
      <c r="L1724" s="119">
        <f>D1730</f>
        <v>80299</v>
      </c>
      <c r="M1724" s="18">
        <f t="shared" si="178"/>
        <v>4.7447664354475227E-2</v>
      </c>
      <c r="N1724" s="73">
        <f>D1731</f>
        <v>76694</v>
      </c>
      <c r="O1724" s="18">
        <f t="shared" si="179"/>
        <v>9.6682921740944616E-2</v>
      </c>
      <c r="P1724" s="73">
        <f>D1732</f>
        <v>108288</v>
      </c>
      <c r="Q1724" s="22">
        <f t="shared" si="180"/>
        <v>-0.22328420508274227</v>
      </c>
    </row>
    <row r="1725" spans="1:17" x14ac:dyDescent="0.25">
      <c r="A1725" s="30" t="s">
        <v>791</v>
      </c>
      <c r="B1725" s="30" t="s">
        <v>333</v>
      </c>
      <c r="C1725" s="30">
        <v>25</v>
      </c>
      <c r="D1725" s="190">
        <v>495696</v>
      </c>
      <c r="E1725" s="30" t="s">
        <v>10</v>
      </c>
      <c r="F1725" s="190">
        <v>9320.0419999999995</v>
      </c>
      <c r="G1725" s="30" t="s">
        <v>335</v>
      </c>
      <c r="H1725" s="30"/>
      <c r="J1725" s="67">
        <v>1000</v>
      </c>
      <c r="K1725" s="119">
        <f>D1733</f>
        <v>6105.2219999999998</v>
      </c>
      <c r="L1725" s="119">
        <f>D1734</f>
        <v>6536.0119999999997</v>
      </c>
      <c r="M1725" s="18">
        <f t="shared" si="178"/>
        <v>-6.5910221707059291E-2</v>
      </c>
      <c r="N1725" s="73">
        <f>D1735</f>
        <v>5728.9139999999998</v>
      </c>
      <c r="O1725" s="18">
        <f t="shared" si="179"/>
        <v>6.5685747769996139E-2</v>
      </c>
      <c r="P1725" s="73">
        <f>D1736</f>
        <v>7498.8429999999998</v>
      </c>
      <c r="Q1725" s="22">
        <f t="shared" si="180"/>
        <v>-0.18584480299160822</v>
      </c>
    </row>
    <row r="1726" spans="1:17" ht="20" thickBot="1" x14ac:dyDescent="0.3">
      <c r="A1726" s="30" t="s">
        <v>792</v>
      </c>
      <c r="B1726" s="30" t="s">
        <v>333</v>
      </c>
      <c r="C1726" s="30">
        <v>25</v>
      </c>
      <c r="D1726" s="190">
        <v>598668</v>
      </c>
      <c r="E1726" s="30" t="s">
        <v>10</v>
      </c>
      <c r="F1726" s="190">
        <v>7355.72</v>
      </c>
      <c r="G1726" s="30" t="s">
        <v>335</v>
      </c>
      <c r="H1726" s="30"/>
      <c r="J1726" s="68">
        <v>100</v>
      </c>
      <c r="K1726" s="120">
        <f>D1737</f>
        <v>649.08000000000004</v>
      </c>
      <c r="L1726" s="120">
        <f>D1738</f>
        <v>674.76800000000003</v>
      </c>
      <c r="M1726" s="19">
        <f t="shared" si="178"/>
        <v>-3.8069380883503645E-2</v>
      </c>
      <c r="N1726" s="74">
        <f>D1739</f>
        <v>562.19500000000005</v>
      </c>
      <c r="O1726" s="19">
        <f t="shared" si="179"/>
        <v>0.15454602050889821</v>
      </c>
      <c r="P1726" s="74">
        <f>D1740</f>
        <v>722.65099999999995</v>
      </c>
      <c r="Q1726" s="23">
        <f t="shared" si="180"/>
        <v>-0.10180709637155405</v>
      </c>
    </row>
    <row r="1727" spans="1:17" ht="20" thickBot="1" x14ac:dyDescent="0.3">
      <c r="A1727" s="30" t="s">
        <v>793</v>
      </c>
      <c r="B1727" s="30" t="s">
        <v>333</v>
      </c>
      <c r="C1727" s="30">
        <v>25</v>
      </c>
      <c r="D1727" s="190">
        <v>496577</v>
      </c>
      <c r="E1727" s="30" t="s">
        <v>10</v>
      </c>
      <c r="F1727" s="190">
        <v>15228.95</v>
      </c>
      <c r="G1727" s="30" t="s">
        <v>335</v>
      </c>
      <c r="H1727" s="30"/>
    </row>
    <row r="1728" spans="1:17" x14ac:dyDescent="0.25">
      <c r="A1728" s="30" t="s">
        <v>794</v>
      </c>
      <c r="B1728" s="30" t="s">
        <v>333</v>
      </c>
      <c r="C1728" s="30">
        <v>25</v>
      </c>
      <c r="D1728" s="190">
        <v>555912</v>
      </c>
      <c r="E1728" s="30" t="s">
        <v>10</v>
      </c>
      <c r="F1728" s="190">
        <v>4299.9399999999996</v>
      </c>
      <c r="G1728" s="30" t="s">
        <v>335</v>
      </c>
      <c r="H1728" s="30"/>
      <c r="J1728" s="70" t="s">
        <v>786</v>
      </c>
      <c r="K1728" s="72" t="s">
        <v>341</v>
      </c>
      <c r="L1728" s="72" t="s">
        <v>342</v>
      </c>
      <c r="M1728" s="17" t="s">
        <v>162</v>
      </c>
      <c r="N1728" s="72" t="s">
        <v>343</v>
      </c>
      <c r="O1728" s="21" t="s">
        <v>162</v>
      </c>
    </row>
    <row r="1729" spans="1:17" x14ac:dyDescent="0.25">
      <c r="A1729" s="30" t="s">
        <v>795</v>
      </c>
      <c r="B1729" s="30" t="s">
        <v>333</v>
      </c>
      <c r="C1729" s="30">
        <v>25</v>
      </c>
      <c r="D1729" s="190">
        <v>84109</v>
      </c>
      <c r="E1729" s="30" t="s">
        <v>10</v>
      </c>
      <c r="F1729" s="190">
        <v>4605.8969999999999</v>
      </c>
      <c r="G1729" s="30" t="s">
        <v>335</v>
      </c>
      <c r="H1729" s="30"/>
      <c r="J1729" s="6">
        <v>100000</v>
      </c>
      <c r="K1729" s="119">
        <f>D1722</f>
        <v>1326076.75</v>
      </c>
      <c r="L1729" s="119">
        <f>D1724</f>
        <v>1263102.456</v>
      </c>
      <c r="M1729" s="18">
        <f>(K1729/L1729-1)</f>
        <v>4.9856837583411417E-2</v>
      </c>
      <c r="N1729" s="73">
        <f>D1723</f>
        <v>1252598.8370000001</v>
      </c>
      <c r="O1729" s="22">
        <f>(K1729/N1729-1)</f>
        <v>5.8660371405086842E-2</v>
      </c>
    </row>
    <row r="1730" spans="1:17" x14ac:dyDescent="0.25">
      <c r="A1730" s="30" t="s">
        <v>796</v>
      </c>
      <c r="B1730" s="30" t="s">
        <v>333</v>
      </c>
      <c r="C1730" s="30">
        <v>25</v>
      </c>
      <c r="D1730" s="190">
        <v>80299</v>
      </c>
      <c r="E1730" s="30" t="s">
        <v>10</v>
      </c>
      <c r="F1730" s="190">
        <v>1429.7660000000001</v>
      </c>
      <c r="G1730" s="30" t="s">
        <v>335</v>
      </c>
      <c r="H1730" s="30"/>
      <c r="J1730" s="6">
        <v>50000</v>
      </c>
      <c r="K1730" s="119">
        <f>D1726</f>
        <v>598668</v>
      </c>
      <c r="L1730" s="119">
        <f>D1728</f>
        <v>555912</v>
      </c>
      <c r="M1730" s="18">
        <f t="shared" ref="M1730:M1733" si="181">(K1730/L1730-1)</f>
        <v>7.6911453611362868E-2</v>
      </c>
      <c r="N1730" s="73">
        <f>D1727</f>
        <v>496577</v>
      </c>
      <c r="O1730" s="22">
        <f t="shared" ref="O1730:O1733" si="182">(K1730/N1730-1)</f>
        <v>0.20558946548068069</v>
      </c>
    </row>
    <row r="1731" spans="1:17" x14ac:dyDescent="0.25">
      <c r="A1731" s="30" t="s">
        <v>797</v>
      </c>
      <c r="B1731" s="30" t="s">
        <v>333</v>
      </c>
      <c r="C1731" s="30">
        <v>25</v>
      </c>
      <c r="D1731" s="190">
        <v>76694</v>
      </c>
      <c r="E1731" s="30" t="s">
        <v>10</v>
      </c>
      <c r="F1731" s="190">
        <v>807.66200000000003</v>
      </c>
      <c r="G1731" s="30" t="s">
        <v>335</v>
      </c>
      <c r="H1731" s="30"/>
      <c r="J1731" s="6">
        <v>10000</v>
      </c>
      <c r="K1731" s="119">
        <f>D1730</f>
        <v>80299</v>
      </c>
      <c r="L1731" s="119">
        <f>D1732</f>
        <v>108288</v>
      </c>
      <c r="M1731" s="18">
        <f t="shared" si="181"/>
        <v>-0.25846815898345155</v>
      </c>
      <c r="N1731" s="73">
        <f>D1731</f>
        <v>76694</v>
      </c>
      <c r="O1731" s="22">
        <f t="shared" si="182"/>
        <v>4.7004980832920484E-2</v>
      </c>
    </row>
    <row r="1732" spans="1:17" x14ac:dyDescent="0.25">
      <c r="A1732" s="30" t="s">
        <v>798</v>
      </c>
      <c r="B1732" s="30" t="s">
        <v>333</v>
      </c>
      <c r="C1732" s="30">
        <v>25</v>
      </c>
      <c r="D1732" s="190">
        <v>108288</v>
      </c>
      <c r="E1732" s="30" t="s">
        <v>10</v>
      </c>
      <c r="F1732" s="190">
        <v>2164.596</v>
      </c>
      <c r="G1732" s="30" t="s">
        <v>335</v>
      </c>
      <c r="H1732" s="30"/>
      <c r="J1732" s="67">
        <v>1000</v>
      </c>
      <c r="K1732" s="119">
        <f>D1734</f>
        <v>6536.0119999999997</v>
      </c>
      <c r="L1732" s="119">
        <f>D1736</f>
        <v>7498.8429999999998</v>
      </c>
      <c r="M1732" s="18">
        <f t="shared" si="181"/>
        <v>-0.12839727408614909</v>
      </c>
      <c r="N1732" s="73">
        <f>D1735</f>
        <v>5728.9139999999998</v>
      </c>
      <c r="O1732" s="22">
        <f t="shared" si="182"/>
        <v>0.14088150040304326</v>
      </c>
    </row>
    <row r="1733" spans="1:17" ht="20" thickBot="1" x14ac:dyDescent="0.3">
      <c r="A1733" s="30" t="s">
        <v>799</v>
      </c>
      <c r="B1733" s="30" t="s">
        <v>333</v>
      </c>
      <c r="C1733" s="30">
        <v>25</v>
      </c>
      <c r="D1733" s="190">
        <v>6105.2219999999998</v>
      </c>
      <c r="E1733" s="30" t="s">
        <v>10</v>
      </c>
      <c r="F1733" s="190">
        <v>82.488</v>
      </c>
      <c r="G1733" s="30" t="s">
        <v>335</v>
      </c>
      <c r="H1733" s="30"/>
      <c r="J1733" s="68">
        <v>100</v>
      </c>
      <c r="K1733" s="120">
        <f>D1738</f>
        <v>674.76800000000003</v>
      </c>
      <c r="L1733" s="120">
        <f>D1740</f>
        <v>722.65099999999995</v>
      </c>
      <c r="M1733" s="19">
        <f t="shared" si="181"/>
        <v>-6.6260200290319871E-2</v>
      </c>
      <c r="N1733" s="74">
        <f>D1739</f>
        <v>562.19500000000005</v>
      </c>
      <c r="O1733" s="23">
        <f t="shared" si="182"/>
        <v>0.20023835146168145</v>
      </c>
    </row>
    <row r="1734" spans="1:17" x14ac:dyDescent="0.25">
      <c r="A1734" s="30" t="s">
        <v>800</v>
      </c>
      <c r="B1734" s="30" t="s">
        <v>333</v>
      </c>
      <c r="C1734" s="30">
        <v>25</v>
      </c>
      <c r="D1734" s="190">
        <v>6536.0119999999997</v>
      </c>
      <c r="E1734" s="30" t="s">
        <v>10</v>
      </c>
      <c r="F1734" s="190">
        <v>60.741</v>
      </c>
      <c r="G1734" s="30" t="s">
        <v>335</v>
      </c>
      <c r="H1734" s="30"/>
    </row>
    <row r="1735" spans="1:17" x14ac:dyDescent="0.25">
      <c r="A1735" s="30" t="s">
        <v>801</v>
      </c>
      <c r="B1735" s="30" t="s">
        <v>333</v>
      </c>
      <c r="C1735" s="30">
        <v>25</v>
      </c>
      <c r="D1735" s="190">
        <v>5728.9139999999998</v>
      </c>
      <c r="E1735" s="30" t="s">
        <v>10</v>
      </c>
      <c r="F1735" s="190">
        <v>56.845999999999997</v>
      </c>
      <c r="G1735" s="30" t="s">
        <v>335</v>
      </c>
      <c r="H1735" s="30"/>
    </row>
    <row r="1736" spans="1:17" x14ac:dyDescent="0.25">
      <c r="A1736" s="30" t="s">
        <v>802</v>
      </c>
      <c r="B1736" s="30" t="s">
        <v>333</v>
      </c>
      <c r="C1736" s="30">
        <v>25</v>
      </c>
      <c r="D1736" s="190">
        <v>7498.8429999999998</v>
      </c>
      <c r="E1736" s="30" t="s">
        <v>10</v>
      </c>
      <c r="F1736" s="190">
        <v>54.036999999999999</v>
      </c>
      <c r="G1736" s="30" t="s">
        <v>335</v>
      </c>
      <c r="H1736" s="30"/>
    </row>
    <row r="1737" spans="1:17" x14ac:dyDescent="0.25">
      <c r="A1737" s="30" t="s">
        <v>803</v>
      </c>
      <c r="B1737" s="30" t="s">
        <v>333</v>
      </c>
      <c r="C1737" s="30">
        <v>25</v>
      </c>
      <c r="D1737" s="190">
        <v>649.08000000000004</v>
      </c>
      <c r="E1737" s="30" t="s">
        <v>10</v>
      </c>
      <c r="F1737" s="190">
        <v>7.1980000000000004</v>
      </c>
      <c r="G1737" s="30" t="s">
        <v>335</v>
      </c>
      <c r="H1737" s="30"/>
    </row>
    <row r="1738" spans="1:17" x14ac:dyDescent="0.25">
      <c r="A1738" s="30" t="s">
        <v>804</v>
      </c>
      <c r="B1738" s="30" t="s">
        <v>333</v>
      </c>
      <c r="C1738" s="30">
        <v>25</v>
      </c>
      <c r="D1738" s="190">
        <v>674.76800000000003</v>
      </c>
      <c r="E1738" s="30" t="s">
        <v>10</v>
      </c>
      <c r="F1738" s="190">
        <v>3.3220000000000001</v>
      </c>
      <c r="G1738" s="30" t="s">
        <v>335</v>
      </c>
      <c r="H1738" s="30"/>
    </row>
    <row r="1739" spans="1:17" x14ac:dyDescent="0.25">
      <c r="A1739" s="30" t="s">
        <v>805</v>
      </c>
      <c r="B1739" s="30" t="s">
        <v>333</v>
      </c>
      <c r="C1739" s="30">
        <v>25</v>
      </c>
      <c r="D1739" s="190">
        <v>562.19500000000005</v>
      </c>
      <c r="E1739" s="30" t="s">
        <v>10</v>
      </c>
      <c r="F1739" s="190">
        <v>2.5619999999999998</v>
      </c>
      <c r="G1739" s="30" t="s">
        <v>335</v>
      </c>
      <c r="H1739" s="30"/>
    </row>
    <row r="1740" spans="1:17" x14ac:dyDescent="0.25">
      <c r="A1740" s="30" t="s">
        <v>806</v>
      </c>
      <c r="B1740" s="30" t="s">
        <v>333</v>
      </c>
      <c r="C1740" s="30">
        <v>25</v>
      </c>
      <c r="D1740" s="190">
        <v>722.65099999999995</v>
      </c>
      <c r="E1740" s="30" t="s">
        <v>10</v>
      </c>
      <c r="F1740" s="190">
        <v>4.0789999999999997</v>
      </c>
      <c r="G1740" s="30" t="s">
        <v>335</v>
      </c>
      <c r="H1740" s="30"/>
    </row>
    <row r="1742" spans="1:17" x14ac:dyDescent="0.25">
      <c r="A1742" s="30" t="s">
        <v>807</v>
      </c>
      <c r="B1742" s="30"/>
      <c r="C1742" s="30"/>
      <c r="D1742" s="190"/>
      <c r="E1742" s="30"/>
      <c r="F1742" s="190"/>
      <c r="G1742" s="30"/>
      <c r="H1742" s="30"/>
    </row>
    <row r="1743" spans="1:17" ht="20" thickBot="1" x14ac:dyDescent="0.3">
      <c r="A1743" s="30" t="s">
        <v>2</v>
      </c>
      <c r="B1743" s="30" t="s">
        <v>3</v>
      </c>
      <c r="C1743" s="30" t="s">
        <v>4</v>
      </c>
      <c r="D1743" s="190" t="s">
        <v>5</v>
      </c>
      <c r="E1743" s="30" t="s">
        <v>6</v>
      </c>
      <c r="F1743" s="190" t="s">
        <v>7</v>
      </c>
      <c r="G1743" s="30"/>
      <c r="H1743" s="30"/>
    </row>
    <row r="1744" spans="1:17" x14ac:dyDescent="0.25">
      <c r="A1744" s="30" t="s">
        <v>808</v>
      </c>
      <c r="B1744" s="30" t="s">
        <v>333</v>
      </c>
      <c r="C1744" s="30">
        <v>25</v>
      </c>
      <c r="D1744" s="190">
        <v>3138889.2239999999</v>
      </c>
      <c r="E1744" s="30" t="s">
        <v>10</v>
      </c>
      <c r="F1744" s="190">
        <v>36060.144999999997</v>
      </c>
      <c r="G1744" s="30" t="s">
        <v>335</v>
      </c>
      <c r="H1744" s="30"/>
      <c r="J1744" s="70" t="s">
        <v>807</v>
      </c>
      <c r="K1744" s="72" t="s">
        <v>344</v>
      </c>
      <c r="L1744" s="72" t="s">
        <v>341</v>
      </c>
      <c r="M1744" s="17" t="s">
        <v>162</v>
      </c>
      <c r="N1744" s="72" t="s">
        <v>343</v>
      </c>
      <c r="O1744" s="17" t="s">
        <v>162</v>
      </c>
      <c r="P1744" s="72" t="s">
        <v>342</v>
      </c>
      <c r="Q1744" s="21" t="s">
        <v>162</v>
      </c>
    </row>
    <row r="1745" spans="1:17" x14ac:dyDescent="0.25">
      <c r="A1745" s="30" t="s">
        <v>809</v>
      </c>
      <c r="B1745" s="30" t="s">
        <v>333</v>
      </c>
      <c r="C1745" s="30">
        <v>25</v>
      </c>
      <c r="D1745" s="190">
        <v>3815149.071</v>
      </c>
      <c r="E1745" s="30" t="s">
        <v>10</v>
      </c>
      <c r="F1745" s="190">
        <v>57261.819000000003</v>
      </c>
      <c r="G1745" s="30" t="s">
        <v>335</v>
      </c>
      <c r="H1745" s="30"/>
      <c r="J1745" s="6">
        <v>100000</v>
      </c>
      <c r="K1745" s="119">
        <f>D1744</f>
        <v>3138889.2239999999</v>
      </c>
      <c r="L1745" s="119">
        <f>D1745</f>
        <v>3815149.071</v>
      </c>
      <c r="M1745" s="18">
        <f>(K1745/L1745-1)</f>
        <v>-0.17725646741838674</v>
      </c>
      <c r="N1745" s="73">
        <f>D1746</f>
        <v>2868522.4369999999</v>
      </c>
      <c r="O1745" s="18">
        <f>(K1745/N1745-1)</f>
        <v>9.4252979691788363E-2</v>
      </c>
      <c r="P1745" s="73">
        <f>D1747</f>
        <v>3110532.0049999999</v>
      </c>
      <c r="Q1745" s="22">
        <f>(K1745/P1745-1)</f>
        <v>9.1165173527929522E-3</v>
      </c>
    </row>
    <row r="1746" spans="1:17" x14ac:dyDescent="0.25">
      <c r="A1746" s="30" t="s">
        <v>810</v>
      </c>
      <c r="B1746" s="30" t="s">
        <v>333</v>
      </c>
      <c r="C1746" s="30">
        <v>25</v>
      </c>
      <c r="D1746" s="190">
        <v>2868522.4369999999</v>
      </c>
      <c r="E1746" s="30" t="s">
        <v>10</v>
      </c>
      <c r="F1746" s="190">
        <v>33658.417999999998</v>
      </c>
      <c r="G1746" s="30" t="s">
        <v>335</v>
      </c>
      <c r="H1746" s="30"/>
      <c r="J1746" s="6">
        <v>50000</v>
      </c>
      <c r="K1746" s="119">
        <f>D1748</f>
        <v>1434347.9909999999</v>
      </c>
      <c r="L1746" s="119">
        <f>D1749</f>
        <v>1799304.871</v>
      </c>
      <c r="M1746" s="18">
        <f t="shared" ref="M1746:M1749" si="183">(K1746/L1746-1)</f>
        <v>-0.20283215250629982</v>
      </c>
      <c r="N1746" s="73">
        <f>D1750</f>
        <v>1263000.5560000001</v>
      </c>
      <c r="O1746" s="18">
        <f t="shared" ref="O1746:O1749" si="184">(K1746/N1746-1)</f>
        <v>0.13566695136118367</v>
      </c>
      <c r="P1746" s="73">
        <f>D1751</f>
        <v>1454824.3670000001</v>
      </c>
      <c r="Q1746" s="22">
        <f t="shared" ref="Q1746:Q1749" si="185">(K1746/P1746-1)</f>
        <v>-1.4074809622706907E-2</v>
      </c>
    </row>
    <row r="1747" spans="1:17" x14ac:dyDescent="0.25">
      <c r="A1747" s="30" t="s">
        <v>811</v>
      </c>
      <c r="B1747" s="30" t="s">
        <v>333</v>
      </c>
      <c r="C1747" s="30">
        <v>25</v>
      </c>
      <c r="D1747" s="190">
        <v>3110532.0049999999</v>
      </c>
      <c r="E1747" s="30" t="s">
        <v>10</v>
      </c>
      <c r="F1747" s="190">
        <v>47390.228000000003</v>
      </c>
      <c r="G1747" s="30" t="s">
        <v>335</v>
      </c>
      <c r="H1747" s="30"/>
      <c r="J1747" s="6">
        <v>10000</v>
      </c>
      <c r="K1747" s="119">
        <f>D1752</f>
        <v>240022.64300000001</v>
      </c>
      <c r="L1747" s="119">
        <f>D1753</f>
        <v>306754.08199999999</v>
      </c>
      <c r="M1747" s="18">
        <f t="shared" si="183"/>
        <v>-0.21754050855629681</v>
      </c>
      <c r="N1747" s="73">
        <f>D1754</f>
        <v>219192.05499999999</v>
      </c>
      <c r="O1747" s="18">
        <f t="shared" si="184"/>
        <v>9.5033499275327449E-2</v>
      </c>
      <c r="P1747" s="73">
        <f>D1755</f>
        <v>226248.49400000001</v>
      </c>
      <c r="Q1747" s="22">
        <f t="shared" si="185"/>
        <v>6.0880621817531289E-2</v>
      </c>
    </row>
    <row r="1748" spans="1:17" x14ac:dyDescent="0.25">
      <c r="A1748" s="30" t="s">
        <v>812</v>
      </c>
      <c r="B1748" s="30" t="s">
        <v>333</v>
      </c>
      <c r="C1748" s="30">
        <v>25</v>
      </c>
      <c r="D1748" s="190">
        <v>1434347.9909999999</v>
      </c>
      <c r="E1748" s="30" t="s">
        <v>10</v>
      </c>
      <c r="F1748" s="190">
        <v>21332.486000000001</v>
      </c>
      <c r="G1748" s="30" t="s">
        <v>335</v>
      </c>
      <c r="H1748" s="30"/>
      <c r="J1748" s="67">
        <v>1000</v>
      </c>
      <c r="K1748" s="119">
        <f>D1756</f>
        <v>15504</v>
      </c>
      <c r="L1748" s="119">
        <f>D1757</f>
        <v>22257.878000000001</v>
      </c>
      <c r="M1748" s="18">
        <f t="shared" si="183"/>
        <v>-0.30343764127020556</v>
      </c>
      <c r="N1748" s="73">
        <f>D1758</f>
        <v>14707.172</v>
      </c>
      <c r="O1748" s="18">
        <f t="shared" si="184"/>
        <v>5.4179552669949116E-2</v>
      </c>
      <c r="P1748" s="73">
        <f>D1759</f>
        <v>17910.919999999998</v>
      </c>
      <c r="Q1748" s="22">
        <f t="shared" si="185"/>
        <v>-0.13438282343955521</v>
      </c>
    </row>
    <row r="1749" spans="1:17" ht="20" thickBot="1" x14ac:dyDescent="0.3">
      <c r="A1749" s="30" t="s">
        <v>813</v>
      </c>
      <c r="B1749" s="30" t="s">
        <v>333</v>
      </c>
      <c r="C1749" s="30">
        <v>25</v>
      </c>
      <c r="D1749" s="190">
        <v>1799304.871</v>
      </c>
      <c r="E1749" s="30" t="s">
        <v>10</v>
      </c>
      <c r="F1749" s="190">
        <v>23142.46</v>
      </c>
      <c r="G1749" s="30" t="s">
        <v>335</v>
      </c>
      <c r="H1749" s="30"/>
      <c r="J1749" s="68">
        <v>100</v>
      </c>
      <c r="K1749" s="120">
        <f>D1760</f>
        <v>1352.5029999999999</v>
      </c>
      <c r="L1749" s="120">
        <f>D1761</f>
        <v>1542.2639999999999</v>
      </c>
      <c r="M1749" s="19">
        <f t="shared" si="183"/>
        <v>-0.12304054299393619</v>
      </c>
      <c r="N1749" s="74">
        <f>D1762</f>
        <v>995.31299999999999</v>
      </c>
      <c r="O1749" s="19">
        <f t="shared" si="184"/>
        <v>0.35887203321970063</v>
      </c>
      <c r="P1749" s="74">
        <f>D1763</f>
        <v>1268.33</v>
      </c>
      <c r="Q1749" s="23">
        <f t="shared" si="185"/>
        <v>6.6365220407937908E-2</v>
      </c>
    </row>
    <row r="1750" spans="1:17" ht="20" thickBot="1" x14ac:dyDescent="0.3">
      <c r="A1750" s="30" t="s">
        <v>814</v>
      </c>
      <c r="B1750" s="30" t="s">
        <v>333</v>
      </c>
      <c r="C1750" s="30">
        <v>25</v>
      </c>
      <c r="D1750" s="190">
        <v>1263000.5560000001</v>
      </c>
      <c r="E1750" s="30" t="s">
        <v>10</v>
      </c>
      <c r="F1750" s="190">
        <v>29671.781999999999</v>
      </c>
      <c r="G1750" s="30" t="s">
        <v>335</v>
      </c>
      <c r="H1750" s="30"/>
    </row>
    <row r="1751" spans="1:17" x14ac:dyDescent="0.25">
      <c r="A1751" s="30" t="s">
        <v>815</v>
      </c>
      <c r="B1751" s="30" t="s">
        <v>333</v>
      </c>
      <c r="C1751" s="30">
        <v>25</v>
      </c>
      <c r="D1751" s="190">
        <v>1454824.3670000001</v>
      </c>
      <c r="E1751" s="30" t="s">
        <v>10</v>
      </c>
      <c r="F1751" s="190">
        <v>18222.780999999999</v>
      </c>
      <c r="G1751" s="30" t="s">
        <v>335</v>
      </c>
      <c r="H1751" s="30"/>
      <c r="J1751" s="70" t="s">
        <v>807</v>
      </c>
      <c r="K1751" s="72" t="s">
        <v>341</v>
      </c>
      <c r="L1751" s="72" t="s">
        <v>342</v>
      </c>
      <c r="M1751" s="17" t="s">
        <v>162</v>
      </c>
      <c r="N1751" s="72" t="s">
        <v>343</v>
      </c>
      <c r="O1751" s="21" t="s">
        <v>162</v>
      </c>
    </row>
    <row r="1752" spans="1:17" x14ac:dyDescent="0.25">
      <c r="A1752" s="30" t="s">
        <v>816</v>
      </c>
      <c r="B1752" s="30" t="s">
        <v>333</v>
      </c>
      <c r="C1752" s="30">
        <v>25</v>
      </c>
      <c r="D1752" s="190">
        <v>240022.64300000001</v>
      </c>
      <c r="E1752" s="30" t="s">
        <v>10</v>
      </c>
      <c r="F1752" s="190">
        <v>2729.8530000000001</v>
      </c>
      <c r="G1752" s="30" t="s">
        <v>335</v>
      </c>
      <c r="H1752" s="30"/>
      <c r="J1752" s="6">
        <v>100000</v>
      </c>
      <c r="K1752" s="119">
        <f>D1745</f>
        <v>3815149.071</v>
      </c>
      <c r="L1752" s="119">
        <f>D1747</f>
        <v>3110532.0049999999</v>
      </c>
      <c r="M1752" s="18">
        <f>(K1752/L1752-1)</f>
        <v>0.22652622280284174</v>
      </c>
      <c r="N1752" s="73">
        <f>D1746</f>
        <v>2868522.4369999999</v>
      </c>
      <c r="O1752" s="22">
        <f>(K1752/N1752-1)</f>
        <v>0.33000496066888529</v>
      </c>
    </row>
    <row r="1753" spans="1:17" x14ac:dyDescent="0.25">
      <c r="A1753" s="30" t="s">
        <v>817</v>
      </c>
      <c r="B1753" s="30" t="s">
        <v>333</v>
      </c>
      <c r="C1753" s="30">
        <v>25</v>
      </c>
      <c r="D1753" s="190">
        <v>306754.08199999999</v>
      </c>
      <c r="E1753" s="30" t="s">
        <v>10</v>
      </c>
      <c r="F1753" s="190">
        <v>2932.21</v>
      </c>
      <c r="G1753" s="30" t="s">
        <v>335</v>
      </c>
      <c r="H1753" s="30"/>
      <c r="J1753" s="6">
        <v>50000</v>
      </c>
      <c r="K1753" s="119">
        <f>D1749</f>
        <v>1799304.871</v>
      </c>
      <c r="L1753" s="119">
        <f>D1751</f>
        <v>1454824.3670000001</v>
      </c>
      <c r="M1753" s="18">
        <f t="shared" ref="M1753:M1756" si="186">(K1753/L1753-1)</f>
        <v>0.23678494243972192</v>
      </c>
      <c r="N1753" s="73">
        <f>D1750</f>
        <v>1263000.5560000001</v>
      </c>
      <c r="O1753" s="22">
        <f t="shared" ref="O1753:O1756" si="187">(K1753/N1753-1)</f>
        <v>0.42462714086089437</v>
      </c>
    </row>
    <row r="1754" spans="1:17" x14ac:dyDescent="0.25">
      <c r="A1754" s="30" t="s">
        <v>818</v>
      </c>
      <c r="B1754" s="30" t="s">
        <v>333</v>
      </c>
      <c r="C1754" s="30">
        <v>25</v>
      </c>
      <c r="D1754" s="190">
        <v>219192.05499999999</v>
      </c>
      <c r="E1754" s="30" t="s">
        <v>10</v>
      </c>
      <c r="F1754" s="190">
        <v>2851.3049999999998</v>
      </c>
      <c r="G1754" s="30" t="s">
        <v>335</v>
      </c>
      <c r="H1754" s="30"/>
      <c r="J1754" s="6">
        <v>10000</v>
      </c>
      <c r="K1754" s="119">
        <f>D1753</f>
        <v>306754.08199999999</v>
      </c>
      <c r="L1754" s="119">
        <f>D1755</f>
        <v>226248.49400000001</v>
      </c>
      <c r="M1754" s="18">
        <f t="shared" si="186"/>
        <v>0.35582817183304649</v>
      </c>
      <c r="N1754" s="73">
        <f>D1754</f>
        <v>219192.05499999999</v>
      </c>
      <c r="O1754" s="22">
        <f t="shared" si="187"/>
        <v>0.39947628120006451</v>
      </c>
    </row>
    <row r="1755" spans="1:17" x14ac:dyDescent="0.25">
      <c r="A1755" s="30" t="s">
        <v>819</v>
      </c>
      <c r="B1755" s="30" t="s">
        <v>333</v>
      </c>
      <c r="C1755" s="30">
        <v>25</v>
      </c>
      <c r="D1755" s="190">
        <v>226248.49400000001</v>
      </c>
      <c r="E1755" s="30" t="s">
        <v>10</v>
      </c>
      <c r="F1755" s="190">
        <v>4434.0529999999999</v>
      </c>
      <c r="G1755" s="30" t="s">
        <v>335</v>
      </c>
      <c r="H1755" s="30"/>
      <c r="J1755" s="67">
        <v>1000</v>
      </c>
      <c r="K1755" s="119">
        <f>D1757</f>
        <v>22257.878000000001</v>
      </c>
      <c r="L1755" s="119">
        <f>D1759</f>
        <v>17910.919999999998</v>
      </c>
      <c r="M1755" s="18">
        <f t="shared" si="186"/>
        <v>0.24269875584280443</v>
      </c>
      <c r="N1755" s="73">
        <f>D1758</f>
        <v>14707.172</v>
      </c>
      <c r="O1755" s="22">
        <f t="shared" si="187"/>
        <v>0.51340298461186151</v>
      </c>
    </row>
    <row r="1756" spans="1:17" ht="20" thickBot="1" x14ac:dyDescent="0.3">
      <c r="A1756" s="30" t="s">
        <v>820</v>
      </c>
      <c r="B1756" s="30" t="s">
        <v>333</v>
      </c>
      <c r="C1756" s="30">
        <v>25</v>
      </c>
      <c r="D1756" s="190">
        <v>15504</v>
      </c>
      <c r="E1756" s="30" t="s">
        <v>10</v>
      </c>
      <c r="F1756" s="190">
        <v>119.928</v>
      </c>
      <c r="G1756" s="30" t="s">
        <v>335</v>
      </c>
      <c r="H1756" s="30"/>
      <c r="J1756" s="68">
        <v>100</v>
      </c>
      <c r="K1756" s="120">
        <f>D1761</f>
        <v>1542.2639999999999</v>
      </c>
      <c r="L1756" s="120">
        <f>D1763</f>
        <v>1268.33</v>
      </c>
      <c r="M1756" s="19">
        <f t="shared" si="186"/>
        <v>0.21598006827876026</v>
      </c>
      <c r="N1756" s="74">
        <f>D1762</f>
        <v>995.31299999999999</v>
      </c>
      <c r="O1756" s="23">
        <f t="shared" si="187"/>
        <v>0.54952663132100144</v>
      </c>
    </row>
    <row r="1757" spans="1:17" x14ac:dyDescent="0.25">
      <c r="A1757" s="30" t="s">
        <v>821</v>
      </c>
      <c r="B1757" s="30" t="s">
        <v>333</v>
      </c>
      <c r="C1757" s="30">
        <v>25</v>
      </c>
      <c r="D1757" s="190">
        <v>22257.878000000001</v>
      </c>
      <c r="E1757" s="30" t="s">
        <v>10</v>
      </c>
      <c r="F1757" s="190">
        <v>151.03899999999999</v>
      </c>
      <c r="G1757" s="30" t="s">
        <v>335</v>
      </c>
      <c r="H1757" s="30"/>
    </row>
    <row r="1758" spans="1:17" x14ac:dyDescent="0.25">
      <c r="A1758" s="30" t="s">
        <v>822</v>
      </c>
      <c r="B1758" s="30" t="s">
        <v>333</v>
      </c>
      <c r="C1758" s="30">
        <v>25</v>
      </c>
      <c r="D1758" s="190">
        <v>14707.172</v>
      </c>
      <c r="E1758" s="30" t="s">
        <v>10</v>
      </c>
      <c r="F1758" s="190">
        <v>131.136</v>
      </c>
      <c r="G1758" s="30" t="s">
        <v>335</v>
      </c>
      <c r="H1758" s="30"/>
    </row>
    <row r="1759" spans="1:17" x14ac:dyDescent="0.25">
      <c r="A1759" s="30" t="s">
        <v>823</v>
      </c>
      <c r="B1759" s="30" t="s">
        <v>333</v>
      </c>
      <c r="C1759" s="30">
        <v>25</v>
      </c>
      <c r="D1759" s="190">
        <v>17910.919999999998</v>
      </c>
      <c r="E1759" s="30" t="s">
        <v>10</v>
      </c>
      <c r="F1759" s="190">
        <v>150.554</v>
      </c>
      <c r="G1759" s="30" t="s">
        <v>335</v>
      </c>
      <c r="H1759" s="30"/>
    </row>
    <row r="1760" spans="1:17" x14ac:dyDescent="0.25">
      <c r="A1760" s="30" t="s">
        <v>824</v>
      </c>
      <c r="B1760" s="30" t="s">
        <v>333</v>
      </c>
      <c r="C1760" s="30">
        <v>25</v>
      </c>
      <c r="D1760" s="190">
        <v>1352.5029999999999</v>
      </c>
      <c r="E1760" s="30" t="s">
        <v>10</v>
      </c>
      <c r="F1760" s="190">
        <v>62.713000000000001</v>
      </c>
      <c r="G1760" s="30" t="s">
        <v>335</v>
      </c>
      <c r="H1760" s="30"/>
    </row>
    <row r="1761" spans="1:15" x14ac:dyDescent="0.25">
      <c r="A1761" s="30" t="s">
        <v>825</v>
      </c>
      <c r="B1761" s="30" t="s">
        <v>333</v>
      </c>
      <c r="C1761" s="30">
        <v>25</v>
      </c>
      <c r="D1761" s="190">
        <v>1542.2639999999999</v>
      </c>
      <c r="E1761" s="30" t="s">
        <v>10</v>
      </c>
      <c r="F1761" s="190">
        <v>62.743000000000002</v>
      </c>
      <c r="G1761" s="30" t="s">
        <v>335</v>
      </c>
      <c r="H1761" s="30"/>
    </row>
    <row r="1762" spans="1:15" x14ac:dyDescent="0.25">
      <c r="A1762" s="30" t="s">
        <v>826</v>
      </c>
      <c r="B1762" s="30" t="s">
        <v>333</v>
      </c>
      <c r="C1762" s="30">
        <v>25</v>
      </c>
      <c r="D1762" s="190">
        <v>995.31299999999999</v>
      </c>
      <c r="E1762" s="30" t="s">
        <v>10</v>
      </c>
      <c r="F1762" s="190">
        <v>31.445</v>
      </c>
      <c r="G1762" s="30" t="s">
        <v>335</v>
      </c>
      <c r="H1762" s="30"/>
    </row>
    <row r="1763" spans="1:15" x14ac:dyDescent="0.25">
      <c r="A1763" s="30" t="s">
        <v>827</v>
      </c>
      <c r="B1763" s="30" t="s">
        <v>333</v>
      </c>
      <c r="C1763" s="30">
        <v>25</v>
      </c>
      <c r="D1763" s="190">
        <v>1268.33</v>
      </c>
      <c r="E1763" s="30" t="s">
        <v>10</v>
      </c>
      <c r="F1763" s="190">
        <v>15.58</v>
      </c>
      <c r="G1763" s="30" t="s">
        <v>335</v>
      </c>
      <c r="H1763" s="30"/>
    </row>
    <row r="1765" spans="1:15" x14ac:dyDescent="0.25">
      <c r="A1765" s="30" t="s">
        <v>828</v>
      </c>
      <c r="B1765" s="30"/>
      <c r="C1765" s="30"/>
      <c r="D1765" s="190"/>
      <c r="E1765" s="30"/>
      <c r="F1765" s="190"/>
      <c r="G1765" s="30"/>
      <c r="H1765" s="30"/>
    </row>
    <row r="1766" spans="1:15" ht="20" thickBot="1" x14ac:dyDescent="0.3">
      <c r="A1766" s="30" t="s">
        <v>2</v>
      </c>
      <c r="B1766" s="30" t="s">
        <v>3</v>
      </c>
      <c r="C1766" s="30" t="s">
        <v>4</v>
      </c>
      <c r="D1766" s="190" t="s">
        <v>5</v>
      </c>
      <c r="E1766" s="30" t="s">
        <v>6</v>
      </c>
      <c r="F1766" s="190" t="s">
        <v>7</v>
      </c>
      <c r="G1766" s="30"/>
      <c r="H1766" s="30"/>
    </row>
    <row r="1767" spans="1:15" x14ac:dyDescent="0.25">
      <c r="A1767" s="30" t="s">
        <v>829</v>
      </c>
      <c r="B1767" s="30" t="s">
        <v>333</v>
      </c>
      <c r="C1767" s="30">
        <v>25</v>
      </c>
      <c r="D1767" s="190">
        <v>471730.63900000002</v>
      </c>
      <c r="E1767" s="30" t="s">
        <v>10</v>
      </c>
      <c r="F1767" s="190">
        <v>5869.2439999999997</v>
      </c>
      <c r="G1767" s="30" t="s">
        <v>335</v>
      </c>
      <c r="H1767" s="30"/>
      <c r="J1767" s="5" t="s">
        <v>828</v>
      </c>
      <c r="K1767" s="72" t="s">
        <v>340</v>
      </c>
      <c r="L1767" s="72" t="s">
        <v>341</v>
      </c>
      <c r="M1767" s="17" t="s">
        <v>162</v>
      </c>
      <c r="N1767" s="72" t="s">
        <v>342</v>
      </c>
      <c r="O1767" s="21" t="s">
        <v>162</v>
      </c>
    </row>
    <row r="1768" spans="1:15" x14ac:dyDescent="0.25">
      <c r="A1768" s="30" t="s">
        <v>830</v>
      </c>
      <c r="B1768" s="30" t="s">
        <v>333</v>
      </c>
      <c r="C1768" s="30">
        <v>25</v>
      </c>
      <c r="D1768" s="190">
        <v>289619.576</v>
      </c>
      <c r="E1768" s="30" t="s">
        <v>10</v>
      </c>
      <c r="F1768" s="190">
        <v>4653.893</v>
      </c>
      <c r="G1768" s="30" t="s">
        <v>335</v>
      </c>
      <c r="H1768" s="30"/>
      <c r="J1768" s="6">
        <v>100000</v>
      </c>
      <c r="K1768" s="119">
        <f>D1767</f>
        <v>471730.63900000002</v>
      </c>
      <c r="L1768" s="119">
        <f>D1768</f>
        <v>289619.576</v>
      </c>
      <c r="M1768" s="18">
        <f>(K1768/L1768-1)</f>
        <v>0.62879403911564324</v>
      </c>
      <c r="N1768" s="73">
        <f>D1769</f>
        <v>303870.304</v>
      </c>
      <c r="O1768" s="22">
        <f>(K1768/N1768-1)</f>
        <v>0.55240782922967036</v>
      </c>
    </row>
    <row r="1769" spans="1:15" x14ac:dyDescent="0.25">
      <c r="A1769" s="30" t="s">
        <v>831</v>
      </c>
      <c r="B1769" s="30" t="s">
        <v>333</v>
      </c>
      <c r="C1769" s="30">
        <v>25</v>
      </c>
      <c r="D1769" s="190">
        <v>303870.304</v>
      </c>
      <c r="E1769" s="30" t="s">
        <v>10</v>
      </c>
      <c r="F1769" s="190">
        <v>5095.1499999999996</v>
      </c>
      <c r="G1769" s="30" t="s">
        <v>335</v>
      </c>
      <c r="H1769" s="30"/>
      <c r="J1769" s="6">
        <v>50000</v>
      </c>
      <c r="K1769" s="119">
        <f>D1770</f>
        <v>236241.60500000001</v>
      </c>
      <c r="L1769" s="119">
        <f>D1771</f>
        <v>143074.152</v>
      </c>
      <c r="M1769" s="18">
        <f t="shared" ref="M1769:M1772" si="188">(K1769/L1769-1)</f>
        <v>0.65118298237406291</v>
      </c>
      <c r="N1769" s="73">
        <f>D1772</f>
        <v>140692.264</v>
      </c>
      <c r="O1769" s="22">
        <f t="shared" ref="O1769:O1772" si="189">(K1769/N1769-1)</f>
        <v>0.67913713436298107</v>
      </c>
    </row>
    <row r="1770" spans="1:15" x14ac:dyDescent="0.25">
      <c r="A1770" s="30" t="s">
        <v>832</v>
      </c>
      <c r="B1770" s="30" t="s">
        <v>333</v>
      </c>
      <c r="C1770" s="30">
        <v>25</v>
      </c>
      <c r="D1770" s="190">
        <v>236241.60500000001</v>
      </c>
      <c r="E1770" s="30" t="s">
        <v>10</v>
      </c>
      <c r="F1770" s="190">
        <v>1009.917</v>
      </c>
      <c r="G1770" s="30" t="s">
        <v>335</v>
      </c>
      <c r="H1770" s="30"/>
      <c r="J1770" s="6">
        <v>10000</v>
      </c>
      <c r="K1770" s="119">
        <f>D1773</f>
        <v>46022.71</v>
      </c>
      <c r="L1770" s="119">
        <f>D1774</f>
        <v>28526.54</v>
      </c>
      <c r="M1770" s="18">
        <f t="shared" si="188"/>
        <v>0.61332955205924011</v>
      </c>
      <c r="N1770" s="73">
        <f>D1775</f>
        <v>28019.788</v>
      </c>
      <c r="O1770" s="22">
        <f t="shared" si="189"/>
        <v>0.64250743081996187</v>
      </c>
    </row>
    <row r="1771" spans="1:15" x14ac:dyDescent="0.25">
      <c r="A1771" s="30" t="s">
        <v>833</v>
      </c>
      <c r="B1771" s="30" t="s">
        <v>333</v>
      </c>
      <c r="C1771" s="30">
        <v>25</v>
      </c>
      <c r="D1771" s="190">
        <v>143074.152</v>
      </c>
      <c r="E1771" s="30" t="s">
        <v>10</v>
      </c>
      <c r="F1771" s="190">
        <v>1212.604</v>
      </c>
      <c r="G1771" s="30" t="s">
        <v>335</v>
      </c>
      <c r="H1771" s="30"/>
      <c r="J1771" s="67">
        <v>1000</v>
      </c>
      <c r="K1771" s="119">
        <f>D1776</f>
        <v>4580.5749999999998</v>
      </c>
      <c r="L1771" s="119">
        <f>D1777</f>
        <v>2847.415</v>
      </c>
      <c r="M1771" s="18">
        <f t="shared" si="188"/>
        <v>0.6086783977748238</v>
      </c>
      <c r="N1771" s="73">
        <f>D1778</f>
        <v>2816.8809999999999</v>
      </c>
      <c r="O1771" s="22">
        <f t="shared" si="189"/>
        <v>0.62611590620974056</v>
      </c>
    </row>
    <row r="1772" spans="1:15" ht="20" thickBot="1" x14ac:dyDescent="0.3">
      <c r="A1772" s="30" t="s">
        <v>834</v>
      </c>
      <c r="B1772" s="30" t="s">
        <v>333</v>
      </c>
      <c r="C1772" s="30">
        <v>25</v>
      </c>
      <c r="D1772" s="190">
        <v>140692.264</v>
      </c>
      <c r="E1772" s="30" t="s">
        <v>10</v>
      </c>
      <c r="F1772" s="190">
        <v>1490.518</v>
      </c>
      <c r="G1772" s="30" t="s">
        <v>335</v>
      </c>
      <c r="H1772" s="30"/>
      <c r="J1772" s="68">
        <v>100</v>
      </c>
      <c r="K1772" s="120">
        <f>D1779</f>
        <v>477.09500000000003</v>
      </c>
      <c r="L1772" s="120">
        <f>D1780</f>
        <v>345.21100000000001</v>
      </c>
      <c r="M1772" s="19">
        <f t="shared" si="188"/>
        <v>0.38203881104599802</v>
      </c>
      <c r="N1772" s="74">
        <f>D1781</f>
        <v>310.78300000000002</v>
      </c>
      <c r="O1772" s="23">
        <f t="shared" si="189"/>
        <v>0.53513866588584325</v>
      </c>
    </row>
    <row r="1773" spans="1:15" ht="20" thickBot="1" x14ac:dyDescent="0.3">
      <c r="A1773" s="30" t="s">
        <v>835</v>
      </c>
      <c r="B1773" s="30" t="s">
        <v>333</v>
      </c>
      <c r="C1773" s="30">
        <v>25</v>
      </c>
      <c r="D1773" s="190">
        <v>46022.71</v>
      </c>
      <c r="E1773" s="30" t="s">
        <v>10</v>
      </c>
      <c r="F1773" s="190">
        <v>284.23599999999999</v>
      </c>
      <c r="G1773" s="30" t="s">
        <v>335</v>
      </c>
      <c r="H1773" s="30"/>
    </row>
    <row r="1774" spans="1:15" x14ac:dyDescent="0.25">
      <c r="A1774" s="30" t="s">
        <v>836</v>
      </c>
      <c r="B1774" s="30" t="s">
        <v>333</v>
      </c>
      <c r="C1774" s="30">
        <v>25</v>
      </c>
      <c r="D1774" s="190">
        <v>28526.54</v>
      </c>
      <c r="E1774" s="30" t="s">
        <v>10</v>
      </c>
      <c r="F1774" s="190">
        <v>225.43600000000001</v>
      </c>
      <c r="G1774" s="30" t="s">
        <v>335</v>
      </c>
      <c r="H1774" s="30"/>
      <c r="J1774" s="5" t="s">
        <v>828</v>
      </c>
      <c r="K1774" s="72" t="s">
        <v>341</v>
      </c>
      <c r="L1774" s="72" t="s">
        <v>342</v>
      </c>
      <c r="M1774" s="21" t="s">
        <v>162</v>
      </c>
    </row>
    <row r="1775" spans="1:15" x14ac:dyDescent="0.25">
      <c r="A1775" s="30" t="s">
        <v>837</v>
      </c>
      <c r="B1775" s="30" t="s">
        <v>333</v>
      </c>
      <c r="C1775" s="30">
        <v>25</v>
      </c>
      <c r="D1775" s="190">
        <v>28019.788</v>
      </c>
      <c r="E1775" s="30" t="s">
        <v>10</v>
      </c>
      <c r="F1775" s="190">
        <v>307.62299999999999</v>
      </c>
      <c r="G1775" s="30" t="s">
        <v>335</v>
      </c>
      <c r="H1775" s="30"/>
      <c r="J1775" s="6">
        <v>100000</v>
      </c>
      <c r="K1775" s="119">
        <f>D1768</f>
        <v>289619.576</v>
      </c>
      <c r="L1775" s="119">
        <f>D1769</f>
        <v>303870.304</v>
      </c>
      <c r="M1775" s="22">
        <f>(K1775/L1775-1)</f>
        <v>-4.6897402649783149E-2</v>
      </c>
    </row>
    <row r="1776" spans="1:15" x14ac:dyDescent="0.25">
      <c r="A1776" s="30" t="s">
        <v>838</v>
      </c>
      <c r="B1776" s="30" t="s">
        <v>333</v>
      </c>
      <c r="C1776" s="30">
        <v>25</v>
      </c>
      <c r="D1776" s="190">
        <v>4580.5749999999998</v>
      </c>
      <c r="E1776" s="30" t="s">
        <v>10</v>
      </c>
      <c r="F1776" s="190">
        <v>55.094999999999999</v>
      </c>
      <c r="G1776" s="30" t="s">
        <v>335</v>
      </c>
      <c r="H1776" s="30"/>
      <c r="J1776" s="6">
        <v>50000</v>
      </c>
      <c r="K1776" s="119">
        <f>D1771</f>
        <v>143074.152</v>
      </c>
      <c r="L1776" s="119">
        <f>D1772</f>
        <v>140692.264</v>
      </c>
      <c r="M1776" s="22">
        <f t="shared" ref="M1776:M1779" si="190">(K1776/L1776-1)</f>
        <v>1.6929772343417637E-2</v>
      </c>
    </row>
    <row r="1777" spans="1:15" x14ac:dyDescent="0.25">
      <c r="A1777" s="30" t="s">
        <v>839</v>
      </c>
      <c r="B1777" s="30" t="s">
        <v>333</v>
      </c>
      <c r="C1777" s="30">
        <v>25</v>
      </c>
      <c r="D1777" s="190">
        <v>2847.415</v>
      </c>
      <c r="E1777" s="30" t="s">
        <v>10</v>
      </c>
      <c r="F1777" s="190">
        <v>16.518000000000001</v>
      </c>
      <c r="G1777" s="30" t="s">
        <v>335</v>
      </c>
      <c r="H1777" s="30"/>
      <c r="J1777" s="6">
        <v>10000</v>
      </c>
      <c r="K1777" s="119">
        <f>D1774</f>
        <v>28526.54</v>
      </c>
      <c r="L1777" s="119">
        <f>D1775</f>
        <v>28019.788</v>
      </c>
      <c r="M1777" s="22">
        <f t="shared" si="190"/>
        <v>1.8085504429940835E-2</v>
      </c>
    </row>
    <row r="1778" spans="1:15" x14ac:dyDescent="0.25">
      <c r="A1778" s="30" t="s">
        <v>840</v>
      </c>
      <c r="B1778" s="30" t="s">
        <v>333</v>
      </c>
      <c r="C1778" s="30">
        <v>25</v>
      </c>
      <c r="D1778" s="190">
        <v>2816.8809999999999</v>
      </c>
      <c r="E1778" s="30" t="s">
        <v>10</v>
      </c>
      <c r="F1778" s="190">
        <v>25.074000000000002</v>
      </c>
      <c r="G1778" s="30" t="s">
        <v>335</v>
      </c>
      <c r="H1778" s="30"/>
      <c r="J1778" s="67">
        <v>1000</v>
      </c>
      <c r="K1778" s="119">
        <f>D1777</f>
        <v>2847.415</v>
      </c>
      <c r="L1778" s="119">
        <f>D1778</f>
        <v>2816.8809999999999</v>
      </c>
      <c r="M1778" s="22">
        <f t="shared" si="190"/>
        <v>1.0839648533253587E-2</v>
      </c>
    </row>
    <row r="1779" spans="1:15" ht="20" thickBot="1" x14ac:dyDescent="0.3">
      <c r="A1779" s="30" t="s">
        <v>841</v>
      </c>
      <c r="B1779" s="30" t="s">
        <v>333</v>
      </c>
      <c r="C1779" s="30">
        <v>25</v>
      </c>
      <c r="D1779" s="190">
        <v>477.09500000000003</v>
      </c>
      <c r="E1779" s="30" t="s">
        <v>10</v>
      </c>
      <c r="F1779" s="190">
        <v>4.0019999999999998</v>
      </c>
      <c r="G1779" s="30" t="s">
        <v>335</v>
      </c>
      <c r="H1779" s="30"/>
      <c r="J1779" s="68">
        <v>100</v>
      </c>
      <c r="K1779" s="120">
        <f>D1780</f>
        <v>345.21100000000001</v>
      </c>
      <c r="L1779" s="120">
        <f>D1781</f>
        <v>310.78300000000002</v>
      </c>
      <c r="M1779" s="23">
        <f t="shared" si="190"/>
        <v>0.11077826007214031</v>
      </c>
    </row>
    <row r="1780" spans="1:15" x14ac:dyDescent="0.25">
      <c r="A1780" s="30" t="s">
        <v>842</v>
      </c>
      <c r="B1780" s="30" t="s">
        <v>333</v>
      </c>
      <c r="C1780" s="30">
        <v>25</v>
      </c>
      <c r="D1780" s="190">
        <v>345.21100000000001</v>
      </c>
      <c r="E1780" s="30" t="s">
        <v>10</v>
      </c>
      <c r="F1780" s="190">
        <v>2.9329999999999998</v>
      </c>
      <c r="G1780" s="30" t="s">
        <v>335</v>
      </c>
      <c r="H1780" s="30"/>
    </row>
    <row r="1781" spans="1:15" x14ac:dyDescent="0.25">
      <c r="A1781" s="30" t="s">
        <v>843</v>
      </c>
      <c r="B1781" s="30" t="s">
        <v>333</v>
      </c>
      <c r="C1781" s="30">
        <v>25</v>
      </c>
      <c r="D1781" s="190">
        <v>310.78300000000002</v>
      </c>
      <c r="E1781" s="30" t="s">
        <v>10</v>
      </c>
      <c r="F1781" s="190">
        <v>3.4590000000000001</v>
      </c>
      <c r="G1781" s="30" t="s">
        <v>335</v>
      </c>
      <c r="H1781" s="30"/>
    </row>
    <row r="1783" spans="1:15" x14ac:dyDescent="0.25">
      <c r="A1783" s="30" t="s">
        <v>844</v>
      </c>
      <c r="B1783" s="30"/>
      <c r="C1783" s="30"/>
      <c r="D1783" s="190"/>
      <c r="E1783" s="30"/>
      <c r="F1783" s="190"/>
      <c r="G1783" s="30"/>
      <c r="H1783" s="30"/>
    </row>
    <row r="1784" spans="1:15" ht="20" thickBot="1" x14ac:dyDescent="0.3">
      <c r="A1784" s="30" t="s">
        <v>2</v>
      </c>
      <c r="B1784" s="30" t="s">
        <v>3</v>
      </c>
      <c r="C1784" s="30" t="s">
        <v>4</v>
      </c>
      <c r="D1784" s="190" t="s">
        <v>5</v>
      </c>
      <c r="E1784" s="30" t="s">
        <v>6</v>
      </c>
      <c r="F1784" s="190" t="s">
        <v>7</v>
      </c>
      <c r="G1784" s="30"/>
      <c r="H1784" s="30"/>
    </row>
    <row r="1785" spans="1:15" x14ac:dyDescent="0.25">
      <c r="A1785" s="30" t="s">
        <v>845</v>
      </c>
      <c r="B1785" s="30" t="s">
        <v>333</v>
      </c>
      <c r="C1785" s="30">
        <v>25</v>
      </c>
      <c r="D1785" s="190">
        <v>50886.771000000001</v>
      </c>
      <c r="E1785" s="30" t="s">
        <v>10</v>
      </c>
      <c r="F1785" s="190">
        <v>516.76199999999994</v>
      </c>
      <c r="G1785" s="30" t="s">
        <v>335</v>
      </c>
      <c r="H1785" s="30"/>
      <c r="J1785" s="5" t="s">
        <v>844</v>
      </c>
      <c r="K1785" s="72" t="s">
        <v>340</v>
      </c>
      <c r="L1785" s="72" t="s">
        <v>341</v>
      </c>
      <c r="M1785" s="17" t="s">
        <v>162</v>
      </c>
      <c r="N1785" s="72" t="s">
        <v>342</v>
      </c>
      <c r="O1785" s="21" t="s">
        <v>162</v>
      </c>
    </row>
    <row r="1786" spans="1:15" x14ac:dyDescent="0.25">
      <c r="A1786" s="30" t="s">
        <v>846</v>
      </c>
      <c r="B1786" s="30" t="s">
        <v>333</v>
      </c>
      <c r="C1786" s="30">
        <v>25</v>
      </c>
      <c r="D1786" s="190">
        <v>93268.964999999997</v>
      </c>
      <c r="E1786" s="30" t="s">
        <v>10</v>
      </c>
      <c r="F1786" s="190">
        <v>1053.877</v>
      </c>
      <c r="G1786" s="30" t="s">
        <v>335</v>
      </c>
      <c r="H1786" s="30"/>
      <c r="J1786" s="6">
        <v>100000</v>
      </c>
      <c r="K1786" s="119">
        <f>D1785</f>
        <v>50886.771000000001</v>
      </c>
      <c r="L1786" s="119">
        <f>D1786</f>
        <v>93268.964999999997</v>
      </c>
      <c r="M1786" s="18">
        <f>(K1786/L1786-1)</f>
        <v>-0.45440832328309844</v>
      </c>
      <c r="N1786" s="73">
        <f>D1787</f>
        <v>143988.25200000001</v>
      </c>
      <c r="O1786" s="22">
        <f>(K1786/N1786-1)</f>
        <v>-0.64659081353387082</v>
      </c>
    </row>
    <row r="1787" spans="1:15" x14ac:dyDescent="0.25">
      <c r="A1787" s="30" t="s">
        <v>847</v>
      </c>
      <c r="B1787" s="30" t="s">
        <v>333</v>
      </c>
      <c r="C1787" s="30">
        <v>25</v>
      </c>
      <c r="D1787" s="190">
        <v>143988.25200000001</v>
      </c>
      <c r="E1787" s="30" t="s">
        <v>10</v>
      </c>
      <c r="F1787" s="190">
        <v>1770.1</v>
      </c>
      <c r="G1787" s="30" t="s">
        <v>335</v>
      </c>
      <c r="H1787" s="30"/>
      <c r="J1787" s="6">
        <v>50000</v>
      </c>
      <c r="K1787" s="119">
        <f>D1788</f>
        <v>25553.105</v>
      </c>
      <c r="L1787" s="119">
        <f>D1789</f>
        <v>48014.81</v>
      </c>
      <c r="M1787" s="18">
        <f t="shared" ref="M1787:M1790" si="191">(K1787/L1787-1)</f>
        <v>-0.46780784928650143</v>
      </c>
      <c r="N1787" s="73">
        <f>D1790</f>
        <v>110047.234</v>
      </c>
      <c r="O1787" s="22">
        <f t="shared" ref="O1787:O1790" si="192">(K1787/N1787-1)</f>
        <v>-0.76779875267014885</v>
      </c>
    </row>
    <row r="1788" spans="1:15" x14ac:dyDescent="0.25">
      <c r="A1788" s="30" t="s">
        <v>848</v>
      </c>
      <c r="B1788" s="30" t="s">
        <v>333</v>
      </c>
      <c r="C1788" s="30">
        <v>25</v>
      </c>
      <c r="D1788" s="190">
        <v>25553.105</v>
      </c>
      <c r="E1788" s="30" t="s">
        <v>10</v>
      </c>
      <c r="F1788" s="190">
        <v>110.846</v>
      </c>
      <c r="G1788" s="30" t="s">
        <v>335</v>
      </c>
      <c r="H1788" s="30"/>
      <c r="J1788" s="6">
        <v>10000</v>
      </c>
      <c r="K1788" s="119">
        <f>D1791</f>
        <v>5160.2780000000002</v>
      </c>
      <c r="L1788" s="119">
        <f>D1792</f>
        <v>9212.0879999999997</v>
      </c>
      <c r="M1788" s="18">
        <f t="shared" si="191"/>
        <v>-0.43983622388322818</v>
      </c>
      <c r="N1788" s="73">
        <f>D1793</f>
        <v>21860.511999999999</v>
      </c>
      <c r="O1788" s="22">
        <f t="shared" si="192"/>
        <v>-0.76394523604936604</v>
      </c>
    </row>
    <row r="1789" spans="1:15" x14ac:dyDescent="0.25">
      <c r="A1789" s="30" t="s">
        <v>849</v>
      </c>
      <c r="B1789" s="30" t="s">
        <v>333</v>
      </c>
      <c r="C1789" s="30">
        <v>25</v>
      </c>
      <c r="D1789" s="190">
        <v>48014.81</v>
      </c>
      <c r="E1789" s="30" t="s">
        <v>10</v>
      </c>
      <c r="F1789" s="190">
        <v>509.137</v>
      </c>
      <c r="G1789" s="30" t="s">
        <v>335</v>
      </c>
      <c r="H1789" s="30"/>
      <c r="J1789" s="67">
        <v>1000</v>
      </c>
      <c r="K1789" s="119">
        <f>D1794</f>
        <v>525.46600000000001</v>
      </c>
      <c r="L1789" s="119">
        <f>D1795</f>
        <v>1070.931</v>
      </c>
      <c r="M1789" s="18">
        <f t="shared" si="191"/>
        <v>-0.50933720286367656</v>
      </c>
      <c r="N1789" s="73">
        <f>D1796</f>
        <v>2222.7620000000002</v>
      </c>
      <c r="O1789" s="22">
        <f t="shared" si="192"/>
        <v>-0.76359772211329868</v>
      </c>
    </row>
    <row r="1790" spans="1:15" ht="20" thickBot="1" x14ac:dyDescent="0.3">
      <c r="A1790" s="30" t="s">
        <v>850</v>
      </c>
      <c r="B1790" s="30" t="s">
        <v>333</v>
      </c>
      <c r="C1790" s="30">
        <v>25</v>
      </c>
      <c r="D1790" s="190">
        <v>110047.234</v>
      </c>
      <c r="E1790" s="30" t="s">
        <v>10</v>
      </c>
      <c r="F1790" s="190">
        <v>605.36300000000006</v>
      </c>
      <c r="G1790" s="30" t="s">
        <v>335</v>
      </c>
      <c r="H1790" s="30"/>
      <c r="J1790" s="68">
        <v>100</v>
      </c>
      <c r="K1790" s="120">
        <f>D1797</f>
        <v>54.91</v>
      </c>
      <c r="L1790" s="120">
        <f>D1798</f>
        <v>72.349999999999994</v>
      </c>
      <c r="M1790" s="19">
        <f t="shared" si="191"/>
        <v>-0.2410504492052522</v>
      </c>
      <c r="N1790" s="74">
        <f>D1799</f>
        <v>236.55600000000001</v>
      </c>
      <c r="O1790" s="23">
        <f t="shared" si="192"/>
        <v>-0.76787737364514119</v>
      </c>
    </row>
    <row r="1791" spans="1:15" ht="20" thickBot="1" x14ac:dyDescent="0.3">
      <c r="A1791" s="30" t="s">
        <v>851</v>
      </c>
      <c r="B1791" s="30" t="s">
        <v>333</v>
      </c>
      <c r="C1791" s="30">
        <v>25</v>
      </c>
      <c r="D1791" s="190">
        <v>5160.2780000000002</v>
      </c>
      <c r="E1791" s="30" t="s">
        <v>10</v>
      </c>
      <c r="F1791" s="190">
        <v>40.494</v>
      </c>
      <c r="G1791" s="30" t="s">
        <v>335</v>
      </c>
      <c r="H1791" s="30"/>
    </row>
    <row r="1792" spans="1:15" x14ac:dyDescent="0.25">
      <c r="A1792" s="30" t="s">
        <v>852</v>
      </c>
      <c r="B1792" s="30" t="s">
        <v>333</v>
      </c>
      <c r="C1792" s="30">
        <v>25</v>
      </c>
      <c r="D1792" s="190">
        <v>9212.0879999999997</v>
      </c>
      <c r="E1792" s="30" t="s">
        <v>10</v>
      </c>
      <c r="F1792" s="190">
        <v>121.759</v>
      </c>
      <c r="G1792" s="30" t="s">
        <v>335</v>
      </c>
      <c r="H1792" s="30"/>
      <c r="J1792" s="5" t="s">
        <v>844</v>
      </c>
      <c r="K1792" s="72" t="s">
        <v>341</v>
      </c>
      <c r="L1792" s="72" t="s">
        <v>342</v>
      </c>
      <c r="M1792" s="21" t="s">
        <v>162</v>
      </c>
    </row>
    <row r="1793" spans="1:15" x14ac:dyDescent="0.25">
      <c r="A1793" s="30" t="s">
        <v>853</v>
      </c>
      <c r="B1793" s="30" t="s">
        <v>333</v>
      </c>
      <c r="C1793" s="30">
        <v>25</v>
      </c>
      <c r="D1793" s="190">
        <v>21860.511999999999</v>
      </c>
      <c r="E1793" s="30" t="s">
        <v>10</v>
      </c>
      <c r="F1793" s="190">
        <v>177.28100000000001</v>
      </c>
      <c r="G1793" s="30" t="s">
        <v>335</v>
      </c>
      <c r="H1793" s="30"/>
      <c r="J1793" s="6">
        <v>100000</v>
      </c>
      <c r="K1793" s="119">
        <f>D1786</f>
        <v>93268.964999999997</v>
      </c>
      <c r="L1793" s="119">
        <f>D1787</f>
        <v>143988.25200000001</v>
      </c>
      <c r="M1793" s="22">
        <f>(K1793/L1793-1)</f>
        <v>-0.35224600823683871</v>
      </c>
    </row>
    <row r="1794" spans="1:15" x14ac:dyDescent="0.25">
      <c r="A1794" s="30" t="s">
        <v>854</v>
      </c>
      <c r="B1794" s="30" t="s">
        <v>333</v>
      </c>
      <c r="C1794" s="30">
        <v>25</v>
      </c>
      <c r="D1794" s="190">
        <v>525.46600000000001</v>
      </c>
      <c r="E1794" s="30" t="s">
        <v>10</v>
      </c>
      <c r="F1794" s="190">
        <v>4.266</v>
      </c>
      <c r="G1794" s="30" t="s">
        <v>335</v>
      </c>
      <c r="H1794" s="30"/>
      <c r="J1794" s="6">
        <v>50000</v>
      </c>
      <c r="K1794" s="119">
        <f>D1789</f>
        <v>48014.81</v>
      </c>
      <c r="L1794" s="119">
        <f>D1790</f>
        <v>110047.234</v>
      </c>
      <c r="M1794" s="22">
        <f t="shared" ref="M1794:M1797" si="193">(K1794/L1794-1)</f>
        <v>-0.56368907918212652</v>
      </c>
    </row>
    <row r="1795" spans="1:15" x14ac:dyDescent="0.25">
      <c r="A1795" s="30" t="s">
        <v>855</v>
      </c>
      <c r="B1795" s="30" t="s">
        <v>333</v>
      </c>
      <c r="C1795" s="30">
        <v>25</v>
      </c>
      <c r="D1795" s="190">
        <v>1070.931</v>
      </c>
      <c r="E1795" s="30" t="s">
        <v>10</v>
      </c>
      <c r="F1795" s="190">
        <v>13.765000000000001</v>
      </c>
      <c r="G1795" s="30" t="s">
        <v>335</v>
      </c>
      <c r="H1795" s="30"/>
      <c r="J1795" s="6">
        <v>10000</v>
      </c>
      <c r="K1795" s="119">
        <f>D1792</f>
        <v>9212.0879999999997</v>
      </c>
      <c r="L1795" s="119">
        <f>D1793</f>
        <v>21860.511999999999</v>
      </c>
      <c r="M1795" s="22">
        <f t="shared" si="193"/>
        <v>-0.57859687824329087</v>
      </c>
    </row>
    <row r="1796" spans="1:15" x14ac:dyDescent="0.25">
      <c r="A1796" s="30" t="s">
        <v>856</v>
      </c>
      <c r="B1796" s="30" t="s">
        <v>333</v>
      </c>
      <c r="C1796" s="30">
        <v>25</v>
      </c>
      <c r="D1796" s="190">
        <v>2222.7620000000002</v>
      </c>
      <c r="E1796" s="30" t="s">
        <v>10</v>
      </c>
      <c r="F1796" s="190">
        <v>20.754999999999999</v>
      </c>
      <c r="G1796" s="30" t="s">
        <v>335</v>
      </c>
      <c r="H1796" s="30"/>
      <c r="J1796" s="67">
        <v>1000</v>
      </c>
      <c r="K1796" s="119">
        <f>D1795</f>
        <v>1070.931</v>
      </c>
      <c r="L1796" s="119">
        <f>D1796</f>
        <v>2222.7620000000002</v>
      </c>
      <c r="M1796" s="22">
        <f t="shared" si="193"/>
        <v>-0.51819807968644416</v>
      </c>
    </row>
    <row r="1797" spans="1:15" ht="20" thickBot="1" x14ac:dyDescent="0.3">
      <c r="A1797" s="30" t="s">
        <v>857</v>
      </c>
      <c r="B1797" s="30" t="s">
        <v>333</v>
      </c>
      <c r="C1797" s="30">
        <v>25</v>
      </c>
      <c r="D1797" s="190">
        <v>54.91</v>
      </c>
      <c r="E1797" s="30" t="s">
        <v>10</v>
      </c>
      <c r="F1797" s="190">
        <v>0.39300000000000002</v>
      </c>
      <c r="G1797" s="30" t="s">
        <v>335</v>
      </c>
      <c r="H1797" s="30"/>
      <c r="J1797" s="68">
        <v>100</v>
      </c>
      <c r="K1797" s="120">
        <f>D1798</f>
        <v>72.349999999999994</v>
      </c>
      <c r="L1797" s="120">
        <f>D1799</f>
        <v>236.55600000000001</v>
      </c>
      <c r="M1797" s="23">
        <f t="shared" si="193"/>
        <v>-0.69415275875479798</v>
      </c>
    </row>
    <row r="1798" spans="1:15" x14ac:dyDescent="0.25">
      <c r="A1798" s="30" t="s">
        <v>858</v>
      </c>
      <c r="B1798" s="30" t="s">
        <v>333</v>
      </c>
      <c r="C1798" s="30">
        <v>25</v>
      </c>
      <c r="D1798" s="190">
        <v>72.349999999999994</v>
      </c>
      <c r="E1798" s="30" t="s">
        <v>10</v>
      </c>
      <c r="F1798" s="190">
        <v>0.58099999999999996</v>
      </c>
      <c r="G1798" s="30" t="s">
        <v>335</v>
      </c>
      <c r="H1798" s="30"/>
    </row>
    <row r="1799" spans="1:15" x14ac:dyDescent="0.25">
      <c r="A1799" s="30" t="s">
        <v>859</v>
      </c>
      <c r="B1799" s="30" t="s">
        <v>333</v>
      </c>
      <c r="C1799" s="30">
        <v>25</v>
      </c>
      <c r="D1799" s="190">
        <v>236.55600000000001</v>
      </c>
      <c r="E1799" s="30" t="s">
        <v>10</v>
      </c>
      <c r="F1799" s="190">
        <v>2.3980000000000001</v>
      </c>
      <c r="G1799" s="30" t="s">
        <v>335</v>
      </c>
      <c r="H1799" s="30"/>
    </row>
    <row r="1800" spans="1:15" x14ac:dyDescent="0.25">
      <c r="A1800" s="30"/>
      <c r="B1800" s="30"/>
      <c r="C1800" s="30"/>
      <c r="D1800" s="190"/>
      <c r="E1800" s="30"/>
      <c r="F1800" s="190"/>
      <c r="G1800" s="30"/>
      <c r="H1800" s="30"/>
    </row>
    <row r="1801" spans="1:15" x14ac:dyDescent="0.25">
      <c r="A1801" s="30" t="s">
        <v>724</v>
      </c>
      <c r="B1801" s="30"/>
      <c r="C1801" s="30"/>
      <c r="D1801" s="190"/>
      <c r="E1801" s="30"/>
      <c r="F1801" s="190"/>
      <c r="G1801" s="30"/>
      <c r="H1801" s="30"/>
    </row>
    <row r="1802" spans="1:15" ht="20" thickBot="1" x14ac:dyDescent="0.3">
      <c r="A1802" s="30" t="s">
        <v>2</v>
      </c>
      <c r="B1802" s="30" t="s">
        <v>3</v>
      </c>
      <c r="C1802" s="30" t="s">
        <v>4</v>
      </c>
      <c r="D1802" s="190" t="s">
        <v>5</v>
      </c>
      <c r="E1802" s="30" t="s">
        <v>6</v>
      </c>
      <c r="F1802" s="190" t="s">
        <v>7</v>
      </c>
      <c r="G1802" s="30"/>
      <c r="H1802" s="30"/>
    </row>
    <row r="1803" spans="1:15" x14ac:dyDescent="0.25">
      <c r="A1803" s="30" t="s">
        <v>725</v>
      </c>
      <c r="B1803" s="30" t="s">
        <v>333</v>
      </c>
      <c r="C1803" s="30">
        <v>25</v>
      </c>
      <c r="D1803" s="190">
        <v>236341.451</v>
      </c>
      <c r="E1803" s="30" t="s">
        <v>10</v>
      </c>
      <c r="F1803" s="190">
        <v>2131.703</v>
      </c>
      <c r="G1803" s="30" t="s">
        <v>335</v>
      </c>
      <c r="H1803" s="30"/>
      <c r="J1803" s="5" t="s">
        <v>724</v>
      </c>
      <c r="K1803" s="72" t="s">
        <v>340</v>
      </c>
      <c r="L1803" s="72" t="s">
        <v>341</v>
      </c>
      <c r="M1803" s="17" t="s">
        <v>162</v>
      </c>
      <c r="N1803" s="72" t="s">
        <v>342</v>
      </c>
      <c r="O1803" s="21" t="s">
        <v>162</v>
      </c>
    </row>
    <row r="1804" spans="1:15" x14ac:dyDescent="0.25">
      <c r="A1804" s="30" t="s">
        <v>726</v>
      </c>
      <c r="B1804" s="30" t="s">
        <v>333</v>
      </c>
      <c r="C1804" s="30">
        <v>25</v>
      </c>
      <c r="D1804" s="190">
        <v>170234.08</v>
      </c>
      <c r="E1804" s="30" t="s">
        <v>10</v>
      </c>
      <c r="F1804" s="190">
        <v>3201.2779999999998</v>
      </c>
      <c r="G1804" s="30" t="s">
        <v>335</v>
      </c>
      <c r="H1804" s="30"/>
      <c r="J1804" s="6">
        <v>100000</v>
      </c>
      <c r="K1804" s="119">
        <f>D1803</f>
        <v>236341.451</v>
      </c>
      <c r="L1804" s="119">
        <f>D1804</f>
        <v>170234.08</v>
      </c>
      <c r="M1804" s="18">
        <f>(K1804/L1804-1)</f>
        <v>0.3883321776697124</v>
      </c>
      <c r="N1804" s="73">
        <f>D1805</f>
        <v>272082.21600000001</v>
      </c>
      <c r="O1804" s="22">
        <f>(K1804/N1804-1)</f>
        <v>-0.13136016578165477</v>
      </c>
    </row>
    <row r="1805" spans="1:15" x14ac:dyDescent="0.25">
      <c r="A1805" s="30" t="s">
        <v>727</v>
      </c>
      <c r="B1805" s="30" t="s">
        <v>333</v>
      </c>
      <c r="C1805" s="30">
        <v>25</v>
      </c>
      <c r="D1805" s="190">
        <v>272082.21600000001</v>
      </c>
      <c r="E1805" s="30" t="s">
        <v>10</v>
      </c>
      <c r="F1805" s="190">
        <v>7814.3559999999998</v>
      </c>
      <c r="G1805" s="30" t="s">
        <v>335</v>
      </c>
      <c r="H1805" s="30"/>
      <c r="J1805" s="6">
        <v>50000</v>
      </c>
      <c r="K1805" s="119">
        <f>D1806</f>
        <v>85832.824999999997</v>
      </c>
      <c r="L1805" s="119">
        <f>D1807</f>
        <v>63641.900999999998</v>
      </c>
      <c r="M1805" s="18">
        <f t="shared" ref="M1805:M1808" si="194">(K1805/L1805-1)</f>
        <v>0.34868417899710447</v>
      </c>
      <c r="N1805" s="73">
        <f>D1808</f>
        <v>384233.46600000001</v>
      </c>
      <c r="O1805" s="22">
        <f t="shared" ref="O1805:O1808" si="195">(K1805/N1805-1)</f>
        <v>-0.77661283413558779</v>
      </c>
    </row>
    <row r="1806" spans="1:15" x14ac:dyDescent="0.25">
      <c r="A1806" s="30" t="s">
        <v>728</v>
      </c>
      <c r="B1806" s="30" t="s">
        <v>333</v>
      </c>
      <c r="C1806" s="30">
        <v>25</v>
      </c>
      <c r="D1806" s="190">
        <v>85832.824999999997</v>
      </c>
      <c r="E1806" s="30" t="s">
        <v>10</v>
      </c>
      <c r="F1806" s="190">
        <v>1023.367</v>
      </c>
      <c r="G1806" s="30" t="s">
        <v>335</v>
      </c>
      <c r="H1806" s="30"/>
      <c r="J1806" s="6">
        <v>10000</v>
      </c>
      <c r="K1806" s="119">
        <f>D1809</f>
        <v>16021.182000000001</v>
      </c>
      <c r="L1806" s="119">
        <f>D1810</f>
        <v>10282.169</v>
      </c>
      <c r="M1806" s="18">
        <f t="shared" si="194"/>
        <v>0.55815198135724087</v>
      </c>
      <c r="N1806" s="73">
        <f>D1811</f>
        <v>73727.284</v>
      </c>
      <c r="O1806" s="22">
        <f t="shared" si="195"/>
        <v>-0.78269670153589277</v>
      </c>
    </row>
    <row r="1807" spans="1:15" x14ac:dyDescent="0.25">
      <c r="A1807" s="30" t="s">
        <v>729</v>
      </c>
      <c r="B1807" s="30" t="s">
        <v>333</v>
      </c>
      <c r="C1807" s="30">
        <v>25</v>
      </c>
      <c r="D1807" s="190">
        <v>63641.900999999998</v>
      </c>
      <c r="E1807" s="30" t="s">
        <v>10</v>
      </c>
      <c r="F1807" s="190">
        <v>1651.432</v>
      </c>
      <c r="G1807" s="30" t="s">
        <v>335</v>
      </c>
      <c r="H1807" s="30"/>
      <c r="J1807" s="67">
        <v>1000</v>
      </c>
      <c r="K1807" s="119">
        <f>D1812</f>
        <v>1950.925</v>
      </c>
      <c r="L1807" s="119">
        <f>D1813</f>
        <v>1166.2170000000001</v>
      </c>
      <c r="M1807" s="18">
        <f t="shared" si="194"/>
        <v>0.67286619900070033</v>
      </c>
      <c r="N1807" s="73">
        <f>D1814</f>
        <v>7628</v>
      </c>
      <c r="O1807" s="22">
        <f t="shared" si="195"/>
        <v>-0.74424160985841636</v>
      </c>
    </row>
    <row r="1808" spans="1:15" ht="20" thickBot="1" x14ac:dyDescent="0.3">
      <c r="A1808" s="30" t="s">
        <v>730</v>
      </c>
      <c r="B1808" s="30" t="s">
        <v>333</v>
      </c>
      <c r="C1808" s="30">
        <v>25</v>
      </c>
      <c r="D1808" s="190">
        <v>384233.46600000001</v>
      </c>
      <c r="E1808" s="30" t="s">
        <v>10</v>
      </c>
      <c r="F1808" s="190">
        <v>2545.11</v>
      </c>
      <c r="G1808" s="30" t="s">
        <v>335</v>
      </c>
      <c r="H1808" s="30"/>
      <c r="J1808" s="68">
        <v>100</v>
      </c>
      <c r="K1808" s="120">
        <f>D1815</f>
        <v>198.65100000000001</v>
      </c>
      <c r="L1808" s="120">
        <f>D1816</f>
        <v>128.78</v>
      </c>
      <c r="M1808" s="19">
        <f t="shared" si="194"/>
        <v>0.54256095667029047</v>
      </c>
      <c r="N1808" s="74">
        <f>D1817</f>
        <v>748.75300000000004</v>
      </c>
      <c r="O1808" s="23">
        <f t="shared" si="195"/>
        <v>-0.73469087936876387</v>
      </c>
    </row>
    <row r="1809" spans="1:15" ht="20" thickBot="1" x14ac:dyDescent="0.3">
      <c r="A1809" s="30" t="s">
        <v>731</v>
      </c>
      <c r="B1809" s="30" t="s">
        <v>333</v>
      </c>
      <c r="C1809" s="30">
        <v>25</v>
      </c>
      <c r="D1809" s="190">
        <v>16021.182000000001</v>
      </c>
      <c r="E1809" s="30" t="s">
        <v>10</v>
      </c>
      <c r="F1809" s="190">
        <v>132.333</v>
      </c>
      <c r="G1809" s="30" t="s">
        <v>335</v>
      </c>
      <c r="H1809" s="30"/>
    </row>
    <row r="1810" spans="1:15" x14ac:dyDescent="0.25">
      <c r="A1810" s="30" t="s">
        <v>732</v>
      </c>
      <c r="B1810" s="30" t="s">
        <v>333</v>
      </c>
      <c r="C1810" s="30">
        <v>25</v>
      </c>
      <c r="D1810" s="190">
        <v>10282.169</v>
      </c>
      <c r="E1810" s="30" t="s">
        <v>10</v>
      </c>
      <c r="F1810" s="190">
        <v>66.95</v>
      </c>
      <c r="G1810" s="30" t="s">
        <v>335</v>
      </c>
      <c r="H1810" s="30"/>
      <c r="J1810" s="5" t="s">
        <v>724</v>
      </c>
      <c r="K1810" s="72" t="s">
        <v>341</v>
      </c>
      <c r="L1810" s="72" t="s">
        <v>342</v>
      </c>
      <c r="M1810" s="21" t="s">
        <v>162</v>
      </c>
    </row>
    <row r="1811" spans="1:15" x14ac:dyDescent="0.25">
      <c r="A1811" s="30" t="s">
        <v>733</v>
      </c>
      <c r="B1811" s="30" t="s">
        <v>333</v>
      </c>
      <c r="C1811" s="30">
        <v>25</v>
      </c>
      <c r="D1811" s="190">
        <v>73727.284</v>
      </c>
      <c r="E1811" s="30" t="s">
        <v>10</v>
      </c>
      <c r="F1811" s="190">
        <v>712.27700000000004</v>
      </c>
      <c r="G1811" s="30" t="s">
        <v>335</v>
      </c>
      <c r="H1811" s="30"/>
      <c r="J1811" s="6">
        <v>100000</v>
      </c>
      <c r="K1811" s="119">
        <f>D1804</f>
        <v>170234.08</v>
      </c>
      <c r="L1811" s="119">
        <f>D1805</f>
        <v>272082.21600000001</v>
      </c>
      <c r="M1811" s="22">
        <f>(K1811/L1811-1)</f>
        <v>-0.37432853016751388</v>
      </c>
    </row>
    <row r="1812" spans="1:15" x14ac:dyDescent="0.25">
      <c r="A1812" s="30" t="s">
        <v>734</v>
      </c>
      <c r="B1812" s="30" t="s">
        <v>333</v>
      </c>
      <c r="C1812" s="30">
        <v>25</v>
      </c>
      <c r="D1812" s="190">
        <v>1950.925</v>
      </c>
      <c r="E1812" s="30" t="s">
        <v>10</v>
      </c>
      <c r="F1812" s="190">
        <v>16.815000000000001</v>
      </c>
      <c r="G1812" s="30" t="s">
        <v>335</v>
      </c>
      <c r="H1812" s="30"/>
      <c r="J1812" s="6">
        <v>50000</v>
      </c>
      <c r="K1812" s="119">
        <f>D1807</f>
        <v>63641.900999999998</v>
      </c>
      <c r="L1812" s="119">
        <f>D1808</f>
        <v>384233.46600000001</v>
      </c>
      <c r="M1812" s="22">
        <f t="shared" ref="M1812:M1815" si="196">(K1812/L1812-1)</f>
        <v>-0.83436658534059083</v>
      </c>
    </row>
    <row r="1813" spans="1:15" x14ac:dyDescent="0.25">
      <c r="A1813" s="30" t="s">
        <v>735</v>
      </c>
      <c r="B1813" s="30" t="s">
        <v>333</v>
      </c>
      <c r="C1813" s="30">
        <v>25</v>
      </c>
      <c r="D1813" s="190">
        <v>1166.2170000000001</v>
      </c>
      <c r="E1813" s="30" t="s">
        <v>10</v>
      </c>
      <c r="F1813" s="190">
        <v>13.888</v>
      </c>
      <c r="G1813" s="30" t="s">
        <v>335</v>
      </c>
      <c r="H1813" s="30"/>
      <c r="J1813" s="6">
        <v>10000</v>
      </c>
      <c r="K1813" s="119">
        <f>D1810</f>
        <v>10282.169</v>
      </c>
      <c r="L1813" s="119">
        <f>D1811</f>
        <v>73727.284</v>
      </c>
      <c r="M1813" s="22">
        <f t="shared" si="196"/>
        <v>-0.860537803074368</v>
      </c>
    </row>
    <row r="1814" spans="1:15" x14ac:dyDescent="0.25">
      <c r="A1814" s="30" t="s">
        <v>736</v>
      </c>
      <c r="B1814" s="30" t="s">
        <v>333</v>
      </c>
      <c r="C1814" s="30">
        <v>25</v>
      </c>
      <c r="D1814" s="190">
        <v>7628</v>
      </c>
      <c r="E1814" s="30" t="s">
        <v>10</v>
      </c>
      <c r="F1814" s="190">
        <v>17.920000000000002</v>
      </c>
      <c r="G1814" s="30" t="s">
        <v>335</v>
      </c>
      <c r="H1814" s="30"/>
      <c r="J1814" s="67">
        <v>1000</v>
      </c>
      <c r="K1814" s="119">
        <f>D1813</f>
        <v>1166.2170000000001</v>
      </c>
      <c r="L1814" s="119">
        <f>D1814</f>
        <v>7628</v>
      </c>
      <c r="M1814" s="22">
        <f t="shared" si="196"/>
        <v>-0.84711366019926582</v>
      </c>
    </row>
    <row r="1815" spans="1:15" ht="20" thickBot="1" x14ac:dyDescent="0.3">
      <c r="A1815" s="30" t="s">
        <v>737</v>
      </c>
      <c r="B1815" s="30" t="s">
        <v>333</v>
      </c>
      <c r="C1815" s="30">
        <v>25</v>
      </c>
      <c r="D1815" s="190">
        <v>198.65100000000001</v>
      </c>
      <c r="E1815" s="30" t="s">
        <v>10</v>
      </c>
      <c r="F1815" s="190">
        <v>1.482</v>
      </c>
      <c r="G1815" s="30" t="s">
        <v>335</v>
      </c>
      <c r="H1815" s="30"/>
      <c r="J1815" s="68">
        <v>100</v>
      </c>
      <c r="K1815" s="120">
        <f>D1816</f>
        <v>128.78</v>
      </c>
      <c r="L1815" s="120">
        <f>D1817</f>
        <v>748.75300000000004</v>
      </c>
      <c r="M1815" s="23">
        <f t="shared" si="196"/>
        <v>-0.82800736691539134</v>
      </c>
    </row>
    <row r="1816" spans="1:15" x14ac:dyDescent="0.25">
      <c r="A1816" s="30" t="s">
        <v>738</v>
      </c>
      <c r="B1816" s="30" t="s">
        <v>333</v>
      </c>
      <c r="C1816" s="30">
        <v>25</v>
      </c>
      <c r="D1816" s="190">
        <v>128.78</v>
      </c>
      <c r="E1816" s="30" t="s">
        <v>10</v>
      </c>
      <c r="F1816" s="190">
        <v>0.96199999999999997</v>
      </c>
      <c r="G1816" s="30" t="s">
        <v>335</v>
      </c>
      <c r="H1816" s="30"/>
    </row>
    <row r="1817" spans="1:15" x14ac:dyDescent="0.25">
      <c r="A1817" s="30" t="s">
        <v>739</v>
      </c>
      <c r="B1817" s="30" t="s">
        <v>333</v>
      </c>
      <c r="C1817" s="30">
        <v>25</v>
      </c>
      <c r="D1817" s="190">
        <v>748.75300000000004</v>
      </c>
      <c r="E1817" s="30" t="s">
        <v>10</v>
      </c>
      <c r="F1817" s="190">
        <v>7.2539999999999996</v>
      </c>
      <c r="G1817" s="30" t="s">
        <v>335</v>
      </c>
      <c r="H1817" s="30"/>
    </row>
    <row r="1818" spans="1:15" x14ac:dyDescent="0.25">
      <c r="A1818" s="30"/>
      <c r="B1818" s="30"/>
      <c r="C1818" s="30"/>
      <c r="D1818" s="190"/>
      <c r="E1818" s="30"/>
      <c r="F1818" s="190"/>
      <c r="G1818" s="30"/>
      <c r="H1818" s="30"/>
    </row>
    <row r="1819" spans="1:15" x14ac:dyDescent="0.25">
      <c r="A1819" s="30" t="s">
        <v>740</v>
      </c>
      <c r="B1819" s="30"/>
      <c r="C1819" s="30"/>
      <c r="D1819" s="190"/>
      <c r="E1819" s="30"/>
      <c r="F1819" s="190"/>
      <c r="G1819" s="30"/>
      <c r="H1819" s="30"/>
    </row>
    <row r="1820" spans="1:15" ht="20" thickBot="1" x14ac:dyDescent="0.3">
      <c r="A1820" s="30" t="s">
        <v>2</v>
      </c>
      <c r="B1820" s="30" t="s">
        <v>3</v>
      </c>
      <c r="C1820" s="30" t="s">
        <v>4</v>
      </c>
      <c r="D1820" s="190" t="s">
        <v>5</v>
      </c>
      <c r="E1820" s="30" t="s">
        <v>6</v>
      </c>
      <c r="F1820" s="190" t="s">
        <v>7</v>
      </c>
      <c r="G1820" s="30"/>
      <c r="H1820" s="30"/>
    </row>
    <row r="1821" spans="1:15" x14ac:dyDescent="0.25">
      <c r="A1821" s="30" t="s">
        <v>741</v>
      </c>
      <c r="B1821" s="30" t="s">
        <v>333</v>
      </c>
      <c r="C1821" s="30">
        <v>25</v>
      </c>
      <c r="D1821" s="190">
        <v>695067.42200000002</v>
      </c>
      <c r="E1821" s="30" t="s">
        <v>10</v>
      </c>
      <c r="F1821" s="190">
        <v>6300.393</v>
      </c>
      <c r="G1821" s="30" t="s">
        <v>335</v>
      </c>
      <c r="H1821" s="30"/>
      <c r="J1821" s="5" t="s">
        <v>740</v>
      </c>
      <c r="K1821" s="72" t="s">
        <v>340</v>
      </c>
      <c r="L1821" s="72" t="s">
        <v>341</v>
      </c>
      <c r="M1821" s="17" t="s">
        <v>162</v>
      </c>
      <c r="N1821" s="72" t="s">
        <v>342</v>
      </c>
      <c r="O1821" s="21" t="s">
        <v>162</v>
      </c>
    </row>
    <row r="1822" spans="1:15" x14ac:dyDescent="0.25">
      <c r="A1822" s="30" t="s">
        <v>742</v>
      </c>
      <c r="B1822" s="30" t="s">
        <v>333</v>
      </c>
      <c r="C1822" s="30">
        <v>25</v>
      </c>
      <c r="D1822" s="190">
        <v>418957.18099999998</v>
      </c>
      <c r="E1822" s="30" t="s">
        <v>10</v>
      </c>
      <c r="F1822" s="190">
        <v>15786.519</v>
      </c>
      <c r="G1822" s="30" t="s">
        <v>335</v>
      </c>
      <c r="H1822" s="30"/>
      <c r="J1822" s="6">
        <v>100000</v>
      </c>
      <c r="K1822" s="119">
        <f>D1821</f>
        <v>695067.42200000002</v>
      </c>
      <c r="L1822" s="119">
        <f>D1822</f>
        <v>418957.18099999998</v>
      </c>
      <c r="M1822" s="18">
        <f>(K1822/L1822-1)</f>
        <v>0.65904167185047013</v>
      </c>
      <c r="N1822" s="73">
        <f>D1823</f>
        <v>508114.14799999999</v>
      </c>
      <c r="O1822" s="22">
        <f>(K1822/N1822-1)</f>
        <v>0.36793558049086261</v>
      </c>
    </row>
    <row r="1823" spans="1:15" x14ac:dyDescent="0.25">
      <c r="A1823" s="30" t="s">
        <v>743</v>
      </c>
      <c r="B1823" s="30" t="s">
        <v>333</v>
      </c>
      <c r="C1823" s="30">
        <v>25</v>
      </c>
      <c r="D1823" s="190">
        <v>508114.14799999999</v>
      </c>
      <c r="E1823" s="30" t="s">
        <v>10</v>
      </c>
      <c r="F1823" s="190">
        <v>39327.42</v>
      </c>
      <c r="G1823" s="30" t="s">
        <v>335</v>
      </c>
      <c r="H1823" s="30"/>
      <c r="J1823" s="6">
        <v>50000</v>
      </c>
      <c r="K1823" s="119">
        <f>D1824</f>
        <v>342491.22</v>
      </c>
      <c r="L1823" s="119">
        <f>D1825</f>
        <v>201919.75399999999</v>
      </c>
      <c r="M1823" s="18">
        <f t="shared" ref="M1823:M1826" si="197">(K1823/L1823-1)</f>
        <v>0.69617490718614872</v>
      </c>
      <c r="N1823" s="73">
        <f>D1826</f>
        <v>244863.55499999999</v>
      </c>
      <c r="O1823" s="22">
        <f t="shared" ref="O1823:O1826" si="198">(K1823/N1823-1)</f>
        <v>0.39870230994563483</v>
      </c>
    </row>
    <row r="1824" spans="1:15" x14ac:dyDescent="0.25">
      <c r="A1824" s="30" t="s">
        <v>744</v>
      </c>
      <c r="B1824" s="30" t="s">
        <v>333</v>
      </c>
      <c r="C1824" s="30">
        <v>25</v>
      </c>
      <c r="D1824" s="190">
        <v>342491.22</v>
      </c>
      <c r="E1824" s="30" t="s">
        <v>10</v>
      </c>
      <c r="F1824" s="190">
        <v>1842.961</v>
      </c>
      <c r="G1824" s="30" t="s">
        <v>335</v>
      </c>
      <c r="H1824" s="30"/>
      <c r="J1824" s="6">
        <v>10000</v>
      </c>
      <c r="K1824" s="119">
        <f>D1827</f>
        <v>61931.964999999997</v>
      </c>
      <c r="L1824" s="119">
        <f>D1828</f>
        <v>36138.875999999997</v>
      </c>
      <c r="M1824" s="18">
        <f t="shared" si="197"/>
        <v>0.71372139520886035</v>
      </c>
      <c r="N1824" s="73">
        <f>D1829</f>
        <v>103593.86599999999</v>
      </c>
      <c r="O1824" s="22">
        <f t="shared" si="198"/>
        <v>-0.40216571317070071</v>
      </c>
    </row>
    <row r="1825" spans="1:17" x14ac:dyDescent="0.25">
      <c r="A1825" s="30" t="s">
        <v>745</v>
      </c>
      <c r="B1825" s="30" t="s">
        <v>333</v>
      </c>
      <c r="C1825" s="30">
        <v>25</v>
      </c>
      <c r="D1825" s="190">
        <v>201919.75399999999</v>
      </c>
      <c r="E1825" s="30" t="s">
        <v>10</v>
      </c>
      <c r="F1825" s="190">
        <v>1928.529</v>
      </c>
      <c r="G1825" s="30" t="s">
        <v>335</v>
      </c>
      <c r="H1825" s="30"/>
      <c r="J1825" s="67">
        <v>1000</v>
      </c>
      <c r="K1825" s="119">
        <f>D1830</f>
        <v>5773.7380000000003</v>
      </c>
      <c r="L1825" s="119">
        <f>D1831</f>
        <v>3907.2359999999999</v>
      </c>
      <c r="M1825" s="18">
        <f t="shared" si="197"/>
        <v>0.47770393188432969</v>
      </c>
      <c r="N1825" s="73">
        <f>D1832</f>
        <v>11538.531000000001</v>
      </c>
      <c r="O1825" s="22">
        <f t="shared" si="198"/>
        <v>-0.49961238566677169</v>
      </c>
    </row>
    <row r="1826" spans="1:17" ht="20" thickBot="1" x14ac:dyDescent="0.3">
      <c r="A1826" s="30" t="s">
        <v>746</v>
      </c>
      <c r="B1826" s="30" t="s">
        <v>333</v>
      </c>
      <c r="C1826" s="30">
        <v>25</v>
      </c>
      <c r="D1826" s="190">
        <v>244863.55499999999</v>
      </c>
      <c r="E1826" s="30" t="s">
        <v>10</v>
      </c>
      <c r="F1826" s="190">
        <v>1682.4559999999999</v>
      </c>
      <c r="G1826" s="30" t="s">
        <v>335</v>
      </c>
      <c r="H1826" s="30"/>
      <c r="J1826" s="68">
        <v>100</v>
      </c>
      <c r="K1826" s="120">
        <f>D1833</f>
        <v>587.03099999999995</v>
      </c>
      <c r="L1826" s="120">
        <f>D1834</f>
        <v>362.26400000000001</v>
      </c>
      <c r="M1826" s="19">
        <f t="shared" si="197"/>
        <v>0.6204508314378463</v>
      </c>
      <c r="N1826" s="74">
        <f>D1835</f>
        <v>1068.702</v>
      </c>
      <c r="O1826" s="23">
        <f t="shared" si="198"/>
        <v>-0.4507065580489229</v>
      </c>
    </row>
    <row r="1827" spans="1:17" ht="20" thickBot="1" x14ac:dyDescent="0.3">
      <c r="A1827" s="30" t="s">
        <v>747</v>
      </c>
      <c r="B1827" s="30" t="s">
        <v>333</v>
      </c>
      <c r="C1827" s="30">
        <v>25</v>
      </c>
      <c r="D1827" s="190">
        <v>61931.964999999997</v>
      </c>
      <c r="E1827" s="30" t="s">
        <v>10</v>
      </c>
      <c r="F1827" s="190">
        <v>595.86800000000005</v>
      </c>
      <c r="G1827" s="30" t="s">
        <v>335</v>
      </c>
      <c r="H1827" s="30"/>
    </row>
    <row r="1828" spans="1:17" x14ac:dyDescent="0.25">
      <c r="A1828" s="30" t="s">
        <v>748</v>
      </c>
      <c r="B1828" s="30" t="s">
        <v>333</v>
      </c>
      <c r="C1828" s="30">
        <v>25</v>
      </c>
      <c r="D1828" s="190">
        <v>36138.875999999997</v>
      </c>
      <c r="E1828" s="30" t="s">
        <v>10</v>
      </c>
      <c r="F1828" s="190">
        <v>367.97</v>
      </c>
      <c r="G1828" s="30" t="s">
        <v>335</v>
      </c>
      <c r="H1828" s="30"/>
      <c r="J1828" s="5" t="s">
        <v>740</v>
      </c>
      <c r="K1828" s="72" t="s">
        <v>341</v>
      </c>
      <c r="L1828" s="72" t="s">
        <v>342</v>
      </c>
      <c r="M1828" s="21" t="s">
        <v>162</v>
      </c>
    </row>
    <row r="1829" spans="1:17" x14ac:dyDescent="0.25">
      <c r="A1829" s="30" t="s">
        <v>749</v>
      </c>
      <c r="B1829" s="30" t="s">
        <v>333</v>
      </c>
      <c r="C1829" s="30">
        <v>25</v>
      </c>
      <c r="D1829" s="190">
        <v>103593.86599999999</v>
      </c>
      <c r="E1829" s="30" t="s">
        <v>10</v>
      </c>
      <c r="F1829" s="190">
        <v>434.96899999999999</v>
      </c>
      <c r="G1829" s="30" t="s">
        <v>335</v>
      </c>
      <c r="H1829" s="30"/>
      <c r="J1829" s="6">
        <v>100000</v>
      </c>
      <c r="K1829" s="119">
        <f>D1822</f>
        <v>418957.18099999998</v>
      </c>
      <c r="L1829" s="119">
        <f>D1823</f>
        <v>508114.14799999999</v>
      </c>
      <c r="M1829" s="22">
        <f>(K1829/L1829-1)</f>
        <v>-0.17546641310999278</v>
      </c>
    </row>
    <row r="1830" spans="1:17" x14ac:dyDescent="0.25">
      <c r="A1830" s="30" t="s">
        <v>750</v>
      </c>
      <c r="B1830" s="30" t="s">
        <v>333</v>
      </c>
      <c r="C1830" s="30">
        <v>25</v>
      </c>
      <c r="D1830" s="190">
        <v>5773.7380000000003</v>
      </c>
      <c r="E1830" s="30" t="s">
        <v>10</v>
      </c>
      <c r="F1830" s="190">
        <v>85.546999999999997</v>
      </c>
      <c r="G1830" s="30" t="s">
        <v>335</v>
      </c>
      <c r="H1830" s="30"/>
      <c r="J1830" s="6">
        <v>50000</v>
      </c>
      <c r="K1830" s="119">
        <f>D1825</f>
        <v>201919.75399999999</v>
      </c>
      <c r="L1830" s="119">
        <f>D1826</f>
        <v>244863.55499999999</v>
      </c>
      <c r="M1830" s="22">
        <f t="shared" ref="M1830:M1833" si="199">(K1830/L1830-1)</f>
        <v>-0.17537849191154642</v>
      </c>
    </row>
    <row r="1831" spans="1:17" x14ac:dyDescent="0.25">
      <c r="A1831" s="30" t="s">
        <v>751</v>
      </c>
      <c r="B1831" s="30" t="s">
        <v>333</v>
      </c>
      <c r="C1831" s="30">
        <v>25</v>
      </c>
      <c r="D1831" s="190">
        <v>3907.2359999999999</v>
      </c>
      <c r="E1831" s="30" t="s">
        <v>10</v>
      </c>
      <c r="F1831" s="190">
        <v>30.687000000000001</v>
      </c>
      <c r="G1831" s="30" t="s">
        <v>335</v>
      </c>
      <c r="H1831" s="30"/>
      <c r="J1831" s="6">
        <v>10000</v>
      </c>
      <c r="K1831" s="119">
        <f>D1828</f>
        <v>36138.875999999997</v>
      </c>
      <c r="L1831" s="119">
        <f>D1829</f>
        <v>103593.86599999999</v>
      </c>
      <c r="M1831" s="22">
        <f t="shared" si="199"/>
        <v>-0.65114849560687316</v>
      </c>
    </row>
    <row r="1832" spans="1:17" x14ac:dyDescent="0.25">
      <c r="A1832" s="30" t="s">
        <v>752</v>
      </c>
      <c r="B1832" s="30" t="s">
        <v>333</v>
      </c>
      <c r="C1832" s="30">
        <v>25</v>
      </c>
      <c r="D1832" s="190">
        <v>11538.531000000001</v>
      </c>
      <c r="E1832" s="30" t="s">
        <v>10</v>
      </c>
      <c r="F1832" s="190">
        <v>138</v>
      </c>
      <c r="G1832" s="30" t="s">
        <v>335</v>
      </c>
      <c r="H1832" s="30"/>
      <c r="J1832" s="67">
        <v>1000</v>
      </c>
      <c r="K1832" s="119">
        <f>D1831</f>
        <v>3907.2359999999999</v>
      </c>
      <c r="L1832" s="119">
        <f>D1832</f>
        <v>11538.531000000001</v>
      </c>
      <c r="M1832" s="22">
        <f t="shared" si="199"/>
        <v>-0.66137491852299046</v>
      </c>
    </row>
    <row r="1833" spans="1:17" ht="20" thickBot="1" x14ac:dyDescent="0.3">
      <c r="A1833" s="30" t="s">
        <v>753</v>
      </c>
      <c r="B1833" s="30" t="s">
        <v>333</v>
      </c>
      <c r="C1833" s="30">
        <v>25</v>
      </c>
      <c r="D1833" s="190">
        <v>587.03099999999995</v>
      </c>
      <c r="E1833" s="30" t="s">
        <v>10</v>
      </c>
      <c r="F1833" s="190">
        <v>3.89</v>
      </c>
      <c r="G1833" s="30" t="s">
        <v>335</v>
      </c>
      <c r="H1833" s="30"/>
      <c r="J1833" s="68">
        <v>100</v>
      </c>
      <c r="K1833" s="120">
        <f>D1834</f>
        <v>362.26400000000001</v>
      </c>
      <c r="L1833" s="120">
        <f>D1835</f>
        <v>1068.702</v>
      </c>
      <c r="M1833" s="23">
        <f t="shared" si="199"/>
        <v>-0.66102430799231215</v>
      </c>
    </row>
    <row r="1834" spans="1:17" x14ac:dyDescent="0.25">
      <c r="A1834" s="30" t="s">
        <v>754</v>
      </c>
      <c r="B1834" s="30" t="s">
        <v>333</v>
      </c>
      <c r="C1834" s="30">
        <v>25</v>
      </c>
      <c r="D1834" s="190">
        <v>362.26400000000001</v>
      </c>
      <c r="E1834" s="30" t="s">
        <v>10</v>
      </c>
      <c r="F1834" s="190">
        <v>3.3260000000000001</v>
      </c>
      <c r="G1834" s="30" t="s">
        <v>335</v>
      </c>
      <c r="H1834" s="30"/>
    </row>
    <row r="1835" spans="1:17" x14ac:dyDescent="0.25">
      <c r="A1835" s="30" t="s">
        <v>755</v>
      </c>
      <c r="B1835" s="30" t="s">
        <v>333</v>
      </c>
      <c r="C1835" s="30">
        <v>25</v>
      </c>
      <c r="D1835" s="190">
        <v>1068.702</v>
      </c>
      <c r="E1835" s="30" t="s">
        <v>10</v>
      </c>
      <c r="F1835" s="190">
        <v>8.0329999999999995</v>
      </c>
      <c r="G1835" s="30" t="s">
        <v>335</v>
      </c>
      <c r="H1835" s="30"/>
    </row>
    <row r="1836" spans="1:17" x14ac:dyDescent="0.25">
      <c r="A1836" s="30"/>
      <c r="B1836" s="30"/>
      <c r="C1836" s="30"/>
      <c r="D1836" s="190"/>
      <c r="E1836" s="30"/>
      <c r="F1836" s="190"/>
      <c r="G1836" s="30"/>
      <c r="H1836" s="30"/>
    </row>
    <row r="1837" spans="1:17" x14ac:dyDescent="0.25">
      <c r="A1837" s="30" t="s">
        <v>860</v>
      </c>
      <c r="B1837" s="30"/>
      <c r="C1837" s="30"/>
      <c r="D1837" s="190"/>
      <c r="E1837" s="30"/>
      <c r="F1837" s="190"/>
      <c r="G1837" s="30"/>
      <c r="H1837" s="30"/>
    </row>
    <row r="1838" spans="1:17" ht="20" thickBot="1" x14ac:dyDescent="0.3">
      <c r="A1838" s="30" t="s">
        <v>2</v>
      </c>
      <c r="B1838" s="30" t="s">
        <v>3</v>
      </c>
      <c r="C1838" s="30" t="s">
        <v>4</v>
      </c>
      <c r="D1838" s="190" t="s">
        <v>5</v>
      </c>
      <c r="E1838" s="30" t="s">
        <v>6</v>
      </c>
      <c r="F1838" s="190" t="s">
        <v>7</v>
      </c>
      <c r="G1838" s="30"/>
      <c r="H1838" s="30"/>
    </row>
    <row r="1839" spans="1:17" x14ac:dyDescent="0.25">
      <c r="A1839" s="30" t="s">
        <v>861</v>
      </c>
      <c r="B1839" s="30" t="s">
        <v>333</v>
      </c>
      <c r="C1839" s="30">
        <v>25</v>
      </c>
      <c r="D1839" s="190">
        <v>9244026.5559999999</v>
      </c>
      <c r="E1839" s="30" t="s">
        <v>10</v>
      </c>
      <c r="F1839" s="190">
        <v>134156.008</v>
      </c>
      <c r="G1839" s="30" t="s">
        <v>335</v>
      </c>
      <c r="H1839" s="30"/>
      <c r="J1839" s="5" t="s">
        <v>860</v>
      </c>
      <c r="K1839" s="72" t="s">
        <v>344</v>
      </c>
      <c r="L1839" s="72" t="s">
        <v>341</v>
      </c>
      <c r="M1839" s="17" t="s">
        <v>162</v>
      </c>
      <c r="N1839" s="72" t="s">
        <v>343</v>
      </c>
      <c r="O1839" s="17" t="s">
        <v>162</v>
      </c>
      <c r="P1839" s="72" t="s">
        <v>342</v>
      </c>
      <c r="Q1839" s="21" t="s">
        <v>162</v>
      </c>
    </row>
    <row r="1840" spans="1:17" x14ac:dyDescent="0.25">
      <c r="A1840" s="30" t="s">
        <v>862</v>
      </c>
      <c r="B1840" s="30" t="s">
        <v>333</v>
      </c>
      <c r="C1840" s="30">
        <v>25</v>
      </c>
      <c r="D1840" s="190">
        <v>5029628.4790000003</v>
      </c>
      <c r="E1840" s="30" t="s">
        <v>10</v>
      </c>
      <c r="F1840" s="190">
        <v>254183.02</v>
      </c>
      <c r="G1840" s="30" t="s">
        <v>335</v>
      </c>
      <c r="H1840" s="30"/>
      <c r="J1840" s="6">
        <v>100000</v>
      </c>
      <c r="K1840" s="119">
        <f>D1839</f>
        <v>9244026.5559999999</v>
      </c>
      <c r="L1840" s="119">
        <f>D1840</f>
        <v>5029628.4790000003</v>
      </c>
      <c r="M1840" s="18">
        <f>(K1840/L1840-1)</f>
        <v>0.83791438962066511</v>
      </c>
      <c r="N1840" s="73">
        <f>D1841</f>
        <v>4549208.8150000004</v>
      </c>
      <c r="O1840" s="18">
        <f>(K1840/N1840-1)</f>
        <v>1.0320075274451872</v>
      </c>
      <c r="P1840" s="73">
        <f>D1842</f>
        <v>16586553.91</v>
      </c>
      <c r="Q1840" s="22">
        <f>(K1840/P1840-1)</f>
        <v>-0.44267949773299231</v>
      </c>
    </row>
    <row r="1841" spans="1:17" x14ac:dyDescent="0.25">
      <c r="A1841" s="30" t="s">
        <v>863</v>
      </c>
      <c r="B1841" s="30" t="s">
        <v>333</v>
      </c>
      <c r="C1841" s="30">
        <v>25</v>
      </c>
      <c r="D1841" s="190">
        <v>4549208.8150000004</v>
      </c>
      <c r="E1841" s="30" t="s">
        <v>10</v>
      </c>
      <c r="F1841" s="190">
        <v>153441.50899999999</v>
      </c>
      <c r="G1841" s="30" t="s">
        <v>335</v>
      </c>
      <c r="H1841" s="30"/>
      <c r="J1841" s="6">
        <v>50000</v>
      </c>
      <c r="K1841" s="119">
        <f>D1843</f>
        <v>3664510.9449999998</v>
      </c>
      <c r="L1841" s="119">
        <f>D1844</f>
        <v>2832150.8859999999</v>
      </c>
      <c r="M1841" s="18">
        <f t="shared" ref="M1841:M1844" si="200">(K1841/L1841-1)</f>
        <v>0.29389679169798288</v>
      </c>
      <c r="N1841" s="73">
        <f>D1845</f>
        <v>1715264.017</v>
      </c>
      <c r="O1841" s="18">
        <f t="shared" ref="O1841:O1844" si="201">(K1841/N1841-1)</f>
        <v>1.136412184177475</v>
      </c>
      <c r="P1841" s="73">
        <f>D1846</f>
        <v>5696586.8720000004</v>
      </c>
      <c r="Q1841" s="22">
        <f t="shared" ref="Q1841:Q1844" si="202">(K1841/P1841-1)</f>
        <v>-0.35671814942173685</v>
      </c>
    </row>
    <row r="1842" spans="1:17" x14ac:dyDescent="0.25">
      <c r="A1842" s="30" t="s">
        <v>864</v>
      </c>
      <c r="B1842" s="30" t="s">
        <v>333</v>
      </c>
      <c r="C1842" s="30">
        <v>25</v>
      </c>
      <c r="D1842" s="190">
        <v>16586553.91</v>
      </c>
      <c r="E1842" s="30" t="s">
        <v>10</v>
      </c>
      <c r="F1842" s="190">
        <v>182138.07</v>
      </c>
      <c r="G1842" s="30" t="s">
        <v>335</v>
      </c>
      <c r="H1842" s="30"/>
      <c r="J1842" s="6">
        <v>10000</v>
      </c>
      <c r="K1842" s="119">
        <f>D1847</f>
        <v>477983.467</v>
      </c>
      <c r="L1842" s="119">
        <f>D1848</f>
        <v>575843.20600000001</v>
      </c>
      <c r="M1842" s="18">
        <f t="shared" si="200"/>
        <v>-0.16994164032908643</v>
      </c>
      <c r="N1842" s="73">
        <f>D1849</f>
        <v>332796.87099999998</v>
      </c>
      <c r="O1842" s="18">
        <f t="shared" si="201"/>
        <v>0.43626190223405081</v>
      </c>
      <c r="P1842" s="73">
        <f>D1850</f>
        <v>1203303.1340000001</v>
      </c>
      <c r="Q1842" s="22">
        <f t="shared" si="202"/>
        <v>-0.60277385349185009</v>
      </c>
    </row>
    <row r="1843" spans="1:17" x14ac:dyDescent="0.25">
      <c r="A1843" s="30" t="s">
        <v>865</v>
      </c>
      <c r="B1843" s="30" t="s">
        <v>333</v>
      </c>
      <c r="C1843" s="30">
        <v>25</v>
      </c>
      <c r="D1843" s="190">
        <v>3664510.9449999998</v>
      </c>
      <c r="E1843" s="30" t="s">
        <v>10</v>
      </c>
      <c r="F1843" s="190">
        <v>79078.407999999996</v>
      </c>
      <c r="G1843" s="30" t="s">
        <v>335</v>
      </c>
      <c r="H1843" s="30"/>
      <c r="J1843" s="67">
        <v>1000</v>
      </c>
      <c r="K1843" s="119">
        <f>D1851</f>
        <v>49804.932000000001</v>
      </c>
      <c r="L1843" s="119">
        <f>D1852</f>
        <v>58424.565999999999</v>
      </c>
      <c r="M1843" s="18">
        <f t="shared" si="200"/>
        <v>-0.14753441215121732</v>
      </c>
      <c r="N1843" s="73">
        <f>D1853</f>
        <v>33123.591999999997</v>
      </c>
      <c r="O1843" s="18">
        <f t="shared" si="201"/>
        <v>0.5036090288758539</v>
      </c>
      <c r="P1843" s="73">
        <f>D1854</f>
        <v>116691.43</v>
      </c>
      <c r="Q1843" s="22">
        <f t="shared" si="202"/>
        <v>-0.57319117607865455</v>
      </c>
    </row>
    <row r="1844" spans="1:17" ht="20" thickBot="1" x14ac:dyDescent="0.3">
      <c r="A1844" s="30" t="s">
        <v>866</v>
      </c>
      <c r="B1844" s="30" t="s">
        <v>333</v>
      </c>
      <c r="C1844" s="30">
        <v>25</v>
      </c>
      <c r="D1844" s="190">
        <v>2832150.8859999999</v>
      </c>
      <c r="E1844" s="30" t="s">
        <v>10</v>
      </c>
      <c r="F1844" s="190">
        <v>154700.568</v>
      </c>
      <c r="G1844" s="30" t="s">
        <v>335</v>
      </c>
      <c r="H1844" s="30"/>
      <c r="J1844" s="68">
        <v>100</v>
      </c>
      <c r="K1844" s="120">
        <f>D1855</f>
        <v>4893.3779999999997</v>
      </c>
      <c r="L1844" s="120">
        <f>D1856</f>
        <v>5847.4769999999999</v>
      </c>
      <c r="M1844" s="19">
        <f t="shared" si="200"/>
        <v>-0.16316421595159758</v>
      </c>
      <c r="N1844" s="74">
        <f>D1857</f>
        <v>3345.6709999999998</v>
      </c>
      <c r="O1844" s="19">
        <f t="shared" si="201"/>
        <v>0.46259987906760713</v>
      </c>
      <c r="P1844" s="74">
        <f>D1858</f>
        <v>10779.902</v>
      </c>
      <c r="Q1844" s="23">
        <f t="shared" si="202"/>
        <v>-0.54606470448432654</v>
      </c>
    </row>
    <row r="1845" spans="1:17" ht="20" thickBot="1" x14ac:dyDescent="0.3">
      <c r="A1845" s="30" t="s">
        <v>867</v>
      </c>
      <c r="B1845" s="30" t="s">
        <v>333</v>
      </c>
      <c r="C1845" s="30">
        <v>25</v>
      </c>
      <c r="D1845" s="190">
        <v>1715264.017</v>
      </c>
      <c r="E1845" s="30" t="s">
        <v>10</v>
      </c>
      <c r="F1845" s="190">
        <v>23395.064999999999</v>
      </c>
      <c r="G1845" s="30" t="s">
        <v>335</v>
      </c>
      <c r="H1845" s="30"/>
    </row>
    <row r="1846" spans="1:17" x14ac:dyDescent="0.25">
      <c r="A1846" s="30" t="s">
        <v>868</v>
      </c>
      <c r="B1846" s="30" t="s">
        <v>333</v>
      </c>
      <c r="C1846" s="30">
        <v>25</v>
      </c>
      <c r="D1846" s="190">
        <v>5696586.8720000004</v>
      </c>
      <c r="E1846" s="30" t="s">
        <v>10</v>
      </c>
      <c r="F1846" s="190">
        <v>40193.294000000002</v>
      </c>
      <c r="G1846" s="30" t="s">
        <v>335</v>
      </c>
      <c r="H1846" s="30"/>
      <c r="J1846" s="5" t="s">
        <v>860</v>
      </c>
      <c r="K1846" s="72" t="s">
        <v>341</v>
      </c>
      <c r="L1846" s="72" t="s">
        <v>342</v>
      </c>
      <c r="M1846" s="17" t="s">
        <v>162</v>
      </c>
      <c r="N1846" s="72" t="s">
        <v>343</v>
      </c>
      <c r="O1846" s="21" t="s">
        <v>162</v>
      </c>
    </row>
    <row r="1847" spans="1:17" x14ac:dyDescent="0.25">
      <c r="A1847" s="30" t="s">
        <v>869</v>
      </c>
      <c r="B1847" s="30" t="s">
        <v>333</v>
      </c>
      <c r="C1847" s="30">
        <v>25</v>
      </c>
      <c r="D1847" s="190">
        <v>477983.467</v>
      </c>
      <c r="E1847" s="30" t="s">
        <v>10</v>
      </c>
      <c r="F1847" s="190">
        <v>3152.337</v>
      </c>
      <c r="G1847" s="30" t="s">
        <v>335</v>
      </c>
      <c r="H1847" s="30"/>
      <c r="J1847" s="6">
        <v>100000</v>
      </c>
      <c r="K1847" s="119">
        <f>D1840</f>
        <v>5029628.4790000003</v>
      </c>
      <c r="L1847" s="119">
        <f>D1842</f>
        <v>16586553.91</v>
      </c>
      <c r="M1847" s="18">
        <f>(K1847/L1847-1)</f>
        <v>-0.69676471036170762</v>
      </c>
      <c r="N1847" s="73">
        <f>D1841</f>
        <v>4549208.8150000004</v>
      </c>
      <c r="O1847" s="22">
        <f>(K1847/N1847-1)</f>
        <v>0.10560510267541989</v>
      </c>
    </row>
    <row r="1848" spans="1:17" x14ac:dyDescent="0.25">
      <c r="A1848" s="30" t="s">
        <v>870</v>
      </c>
      <c r="B1848" s="30" t="s">
        <v>333</v>
      </c>
      <c r="C1848" s="30">
        <v>25</v>
      </c>
      <c r="D1848" s="190">
        <v>575843.20600000001</v>
      </c>
      <c r="E1848" s="30" t="s">
        <v>10</v>
      </c>
      <c r="F1848" s="190">
        <v>41300.940999999999</v>
      </c>
      <c r="G1848" s="30" t="s">
        <v>335</v>
      </c>
      <c r="H1848" s="30"/>
      <c r="J1848" s="6">
        <v>50000</v>
      </c>
      <c r="K1848" s="119">
        <f>D1844</f>
        <v>2832150.8859999999</v>
      </c>
      <c r="L1848" s="119">
        <f>D1846</f>
        <v>5696586.8720000004</v>
      </c>
      <c r="M1848" s="18">
        <f t="shared" ref="M1848:M1851" si="203">(K1848/L1848-1)</f>
        <v>-0.50283372313329311</v>
      </c>
      <c r="N1848" s="73">
        <f>D1845</f>
        <v>1715264.017</v>
      </c>
      <c r="O1848" s="22">
        <f t="shared" ref="O1848:O1851" si="204">(K1848/N1848-1)</f>
        <v>0.65114574662006675</v>
      </c>
    </row>
    <row r="1849" spans="1:17" x14ac:dyDescent="0.25">
      <c r="A1849" s="30" t="s">
        <v>871</v>
      </c>
      <c r="B1849" s="30" t="s">
        <v>333</v>
      </c>
      <c r="C1849" s="30">
        <v>25</v>
      </c>
      <c r="D1849" s="190">
        <v>332796.87099999998</v>
      </c>
      <c r="E1849" s="30" t="s">
        <v>10</v>
      </c>
      <c r="F1849" s="190">
        <v>3231.76</v>
      </c>
      <c r="G1849" s="30" t="s">
        <v>335</v>
      </c>
      <c r="H1849" s="30"/>
      <c r="J1849" s="6">
        <v>10000</v>
      </c>
      <c r="K1849" s="119">
        <f>D1848</f>
        <v>575843.20600000001</v>
      </c>
      <c r="L1849" s="119">
        <f>D1850</f>
        <v>1203303.1340000001</v>
      </c>
      <c r="M1849" s="18">
        <f t="shared" si="203"/>
        <v>-0.52144792967854103</v>
      </c>
      <c r="N1849" s="73">
        <f>D1849</f>
        <v>332796.87099999998</v>
      </c>
      <c r="O1849" s="22">
        <f t="shared" si="204"/>
        <v>0.73031436344243761</v>
      </c>
    </row>
    <row r="1850" spans="1:17" x14ac:dyDescent="0.25">
      <c r="A1850" s="30" t="s">
        <v>872</v>
      </c>
      <c r="B1850" s="30" t="s">
        <v>333</v>
      </c>
      <c r="C1850" s="30">
        <v>25</v>
      </c>
      <c r="D1850" s="190">
        <v>1203303.1340000001</v>
      </c>
      <c r="E1850" s="30" t="s">
        <v>10</v>
      </c>
      <c r="F1850" s="190">
        <v>7715.2359999999999</v>
      </c>
      <c r="G1850" s="30" t="s">
        <v>335</v>
      </c>
      <c r="H1850" s="30"/>
      <c r="J1850" s="67">
        <v>1000</v>
      </c>
      <c r="K1850" s="119">
        <f>D1852</f>
        <v>58424.565999999999</v>
      </c>
      <c r="L1850" s="119">
        <f>D1854</f>
        <v>116691.43</v>
      </c>
      <c r="M1850" s="18">
        <f t="shared" si="203"/>
        <v>-0.49932427771259635</v>
      </c>
      <c r="N1850" s="73">
        <f>D1853</f>
        <v>33123.591999999997</v>
      </c>
      <c r="O1850" s="22">
        <f t="shared" si="204"/>
        <v>0.76383545600972269</v>
      </c>
    </row>
    <row r="1851" spans="1:17" ht="20" thickBot="1" x14ac:dyDescent="0.3">
      <c r="A1851" s="30" t="s">
        <v>873</v>
      </c>
      <c r="B1851" s="30" t="s">
        <v>333</v>
      </c>
      <c r="C1851" s="30">
        <v>25</v>
      </c>
      <c r="D1851" s="190">
        <v>49804.932000000001</v>
      </c>
      <c r="E1851" s="30" t="s">
        <v>10</v>
      </c>
      <c r="F1851" s="190">
        <v>430.67200000000003</v>
      </c>
      <c r="G1851" s="30" t="s">
        <v>335</v>
      </c>
      <c r="H1851" s="30"/>
      <c r="J1851" s="68">
        <v>100</v>
      </c>
      <c r="K1851" s="120">
        <f>D1856</f>
        <v>5847.4769999999999</v>
      </c>
      <c r="L1851" s="120">
        <f>D1858</f>
        <v>10779.902</v>
      </c>
      <c r="M1851" s="19">
        <f t="shared" si="203"/>
        <v>-0.45755749913125376</v>
      </c>
      <c r="N1851" s="74">
        <f>D1857</f>
        <v>3345.6709999999998</v>
      </c>
      <c r="O1851" s="23">
        <f t="shared" si="204"/>
        <v>0.74777406385744438</v>
      </c>
    </row>
    <row r="1852" spans="1:17" x14ac:dyDescent="0.25">
      <c r="A1852" s="30" t="s">
        <v>874</v>
      </c>
      <c r="B1852" s="30" t="s">
        <v>333</v>
      </c>
      <c r="C1852" s="30">
        <v>25</v>
      </c>
      <c r="D1852" s="190">
        <v>58424.565999999999</v>
      </c>
      <c r="E1852" s="30" t="s">
        <v>10</v>
      </c>
      <c r="F1852" s="190">
        <v>453.59100000000001</v>
      </c>
      <c r="G1852" s="30" t="s">
        <v>335</v>
      </c>
      <c r="H1852" s="30"/>
    </row>
    <row r="1853" spans="1:17" x14ac:dyDescent="0.25">
      <c r="A1853" s="30" t="s">
        <v>875</v>
      </c>
      <c r="B1853" s="30" t="s">
        <v>333</v>
      </c>
      <c r="C1853" s="30">
        <v>25</v>
      </c>
      <c r="D1853" s="190">
        <v>33123.591999999997</v>
      </c>
      <c r="E1853" s="30" t="s">
        <v>10</v>
      </c>
      <c r="F1853" s="190">
        <v>324.923</v>
      </c>
      <c r="G1853" s="30" t="s">
        <v>335</v>
      </c>
      <c r="H1853" s="30"/>
    </row>
    <row r="1854" spans="1:17" x14ac:dyDescent="0.25">
      <c r="A1854" s="30" t="s">
        <v>876</v>
      </c>
      <c r="B1854" s="30" t="s">
        <v>333</v>
      </c>
      <c r="C1854" s="30">
        <v>25</v>
      </c>
      <c r="D1854" s="190">
        <v>116691.43</v>
      </c>
      <c r="E1854" s="30" t="s">
        <v>10</v>
      </c>
      <c r="F1854" s="190">
        <v>771.86900000000003</v>
      </c>
      <c r="G1854" s="30" t="s">
        <v>335</v>
      </c>
      <c r="H1854" s="30"/>
    </row>
    <row r="1855" spans="1:17" x14ac:dyDescent="0.25">
      <c r="A1855" s="30" t="s">
        <v>877</v>
      </c>
      <c r="B1855" s="30" t="s">
        <v>333</v>
      </c>
      <c r="C1855" s="30">
        <v>25</v>
      </c>
      <c r="D1855" s="190">
        <v>4893.3779999999997</v>
      </c>
      <c r="E1855" s="30" t="s">
        <v>10</v>
      </c>
      <c r="F1855" s="190">
        <v>44.067</v>
      </c>
      <c r="G1855" s="30" t="s">
        <v>335</v>
      </c>
      <c r="H1855" s="30"/>
    </row>
    <row r="1856" spans="1:17" x14ac:dyDescent="0.25">
      <c r="A1856" s="30" t="s">
        <v>878</v>
      </c>
      <c r="B1856" s="30" t="s">
        <v>333</v>
      </c>
      <c r="C1856" s="30">
        <v>25</v>
      </c>
      <c r="D1856" s="190">
        <v>5847.4769999999999</v>
      </c>
      <c r="E1856" s="30" t="s">
        <v>10</v>
      </c>
      <c r="F1856" s="190">
        <v>59.194000000000003</v>
      </c>
      <c r="G1856" s="30" t="s">
        <v>335</v>
      </c>
      <c r="H1856" s="30"/>
    </row>
    <row r="1857" spans="1:15" x14ac:dyDescent="0.25">
      <c r="A1857" s="30" t="s">
        <v>879</v>
      </c>
      <c r="B1857" s="30" t="s">
        <v>333</v>
      </c>
      <c r="C1857" s="30">
        <v>25</v>
      </c>
      <c r="D1857" s="190">
        <v>3345.6709999999998</v>
      </c>
      <c r="E1857" s="30" t="s">
        <v>10</v>
      </c>
      <c r="F1857" s="190">
        <v>20.562999999999999</v>
      </c>
      <c r="G1857" s="30" t="s">
        <v>335</v>
      </c>
      <c r="H1857" s="30"/>
    </row>
    <row r="1858" spans="1:15" x14ac:dyDescent="0.25">
      <c r="A1858" s="30" t="s">
        <v>880</v>
      </c>
      <c r="B1858" s="30" t="s">
        <v>333</v>
      </c>
      <c r="C1858" s="30">
        <v>25</v>
      </c>
      <c r="D1858" s="190">
        <v>10779.902</v>
      </c>
      <c r="E1858" s="30" t="s">
        <v>10</v>
      </c>
      <c r="F1858" s="190">
        <v>94.826999999999998</v>
      </c>
      <c r="G1858" s="30" t="s">
        <v>335</v>
      </c>
      <c r="H1858" s="30"/>
    </row>
    <row r="1859" spans="1:15" x14ac:dyDescent="0.25">
      <c r="A1859" s="30"/>
      <c r="B1859" s="30"/>
      <c r="C1859" s="30"/>
      <c r="D1859" s="190"/>
      <c r="E1859" s="30"/>
      <c r="F1859" s="190"/>
      <c r="G1859" s="30"/>
      <c r="H1859" s="30"/>
    </row>
    <row r="1860" spans="1:15" x14ac:dyDescent="0.25">
      <c r="A1860" s="30" t="s">
        <v>881</v>
      </c>
      <c r="B1860" s="30"/>
      <c r="C1860" s="30"/>
      <c r="D1860" s="190"/>
      <c r="E1860" s="30"/>
      <c r="F1860" s="190"/>
      <c r="G1860" s="30"/>
      <c r="H1860" s="30"/>
    </row>
    <row r="1861" spans="1:15" ht="20" thickBot="1" x14ac:dyDescent="0.3">
      <c r="A1861" s="30" t="s">
        <v>2</v>
      </c>
      <c r="B1861" s="30" t="s">
        <v>3</v>
      </c>
      <c r="C1861" s="30" t="s">
        <v>4</v>
      </c>
      <c r="D1861" s="190" t="s">
        <v>5</v>
      </c>
      <c r="E1861" s="30" t="s">
        <v>6</v>
      </c>
      <c r="F1861" s="190" t="s">
        <v>7</v>
      </c>
      <c r="G1861" s="30"/>
      <c r="H1861" s="30"/>
    </row>
    <row r="1862" spans="1:15" x14ac:dyDescent="0.25">
      <c r="A1862" s="30" t="s">
        <v>882</v>
      </c>
      <c r="B1862" s="30" t="s">
        <v>333</v>
      </c>
      <c r="C1862" s="30">
        <v>25</v>
      </c>
      <c r="D1862" s="190">
        <v>1981019.334</v>
      </c>
      <c r="E1862" s="30" t="s">
        <v>10</v>
      </c>
      <c r="F1862" s="190">
        <v>175406.49900000001</v>
      </c>
      <c r="G1862" s="30" t="s">
        <v>335</v>
      </c>
      <c r="H1862" s="30"/>
      <c r="J1862" s="5" t="s">
        <v>881</v>
      </c>
      <c r="K1862" s="72" t="s">
        <v>340</v>
      </c>
      <c r="L1862" s="72" t="s">
        <v>341</v>
      </c>
      <c r="M1862" s="17" t="s">
        <v>162</v>
      </c>
      <c r="N1862" s="72" t="s">
        <v>342</v>
      </c>
      <c r="O1862" s="21" t="s">
        <v>162</v>
      </c>
    </row>
    <row r="1863" spans="1:15" x14ac:dyDescent="0.25">
      <c r="A1863" s="30" t="s">
        <v>883</v>
      </c>
      <c r="B1863" s="30" t="s">
        <v>333</v>
      </c>
      <c r="C1863" s="30">
        <v>25</v>
      </c>
      <c r="D1863" s="190">
        <v>1673110.442</v>
      </c>
      <c r="E1863" s="30" t="s">
        <v>10</v>
      </c>
      <c r="F1863" s="190">
        <v>118932.74400000001</v>
      </c>
      <c r="G1863" s="30" t="s">
        <v>335</v>
      </c>
      <c r="H1863" s="30"/>
      <c r="J1863" s="6">
        <v>100000</v>
      </c>
      <c r="K1863" s="119">
        <f>D1862</f>
        <v>1981019.334</v>
      </c>
      <c r="L1863" s="119">
        <f>D1863</f>
        <v>1673110.442</v>
      </c>
      <c r="M1863" s="18">
        <f>(K1863/L1863-1)</f>
        <v>0.18403381167828492</v>
      </c>
      <c r="N1863" s="73">
        <f>D1864</f>
        <v>2671647.753</v>
      </c>
      <c r="O1863" s="22">
        <f>(K1863/N1863-1)</f>
        <v>-0.25850279784245189</v>
      </c>
    </row>
    <row r="1864" spans="1:15" x14ac:dyDescent="0.25">
      <c r="A1864" s="30" t="s">
        <v>884</v>
      </c>
      <c r="B1864" s="30" t="s">
        <v>333</v>
      </c>
      <c r="C1864" s="30">
        <v>25</v>
      </c>
      <c r="D1864" s="190">
        <v>2671647.753</v>
      </c>
      <c r="E1864" s="30" t="s">
        <v>10</v>
      </c>
      <c r="F1864" s="190">
        <v>45356.220999999998</v>
      </c>
      <c r="G1864" s="30" t="s">
        <v>335</v>
      </c>
      <c r="H1864" s="30"/>
      <c r="J1864" s="6">
        <v>50000</v>
      </c>
      <c r="K1864" s="119">
        <f>D1865</f>
        <v>862142.46100000001</v>
      </c>
      <c r="L1864" s="119">
        <f>D1866</f>
        <v>931856.33799999999</v>
      </c>
      <c r="M1864" s="18">
        <f t="shared" ref="M1864:M1867" si="205">(K1864/L1864-1)</f>
        <v>-7.4811828988171736E-2</v>
      </c>
      <c r="N1864" s="73">
        <f>D1867</f>
        <v>1303263.395</v>
      </c>
      <c r="O1864" s="22">
        <f t="shared" ref="O1864:O1867" si="206">(K1864/N1864-1)</f>
        <v>-0.33847412249309738</v>
      </c>
    </row>
    <row r="1865" spans="1:15" x14ac:dyDescent="0.25">
      <c r="A1865" s="30" t="s">
        <v>885</v>
      </c>
      <c r="B1865" s="30" t="s">
        <v>333</v>
      </c>
      <c r="C1865" s="30">
        <v>25</v>
      </c>
      <c r="D1865" s="190">
        <v>862142.46100000001</v>
      </c>
      <c r="E1865" s="30" t="s">
        <v>10</v>
      </c>
      <c r="F1865" s="190">
        <v>49186.370999999999</v>
      </c>
      <c r="G1865" s="30" t="s">
        <v>335</v>
      </c>
      <c r="H1865" s="30"/>
      <c r="J1865" s="6">
        <v>10000</v>
      </c>
      <c r="K1865" s="119">
        <f>D1868</f>
        <v>157072.23199999999</v>
      </c>
      <c r="L1865" s="119">
        <f>D1869</f>
        <v>163584.29500000001</v>
      </c>
      <c r="M1865" s="18">
        <f t="shared" si="205"/>
        <v>-3.9808607543896701E-2</v>
      </c>
      <c r="N1865" s="73">
        <f>D1870</f>
        <v>266938.348</v>
      </c>
      <c r="O1865" s="22">
        <f t="shared" si="206"/>
        <v>-0.41157861664746653</v>
      </c>
    </row>
    <row r="1866" spans="1:15" x14ac:dyDescent="0.25">
      <c r="A1866" s="30" t="s">
        <v>886</v>
      </c>
      <c r="B1866" s="30" t="s">
        <v>333</v>
      </c>
      <c r="C1866" s="30">
        <v>25</v>
      </c>
      <c r="D1866" s="190">
        <v>931856.33799999999</v>
      </c>
      <c r="E1866" s="30" t="s">
        <v>10</v>
      </c>
      <c r="F1866" s="190">
        <v>58964.841</v>
      </c>
      <c r="G1866" s="30" t="s">
        <v>335</v>
      </c>
      <c r="H1866" s="30"/>
      <c r="J1866" s="67">
        <v>1000</v>
      </c>
      <c r="K1866" s="119">
        <f>D1871</f>
        <v>12747.538</v>
      </c>
      <c r="L1866" s="119">
        <f>D1872</f>
        <v>12579.261</v>
      </c>
      <c r="M1866" s="18">
        <f t="shared" si="205"/>
        <v>1.3377335918222766E-2</v>
      </c>
      <c r="N1866" s="73">
        <f>D1873</f>
        <v>16799.281999999999</v>
      </c>
      <c r="O1866" s="22">
        <f t="shared" si="206"/>
        <v>-0.241185545906069</v>
      </c>
    </row>
    <row r="1867" spans="1:15" ht="20" thickBot="1" x14ac:dyDescent="0.3">
      <c r="A1867" s="30" t="s">
        <v>887</v>
      </c>
      <c r="B1867" s="30" t="s">
        <v>333</v>
      </c>
      <c r="C1867" s="30">
        <v>25</v>
      </c>
      <c r="D1867" s="190">
        <v>1303263.395</v>
      </c>
      <c r="E1867" s="30" t="s">
        <v>10</v>
      </c>
      <c r="F1867" s="190">
        <v>21388.297999999999</v>
      </c>
      <c r="G1867" s="30" t="s">
        <v>335</v>
      </c>
      <c r="H1867" s="30"/>
      <c r="J1867" s="68">
        <v>100</v>
      </c>
      <c r="K1867" s="120">
        <f>D1874</f>
        <v>1242.316</v>
      </c>
      <c r="L1867" s="120">
        <f>D1875</f>
        <v>1242.3920000000001</v>
      </c>
      <c r="M1867" s="19">
        <f t="shared" si="205"/>
        <v>-6.1172319203661729E-5</v>
      </c>
      <c r="N1867" s="74">
        <f>D1876</f>
        <v>1607.45</v>
      </c>
      <c r="O1867" s="23">
        <f t="shared" si="206"/>
        <v>-0.22715107779402155</v>
      </c>
    </row>
    <row r="1868" spans="1:15" ht="20" thickBot="1" x14ac:dyDescent="0.3">
      <c r="A1868" s="30" t="s">
        <v>888</v>
      </c>
      <c r="B1868" s="30" t="s">
        <v>333</v>
      </c>
      <c r="C1868" s="30">
        <v>25</v>
      </c>
      <c r="D1868" s="190">
        <v>157072.23199999999</v>
      </c>
      <c r="E1868" s="30" t="s">
        <v>10</v>
      </c>
      <c r="F1868" s="190">
        <v>1820.941</v>
      </c>
      <c r="G1868" s="30" t="s">
        <v>335</v>
      </c>
      <c r="H1868" s="30"/>
    </row>
    <row r="1869" spans="1:15" x14ac:dyDescent="0.25">
      <c r="A1869" s="30" t="s">
        <v>889</v>
      </c>
      <c r="B1869" s="30" t="s">
        <v>333</v>
      </c>
      <c r="C1869" s="30">
        <v>25</v>
      </c>
      <c r="D1869" s="190">
        <v>163584.29500000001</v>
      </c>
      <c r="E1869" s="30" t="s">
        <v>10</v>
      </c>
      <c r="F1869" s="190">
        <v>1275.402</v>
      </c>
      <c r="G1869" s="30" t="s">
        <v>335</v>
      </c>
      <c r="H1869" s="30"/>
      <c r="J1869" s="5" t="s">
        <v>881</v>
      </c>
      <c r="K1869" s="72" t="s">
        <v>341</v>
      </c>
      <c r="L1869" s="72" t="s">
        <v>342</v>
      </c>
      <c r="M1869" s="21" t="s">
        <v>162</v>
      </c>
    </row>
    <row r="1870" spans="1:15" x14ac:dyDescent="0.25">
      <c r="A1870" s="30" t="s">
        <v>890</v>
      </c>
      <c r="B1870" s="30" t="s">
        <v>333</v>
      </c>
      <c r="C1870" s="30">
        <v>25</v>
      </c>
      <c r="D1870" s="190">
        <v>266938.348</v>
      </c>
      <c r="E1870" s="30" t="s">
        <v>10</v>
      </c>
      <c r="F1870" s="190">
        <v>2243.6759999999999</v>
      </c>
      <c r="G1870" s="30" t="s">
        <v>335</v>
      </c>
      <c r="H1870" s="30"/>
      <c r="J1870" s="6">
        <v>100000</v>
      </c>
      <c r="K1870" s="119">
        <f>D1863</f>
        <v>1673110.442</v>
      </c>
      <c r="L1870" s="119">
        <f>D1864</f>
        <v>2671647.753</v>
      </c>
      <c r="M1870" s="22">
        <f>(K1870/L1870-1)</f>
        <v>-0.37375335497680784</v>
      </c>
    </row>
    <row r="1871" spans="1:15" x14ac:dyDescent="0.25">
      <c r="A1871" s="30" t="s">
        <v>891</v>
      </c>
      <c r="B1871" s="30" t="s">
        <v>333</v>
      </c>
      <c r="C1871" s="30">
        <v>25</v>
      </c>
      <c r="D1871" s="190">
        <v>12747.538</v>
      </c>
      <c r="E1871" s="30" t="s">
        <v>10</v>
      </c>
      <c r="F1871" s="190">
        <v>132.79499999999999</v>
      </c>
      <c r="G1871" s="30" t="s">
        <v>335</v>
      </c>
      <c r="H1871" s="30"/>
      <c r="J1871" s="6">
        <v>50000</v>
      </c>
      <c r="K1871" s="119">
        <f>D1866</f>
        <v>931856.33799999999</v>
      </c>
      <c r="L1871" s="119">
        <f>D1867</f>
        <v>1303263.395</v>
      </c>
      <c r="M1871" s="22">
        <f t="shared" ref="M1871:M1874" si="207">(K1871/L1871-1)</f>
        <v>-0.2849823438799185</v>
      </c>
    </row>
    <row r="1872" spans="1:15" x14ac:dyDescent="0.25">
      <c r="A1872" s="30" t="s">
        <v>892</v>
      </c>
      <c r="B1872" s="30" t="s">
        <v>333</v>
      </c>
      <c r="C1872" s="30">
        <v>25</v>
      </c>
      <c r="D1872" s="190">
        <v>12579.261</v>
      </c>
      <c r="E1872" s="30" t="s">
        <v>10</v>
      </c>
      <c r="F1872" s="190">
        <v>93.141999999999996</v>
      </c>
      <c r="G1872" s="30" t="s">
        <v>335</v>
      </c>
      <c r="H1872" s="30"/>
      <c r="J1872" s="6">
        <v>10000</v>
      </c>
      <c r="K1872" s="119">
        <f>D1869</f>
        <v>163584.29500000001</v>
      </c>
      <c r="L1872" s="119">
        <f>D1870</f>
        <v>266938.348</v>
      </c>
      <c r="M1872" s="22">
        <f t="shared" si="207"/>
        <v>-0.3871832345347398</v>
      </c>
    </row>
    <row r="1873" spans="1:15" x14ac:dyDescent="0.25">
      <c r="A1873" s="30" t="s">
        <v>893</v>
      </c>
      <c r="B1873" s="30" t="s">
        <v>333</v>
      </c>
      <c r="C1873" s="30">
        <v>25</v>
      </c>
      <c r="D1873" s="190">
        <v>16799.281999999999</v>
      </c>
      <c r="E1873" s="30" t="s">
        <v>10</v>
      </c>
      <c r="F1873" s="190">
        <v>287.37400000000002</v>
      </c>
      <c r="G1873" s="30" t="s">
        <v>335</v>
      </c>
      <c r="H1873" s="30"/>
      <c r="J1873" s="67">
        <v>1000</v>
      </c>
      <c r="K1873" s="119">
        <f>D1872</f>
        <v>12579.261</v>
      </c>
      <c r="L1873" s="119">
        <f>D1873</f>
        <v>16799.281999999999</v>
      </c>
      <c r="M1873" s="22">
        <f t="shared" si="207"/>
        <v>-0.25120246210522568</v>
      </c>
    </row>
    <row r="1874" spans="1:15" ht="20" thickBot="1" x14ac:dyDescent="0.3">
      <c r="A1874" s="30" t="s">
        <v>894</v>
      </c>
      <c r="B1874" s="30" t="s">
        <v>333</v>
      </c>
      <c r="C1874" s="30">
        <v>25</v>
      </c>
      <c r="D1874" s="190">
        <v>1242.316</v>
      </c>
      <c r="E1874" s="30" t="s">
        <v>10</v>
      </c>
      <c r="F1874" s="190">
        <v>19.187999999999999</v>
      </c>
      <c r="G1874" s="30" t="s">
        <v>335</v>
      </c>
      <c r="H1874" s="30"/>
      <c r="J1874" s="68">
        <v>100</v>
      </c>
      <c r="K1874" s="120">
        <f>D1875</f>
        <v>1242.3920000000001</v>
      </c>
      <c r="L1874" s="120">
        <f>D1876</f>
        <v>1607.45</v>
      </c>
      <c r="M1874" s="23">
        <f t="shared" si="207"/>
        <v>-0.22710379794083801</v>
      </c>
    </row>
    <row r="1875" spans="1:15" x14ac:dyDescent="0.25">
      <c r="A1875" s="30" t="s">
        <v>895</v>
      </c>
      <c r="B1875" s="30" t="s">
        <v>333</v>
      </c>
      <c r="C1875" s="30">
        <v>25</v>
      </c>
      <c r="D1875" s="190">
        <v>1242.3920000000001</v>
      </c>
      <c r="E1875" s="30" t="s">
        <v>10</v>
      </c>
      <c r="F1875" s="190">
        <v>14.005000000000001</v>
      </c>
      <c r="G1875" s="30" t="s">
        <v>335</v>
      </c>
      <c r="H1875" s="30"/>
    </row>
    <row r="1876" spans="1:15" x14ac:dyDescent="0.25">
      <c r="A1876" s="30" t="s">
        <v>896</v>
      </c>
      <c r="B1876" s="30" t="s">
        <v>333</v>
      </c>
      <c r="C1876" s="30">
        <v>25</v>
      </c>
      <c r="D1876" s="190">
        <v>1607.45</v>
      </c>
      <c r="E1876" s="30" t="s">
        <v>10</v>
      </c>
      <c r="F1876" s="190">
        <v>11.757999999999999</v>
      </c>
      <c r="G1876" s="30" t="s">
        <v>335</v>
      </c>
      <c r="H1876" s="30"/>
    </row>
    <row r="1877" spans="1:15" x14ac:dyDescent="0.25">
      <c r="A1877" s="30"/>
      <c r="B1877" s="30"/>
      <c r="C1877" s="30"/>
      <c r="D1877" s="190"/>
      <c r="E1877" s="30"/>
      <c r="F1877" s="190"/>
      <c r="G1877" s="30"/>
      <c r="H1877" s="30"/>
    </row>
    <row r="1878" spans="1:15" x14ac:dyDescent="0.25">
      <c r="A1878" s="30" t="s">
        <v>897</v>
      </c>
      <c r="B1878" s="30"/>
      <c r="C1878" s="30"/>
      <c r="D1878" s="190"/>
      <c r="E1878" s="30"/>
      <c r="F1878" s="190"/>
      <c r="G1878" s="30"/>
      <c r="H1878" s="30"/>
    </row>
    <row r="1879" spans="1:15" ht="20" thickBot="1" x14ac:dyDescent="0.3">
      <c r="A1879" s="30" t="s">
        <v>2</v>
      </c>
      <c r="B1879" s="30" t="s">
        <v>3</v>
      </c>
      <c r="C1879" s="30" t="s">
        <v>4</v>
      </c>
      <c r="D1879" s="190" t="s">
        <v>5</v>
      </c>
      <c r="E1879" s="30" t="s">
        <v>6</v>
      </c>
      <c r="F1879" s="190" t="s">
        <v>7</v>
      </c>
      <c r="G1879" s="30"/>
      <c r="H1879" s="30"/>
    </row>
    <row r="1880" spans="1:15" x14ac:dyDescent="0.25">
      <c r="A1880" s="30" t="s">
        <v>898</v>
      </c>
      <c r="B1880" s="30" t="s">
        <v>333</v>
      </c>
      <c r="C1880" s="30">
        <v>25</v>
      </c>
      <c r="D1880" s="190">
        <v>4729086.7479999997</v>
      </c>
      <c r="E1880" s="30" t="s">
        <v>10</v>
      </c>
      <c r="F1880" s="190">
        <v>92267.115999999995</v>
      </c>
      <c r="G1880" s="30" t="s">
        <v>335</v>
      </c>
      <c r="H1880" s="30"/>
      <c r="J1880" s="5" t="s">
        <v>897</v>
      </c>
      <c r="K1880" s="72" t="s">
        <v>340</v>
      </c>
      <c r="L1880" s="72" t="s">
        <v>341</v>
      </c>
      <c r="M1880" s="17" t="s">
        <v>162</v>
      </c>
      <c r="N1880" s="72" t="s">
        <v>342</v>
      </c>
      <c r="O1880" s="21" t="s">
        <v>162</v>
      </c>
    </row>
    <row r="1881" spans="1:15" x14ac:dyDescent="0.25">
      <c r="A1881" s="30" t="s">
        <v>899</v>
      </c>
      <c r="B1881" s="30" t="s">
        <v>333</v>
      </c>
      <c r="C1881" s="30">
        <v>25</v>
      </c>
      <c r="D1881" s="190">
        <v>4460491.8159999996</v>
      </c>
      <c r="E1881" s="30" t="s">
        <v>10</v>
      </c>
      <c r="F1881" s="190">
        <v>71461.741999999998</v>
      </c>
      <c r="G1881" s="30" t="s">
        <v>335</v>
      </c>
      <c r="H1881" s="30"/>
      <c r="J1881" s="6">
        <v>100000</v>
      </c>
      <c r="K1881" s="119">
        <f>D1880</f>
        <v>4729086.7479999997</v>
      </c>
      <c r="L1881" s="119">
        <f>D1881</f>
        <v>4460491.8159999996</v>
      </c>
      <c r="M1881" s="18">
        <f>(K1881/L1881-1)</f>
        <v>6.0216438697754615E-2</v>
      </c>
      <c r="N1881" s="73">
        <f>D1882</f>
        <v>4986779.6529999999</v>
      </c>
      <c r="O1881" s="22">
        <f>(K1881/N1881-1)</f>
        <v>-5.1675213851683721E-2</v>
      </c>
    </row>
    <row r="1882" spans="1:15" x14ac:dyDescent="0.25">
      <c r="A1882" s="30" t="s">
        <v>900</v>
      </c>
      <c r="B1882" s="30" t="s">
        <v>333</v>
      </c>
      <c r="C1882" s="30">
        <v>25</v>
      </c>
      <c r="D1882" s="190">
        <v>4986779.6529999999</v>
      </c>
      <c r="E1882" s="30" t="s">
        <v>10</v>
      </c>
      <c r="F1882" s="190">
        <v>106289.27099999999</v>
      </c>
      <c r="G1882" s="30" t="s">
        <v>335</v>
      </c>
      <c r="H1882" s="30"/>
      <c r="J1882" s="6">
        <v>50000</v>
      </c>
      <c r="K1882" s="119">
        <f>D1883</f>
        <v>2141358.645</v>
      </c>
      <c r="L1882" s="119">
        <f>D1884</f>
        <v>2141210.1630000002</v>
      </c>
      <c r="M1882" s="18">
        <f t="shared" ref="M1882:M1885" si="208">(K1882/L1882-1)</f>
        <v>6.9344897836609576E-5</v>
      </c>
      <c r="N1882" s="73">
        <f>D1885</f>
        <v>2251015.5329999998</v>
      </c>
      <c r="O1882" s="22">
        <f t="shared" ref="O1882:O1885" si="209">(K1882/N1882-1)</f>
        <v>-4.8714407516262881E-2</v>
      </c>
    </row>
    <row r="1883" spans="1:15" x14ac:dyDescent="0.25">
      <c r="A1883" s="30" t="s">
        <v>901</v>
      </c>
      <c r="B1883" s="30" t="s">
        <v>333</v>
      </c>
      <c r="C1883" s="30">
        <v>25</v>
      </c>
      <c r="D1883" s="190">
        <v>2141358.645</v>
      </c>
      <c r="E1883" s="30" t="s">
        <v>10</v>
      </c>
      <c r="F1883" s="190">
        <v>54738.498</v>
      </c>
      <c r="G1883" s="30" t="s">
        <v>335</v>
      </c>
      <c r="H1883" s="30"/>
      <c r="J1883" s="6">
        <v>10000</v>
      </c>
      <c r="K1883" s="119">
        <f>D1886</f>
        <v>347207.79200000002</v>
      </c>
      <c r="L1883" s="119">
        <f>D1887</f>
        <v>350290.18199999997</v>
      </c>
      <c r="M1883" s="18">
        <f t="shared" si="208"/>
        <v>-8.7995329540807576E-3</v>
      </c>
      <c r="N1883" s="73">
        <f>D1888</f>
        <v>329809.44400000002</v>
      </c>
      <c r="O1883" s="22">
        <f t="shared" si="209"/>
        <v>5.2752728329998888E-2</v>
      </c>
    </row>
    <row r="1884" spans="1:15" x14ac:dyDescent="0.25">
      <c r="A1884" s="30" t="s">
        <v>902</v>
      </c>
      <c r="B1884" s="30" t="s">
        <v>333</v>
      </c>
      <c r="C1884" s="30">
        <v>25</v>
      </c>
      <c r="D1884" s="190">
        <v>2141210.1630000002</v>
      </c>
      <c r="E1884" s="30" t="s">
        <v>10</v>
      </c>
      <c r="F1884" s="190">
        <v>32104.251</v>
      </c>
      <c r="G1884" s="30" t="s">
        <v>335</v>
      </c>
      <c r="H1884" s="30"/>
      <c r="J1884" s="67">
        <v>1000</v>
      </c>
      <c r="K1884" s="119">
        <f>D1889</f>
        <v>28685.64</v>
      </c>
      <c r="L1884" s="119">
        <f>D1890</f>
        <v>27661.183000000001</v>
      </c>
      <c r="M1884" s="18">
        <f t="shared" si="208"/>
        <v>3.703590696030612E-2</v>
      </c>
      <c r="N1884" s="73">
        <f>D1891</f>
        <v>26861.341</v>
      </c>
      <c r="O1884" s="22">
        <f t="shared" si="209"/>
        <v>6.7915410477831228E-2</v>
      </c>
    </row>
    <row r="1885" spans="1:15" ht="20" thickBot="1" x14ac:dyDescent="0.3">
      <c r="A1885" s="30" t="s">
        <v>903</v>
      </c>
      <c r="B1885" s="30" t="s">
        <v>333</v>
      </c>
      <c r="C1885" s="30">
        <v>25</v>
      </c>
      <c r="D1885" s="190">
        <v>2251015.5329999998</v>
      </c>
      <c r="E1885" s="30" t="s">
        <v>10</v>
      </c>
      <c r="F1885" s="190">
        <v>21536.368999999999</v>
      </c>
      <c r="G1885" s="30" t="s">
        <v>335</v>
      </c>
      <c r="H1885" s="30"/>
      <c r="J1885" s="68">
        <v>100</v>
      </c>
      <c r="K1885" s="120">
        <f>D1892</f>
        <v>2358.3440000000001</v>
      </c>
      <c r="L1885" s="120">
        <f>D1893</f>
        <v>2350.9279999999999</v>
      </c>
      <c r="M1885" s="19">
        <f t="shared" si="208"/>
        <v>3.1544989893352859E-3</v>
      </c>
      <c r="N1885" s="74">
        <f>D1894</f>
        <v>2484.3389999999999</v>
      </c>
      <c r="O1885" s="23">
        <f t="shared" si="209"/>
        <v>-5.0715703452709149E-2</v>
      </c>
    </row>
    <row r="1886" spans="1:15" ht="20" thickBot="1" x14ac:dyDescent="0.3">
      <c r="A1886" s="30" t="s">
        <v>904</v>
      </c>
      <c r="B1886" s="30" t="s">
        <v>333</v>
      </c>
      <c r="C1886" s="30">
        <v>25</v>
      </c>
      <c r="D1886" s="190">
        <v>347207.79200000002</v>
      </c>
      <c r="E1886" s="30" t="s">
        <v>10</v>
      </c>
      <c r="F1886" s="190">
        <v>3423.5430000000001</v>
      </c>
      <c r="G1886" s="30" t="s">
        <v>335</v>
      </c>
      <c r="H1886" s="30"/>
    </row>
    <row r="1887" spans="1:15" x14ac:dyDescent="0.25">
      <c r="A1887" s="30" t="s">
        <v>905</v>
      </c>
      <c r="B1887" s="30" t="s">
        <v>333</v>
      </c>
      <c r="C1887" s="30">
        <v>25</v>
      </c>
      <c r="D1887" s="190">
        <v>350290.18199999997</v>
      </c>
      <c r="E1887" s="30" t="s">
        <v>10</v>
      </c>
      <c r="F1887" s="190">
        <v>3509.1390000000001</v>
      </c>
      <c r="G1887" s="30" t="s">
        <v>335</v>
      </c>
      <c r="H1887" s="30"/>
      <c r="J1887" s="5" t="s">
        <v>897</v>
      </c>
      <c r="K1887" s="72" t="s">
        <v>341</v>
      </c>
      <c r="L1887" s="72" t="s">
        <v>342</v>
      </c>
      <c r="M1887" s="21" t="s">
        <v>162</v>
      </c>
    </row>
    <row r="1888" spans="1:15" x14ac:dyDescent="0.25">
      <c r="A1888" s="30" t="s">
        <v>906</v>
      </c>
      <c r="B1888" s="30" t="s">
        <v>333</v>
      </c>
      <c r="C1888" s="30">
        <v>25</v>
      </c>
      <c r="D1888" s="190">
        <v>329809.44400000002</v>
      </c>
      <c r="E1888" s="30" t="s">
        <v>10</v>
      </c>
      <c r="F1888" s="190">
        <v>4287.1809999999996</v>
      </c>
      <c r="G1888" s="30" t="s">
        <v>335</v>
      </c>
      <c r="H1888" s="30"/>
      <c r="J1888" s="6">
        <v>100000</v>
      </c>
      <c r="K1888" s="119">
        <f>D1881</f>
        <v>4460491.8159999996</v>
      </c>
      <c r="L1888" s="119">
        <f>D1882</f>
        <v>4986779.6529999999</v>
      </c>
      <c r="M1888" s="22">
        <f>(K1888/L1888-1)</f>
        <v>-0.10553661353041544</v>
      </c>
    </row>
    <row r="1889" spans="1:15" x14ac:dyDescent="0.25">
      <c r="A1889" s="30" t="s">
        <v>907</v>
      </c>
      <c r="B1889" s="30" t="s">
        <v>333</v>
      </c>
      <c r="C1889" s="30">
        <v>25</v>
      </c>
      <c r="D1889" s="190">
        <v>28685.64</v>
      </c>
      <c r="E1889" s="30" t="s">
        <v>10</v>
      </c>
      <c r="F1889" s="190">
        <v>288.85300000000001</v>
      </c>
      <c r="G1889" s="30" t="s">
        <v>335</v>
      </c>
      <c r="H1889" s="30"/>
      <c r="J1889" s="6">
        <v>50000</v>
      </c>
      <c r="K1889" s="119">
        <f>D1884</f>
        <v>2141210.1630000002</v>
      </c>
      <c r="L1889" s="119">
        <f>D1885</f>
        <v>2251015.5329999998</v>
      </c>
      <c r="M1889" s="22">
        <f t="shared" ref="M1889:M1892" si="210">(K1889/L1889-1)</f>
        <v>-4.8780369744343188E-2</v>
      </c>
    </row>
    <row r="1890" spans="1:15" x14ac:dyDescent="0.25">
      <c r="A1890" s="30" t="s">
        <v>908</v>
      </c>
      <c r="B1890" s="30" t="s">
        <v>333</v>
      </c>
      <c r="C1890" s="30">
        <v>25</v>
      </c>
      <c r="D1890" s="190">
        <v>27661.183000000001</v>
      </c>
      <c r="E1890" s="30" t="s">
        <v>10</v>
      </c>
      <c r="F1890" s="190">
        <v>209.85400000000001</v>
      </c>
      <c r="G1890" s="30" t="s">
        <v>335</v>
      </c>
      <c r="H1890" s="30"/>
      <c r="J1890" s="6">
        <v>10000</v>
      </c>
      <c r="K1890" s="119">
        <f>D1887</f>
        <v>350290.18199999997</v>
      </c>
      <c r="L1890" s="119">
        <f>D1888</f>
        <v>329809.44400000002</v>
      </c>
      <c r="M1890" s="22">
        <f t="shared" si="210"/>
        <v>6.2098700848602695E-2</v>
      </c>
    </row>
    <row r="1891" spans="1:15" x14ac:dyDescent="0.25">
      <c r="A1891" s="30" t="s">
        <v>909</v>
      </c>
      <c r="B1891" s="30" t="s">
        <v>333</v>
      </c>
      <c r="C1891" s="30">
        <v>25</v>
      </c>
      <c r="D1891" s="190">
        <v>26861.341</v>
      </c>
      <c r="E1891" s="30" t="s">
        <v>10</v>
      </c>
      <c r="F1891" s="190">
        <v>248.16</v>
      </c>
      <c r="G1891" s="30" t="s">
        <v>335</v>
      </c>
      <c r="H1891" s="30"/>
      <c r="J1891" s="67">
        <v>1000</v>
      </c>
      <c r="K1891" s="119">
        <f>D1890</f>
        <v>27661.183000000001</v>
      </c>
      <c r="L1891" s="119">
        <f>D1891</f>
        <v>26861.341</v>
      </c>
      <c r="M1891" s="22">
        <f t="shared" si="210"/>
        <v>2.9776696554352888E-2</v>
      </c>
    </row>
    <row r="1892" spans="1:15" ht="20" thickBot="1" x14ac:dyDescent="0.3">
      <c r="A1892" s="30" t="s">
        <v>910</v>
      </c>
      <c r="B1892" s="30" t="s">
        <v>333</v>
      </c>
      <c r="C1892" s="30">
        <v>25</v>
      </c>
      <c r="D1892" s="190">
        <v>2358.3440000000001</v>
      </c>
      <c r="E1892" s="30" t="s">
        <v>10</v>
      </c>
      <c r="F1892" s="190">
        <v>15.428000000000001</v>
      </c>
      <c r="G1892" s="30" t="s">
        <v>335</v>
      </c>
      <c r="H1892" s="30"/>
      <c r="J1892" s="68">
        <v>100</v>
      </c>
      <c r="K1892" s="120">
        <f>D1893</f>
        <v>2350.9279999999999</v>
      </c>
      <c r="L1892" s="120">
        <f>D1894</f>
        <v>2484.3389999999999</v>
      </c>
      <c r="M1892" s="23">
        <f t="shared" si="210"/>
        <v>-5.3700803312269452E-2</v>
      </c>
    </row>
    <row r="1893" spans="1:15" x14ac:dyDescent="0.25">
      <c r="A1893" s="30" t="s">
        <v>911</v>
      </c>
      <c r="B1893" s="30" t="s">
        <v>333</v>
      </c>
      <c r="C1893" s="30">
        <v>25</v>
      </c>
      <c r="D1893" s="190">
        <v>2350.9279999999999</v>
      </c>
      <c r="E1893" s="30" t="s">
        <v>10</v>
      </c>
      <c r="F1893" s="190">
        <v>22.876000000000001</v>
      </c>
      <c r="G1893" s="30" t="s">
        <v>335</v>
      </c>
      <c r="H1893" s="30"/>
    </row>
    <row r="1894" spans="1:15" x14ac:dyDescent="0.25">
      <c r="A1894" s="30" t="s">
        <v>912</v>
      </c>
      <c r="B1894" s="30" t="s">
        <v>333</v>
      </c>
      <c r="C1894" s="30">
        <v>25</v>
      </c>
      <c r="D1894" s="190">
        <v>2484.3389999999999</v>
      </c>
      <c r="E1894" s="30" t="s">
        <v>10</v>
      </c>
      <c r="F1894" s="190">
        <v>20.882999999999999</v>
      </c>
      <c r="G1894" s="30" t="s">
        <v>335</v>
      </c>
      <c r="H1894" s="30"/>
    </row>
    <row r="1895" spans="1:15" x14ac:dyDescent="0.25">
      <c r="A1895" s="30"/>
      <c r="B1895" s="30"/>
      <c r="C1895" s="30"/>
      <c r="D1895" s="190"/>
      <c r="E1895" s="30"/>
      <c r="F1895" s="190"/>
      <c r="G1895" s="30"/>
      <c r="H1895" s="30"/>
    </row>
    <row r="1896" spans="1:15" x14ac:dyDescent="0.25">
      <c r="A1896" s="30" t="s">
        <v>1012</v>
      </c>
      <c r="B1896" s="30"/>
      <c r="C1896" s="30"/>
      <c r="D1896" s="190"/>
      <c r="E1896" s="30"/>
      <c r="F1896" s="190"/>
      <c r="G1896" s="30"/>
      <c r="H1896" s="30"/>
    </row>
    <row r="1897" spans="1:15" ht="20" thickBot="1" x14ac:dyDescent="0.3">
      <c r="A1897" s="30" t="s">
        <v>2</v>
      </c>
      <c r="B1897" s="30" t="s">
        <v>3</v>
      </c>
      <c r="C1897" s="30" t="s">
        <v>4</v>
      </c>
      <c r="D1897" s="190" t="s">
        <v>5</v>
      </c>
      <c r="E1897" s="30" t="s">
        <v>6</v>
      </c>
      <c r="F1897" s="190" t="s">
        <v>7</v>
      </c>
      <c r="G1897" s="30"/>
      <c r="H1897" s="30"/>
    </row>
    <row r="1898" spans="1:15" x14ac:dyDescent="0.25">
      <c r="A1898" s="30" t="s">
        <v>913</v>
      </c>
      <c r="B1898" s="30" t="s">
        <v>333</v>
      </c>
      <c r="C1898" s="30">
        <v>25</v>
      </c>
      <c r="D1898" s="190">
        <v>1664842.6129999999</v>
      </c>
      <c r="E1898" s="30" t="s">
        <v>10</v>
      </c>
      <c r="F1898" s="190">
        <v>19589.857</v>
      </c>
      <c r="G1898" s="30" t="s">
        <v>335</v>
      </c>
      <c r="H1898" s="30"/>
      <c r="J1898" s="5" t="s">
        <v>1012</v>
      </c>
      <c r="K1898" s="72" t="s">
        <v>340</v>
      </c>
      <c r="L1898" s="72" t="s">
        <v>341</v>
      </c>
      <c r="M1898" s="17" t="s">
        <v>162</v>
      </c>
      <c r="N1898" s="72" t="s">
        <v>342</v>
      </c>
      <c r="O1898" s="21" t="s">
        <v>162</v>
      </c>
    </row>
    <row r="1899" spans="1:15" x14ac:dyDescent="0.25">
      <c r="A1899" s="30" t="s">
        <v>914</v>
      </c>
      <c r="B1899" s="30" t="s">
        <v>333</v>
      </c>
      <c r="C1899" s="30">
        <v>25</v>
      </c>
      <c r="D1899" s="190">
        <v>1907563.4990000001</v>
      </c>
      <c r="E1899" s="30" t="s">
        <v>10</v>
      </c>
      <c r="F1899" s="190">
        <v>24302.577000000001</v>
      </c>
      <c r="G1899" s="30" t="s">
        <v>335</v>
      </c>
      <c r="H1899" s="30"/>
      <c r="J1899" s="6">
        <v>100000</v>
      </c>
      <c r="K1899" s="119">
        <f>D1898</f>
        <v>1664842.6129999999</v>
      </c>
      <c r="L1899" s="119">
        <f>D1899</f>
        <v>1907563.4990000001</v>
      </c>
      <c r="M1899" s="18">
        <f>(K1899/L1899-1)</f>
        <v>-0.1272413139207379</v>
      </c>
      <c r="N1899" s="73">
        <f>D1900</f>
        <v>1730073.216</v>
      </c>
      <c r="O1899" s="22">
        <f>(K1899/N1899-1)</f>
        <v>-3.770395518336267E-2</v>
      </c>
    </row>
    <row r="1900" spans="1:15" x14ac:dyDescent="0.25">
      <c r="A1900" s="30" t="s">
        <v>915</v>
      </c>
      <c r="B1900" s="30" t="s">
        <v>333</v>
      </c>
      <c r="C1900" s="30">
        <v>25</v>
      </c>
      <c r="D1900" s="190">
        <v>1730073.216</v>
      </c>
      <c r="E1900" s="30" t="s">
        <v>10</v>
      </c>
      <c r="F1900" s="190">
        <v>18668.414000000001</v>
      </c>
      <c r="G1900" s="30" t="s">
        <v>335</v>
      </c>
      <c r="H1900" s="30"/>
      <c r="J1900" s="6">
        <v>50000</v>
      </c>
      <c r="K1900" s="119">
        <f>D1901</f>
        <v>811217.52</v>
      </c>
      <c r="L1900" s="119">
        <f>D1902</f>
        <v>870713.26199999999</v>
      </c>
      <c r="M1900" s="18">
        <f t="shared" ref="M1900:M1903" si="211">(K1900/L1900-1)</f>
        <v>-6.8329890673010096E-2</v>
      </c>
      <c r="N1900" s="73">
        <f>D1903</f>
        <v>775529.13300000003</v>
      </c>
      <c r="O1900" s="22">
        <f t="shared" ref="O1900:O1903" si="212">(K1900/N1900-1)</f>
        <v>4.6018112642584708E-2</v>
      </c>
    </row>
    <row r="1901" spans="1:15" x14ac:dyDescent="0.25">
      <c r="A1901" s="30" t="s">
        <v>916</v>
      </c>
      <c r="B1901" s="30" t="s">
        <v>333</v>
      </c>
      <c r="C1901" s="30">
        <v>25</v>
      </c>
      <c r="D1901" s="190">
        <v>811217.52</v>
      </c>
      <c r="E1901" s="30" t="s">
        <v>10</v>
      </c>
      <c r="F1901" s="190">
        <v>22081.894</v>
      </c>
      <c r="G1901" s="30" t="s">
        <v>335</v>
      </c>
      <c r="H1901" s="30"/>
      <c r="J1901" s="6">
        <v>10000</v>
      </c>
      <c r="K1901" s="119">
        <f>D1904</f>
        <v>164682.62400000001</v>
      </c>
      <c r="L1901" s="119">
        <f>D1905</f>
        <v>162083.69699999999</v>
      </c>
      <c r="M1901" s="18">
        <f t="shared" si="211"/>
        <v>1.6034475077404187E-2</v>
      </c>
      <c r="N1901" s="73">
        <f>D1906</f>
        <v>132448.69899999999</v>
      </c>
      <c r="O1901" s="22">
        <f t="shared" si="212"/>
        <v>0.24336913267830607</v>
      </c>
    </row>
    <row r="1902" spans="1:15" x14ac:dyDescent="0.25">
      <c r="A1902" s="30" t="s">
        <v>917</v>
      </c>
      <c r="B1902" s="30" t="s">
        <v>333</v>
      </c>
      <c r="C1902" s="30">
        <v>25</v>
      </c>
      <c r="D1902" s="190">
        <v>870713.26199999999</v>
      </c>
      <c r="E1902" s="30" t="s">
        <v>10</v>
      </c>
      <c r="F1902" s="190">
        <v>10345.34</v>
      </c>
      <c r="G1902" s="30" t="s">
        <v>335</v>
      </c>
      <c r="H1902" s="30"/>
      <c r="J1902" s="67">
        <v>1000</v>
      </c>
      <c r="K1902" s="119">
        <f>D1907</f>
        <v>10770.981</v>
      </c>
      <c r="L1902" s="119">
        <f>D1908</f>
        <v>9380.0380000000005</v>
      </c>
      <c r="M1902" s="18">
        <f t="shared" si="211"/>
        <v>0.14828756557276201</v>
      </c>
      <c r="N1902" s="73">
        <f>D1909</f>
        <v>7481.1949999999997</v>
      </c>
      <c r="O1902" s="22">
        <f t="shared" si="212"/>
        <v>0.43974070987322222</v>
      </c>
    </row>
    <row r="1903" spans="1:15" ht="20" thickBot="1" x14ac:dyDescent="0.3">
      <c r="A1903" s="30" t="s">
        <v>918</v>
      </c>
      <c r="B1903" s="30" t="s">
        <v>333</v>
      </c>
      <c r="C1903" s="30">
        <v>25</v>
      </c>
      <c r="D1903" s="190">
        <v>775529.13300000003</v>
      </c>
      <c r="E1903" s="30" t="s">
        <v>10</v>
      </c>
      <c r="F1903" s="190">
        <v>11430.857</v>
      </c>
      <c r="G1903" s="30" t="s">
        <v>335</v>
      </c>
      <c r="H1903" s="30"/>
      <c r="J1903" s="68">
        <v>100</v>
      </c>
      <c r="K1903" s="120">
        <f>D1910</f>
        <v>850.17899999999997</v>
      </c>
      <c r="L1903" s="120">
        <f>D1911</f>
        <v>814.63300000000004</v>
      </c>
      <c r="M1903" s="19">
        <f t="shared" si="211"/>
        <v>4.3634372778907693E-2</v>
      </c>
      <c r="N1903" s="74">
        <f>D1912</f>
        <v>758.79899999999998</v>
      </c>
      <c r="O1903" s="23">
        <f t="shared" si="212"/>
        <v>0.12042714869155069</v>
      </c>
    </row>
    <row r="1904" spans="1:15" ht="20" thickBot="1" x14ac:dyDescent="0.3">
      <c r="A1904" s="30" t="s">
        <v>919</v>
      </c>
      <c r="B1904" s="30" t="s">
        <v>333</v>
      </c>
      <c r="C1904" s="30">
        <v>25</v>
      </c>
      <c r="D1904" s="190">
        <v>164682.62400000001</v>
      </c>
      <c r="E1904" s="30" t="s">
        <v>10</v>
      </c>
      <c r="F1904" s="190">
        <v>1262.903</v>
      </c>
      <c r="G1904" s="30" t="s">
        <v>335</v>
      </c>
      <c r="H1904" s="30"/>
    </row>
    <row r="1905" spans="1:15" x14ac:dyDescent="0.25">
      <c r="A1905" s="30" t="s">
        <v>920</v>
      </c>
      <c r="B1905" s="30" t="s">
        <v>333</v>
      </c>
      <c r="C1905" s="30">
        <v>25</v>
      </c>
      <c r="D1905" s="190">
        <v>162083.69699999999</v>
      </c>
      <c r="E1905" s="30" t="s">
        <v>10</v>
      </c>
      <c r="F1905" s="190">
        <v>1704.008</v>
      </c>
      <c r="G1905" s="30" t="s">
        <v>335</v>
      </c>
      <c r="H1905" s="30"/>
      <c r="J1905" s="5" t="s">
        <v>1012</v>
      </c>
      <c r="K1905" s="72" t="s">
        <v>341</v>
      </c>
      <c r="L1905" s="72" t="s">
        <v>342</v>
      </c>
      <c r="M1905" s="21" t="s">
        <v>162</v>
      </c>
    </row>
    <row r="1906" spans="1:15" x14ac:dyDescent="0.25">
      <c r="A1906" s="30" t="s">
        <v>921</v>
      </c>
      <c r="B1906" s="30" t="s">
        <v>333</v>
      </c>
      <c r="C1906" s="30">
        <v>25</v>
      </c>
      <c r="D1906" s="190">
        <v>132448.69899999999</v>
      </c>
      <c r="E1906" s="30" t="s">
        <v>10</v>
      </c>
      <c r="F1906" s="190">
        <v>3749.9250000000002</v>
      </c>
      <c r="G1906" s="30" t="s">
        <v>335</v>
      </c>
      <c r="H1906" s="30"/>
      <c r="J1906" s="6">
        <v>100000</v>
      </c>
      <c r="K1906" s="119">
        <f>D1899</f>
        <v>1907563.4990000001</v>
      </c>
      <c r="L1906" s="119">
        <f>D1900</f>
        <v>1730073.216</v>
      </c>
      <c r="M1906" s="22">
        <f>(K1906/L1906-1)</f>
        <v>0.10259119750455703</v>
      </c>
    </row>
    <row r="1907" spans="1:15" x14ac:dyDescent="0.25">
      <c r="A1907" s="30" t="s">
        <v>922</v>
      </c>
      <c r="B1907" s="30" t="s">
        <v>333</v>
      </c>
      <c r="C1907" s="30">
        <v>25</v>
      </c>
      <c r="D1907" s="190">
        <v>10770.981</v>
      </c>
      <c r="E1907" s="30" t="s">
        <v>10</v>
      </c>
      <c r="F1907" s="190">
        <v>108</v>
      </c>
      <c r="G1907" s="30" t="s">
        <v>335</v>
      </c>
      <c r="H1907" s="30"/>
      <c r="J1907" s="6">
        <v>50000</v>
      </c>
      <c r="K1907" s="119">
        <f>D1902</f>
        <v>870713.26199999999</v>
      </c>
      <c r="L1907" s="119">
        <f>D1903</f>
        <v>775529.13300000003</v>
      </c>
      <c r="M1907" s="22">
        <f t="shared" ref="M1907:M1910" si="213">(K1907/L1907-1)</f>
        <v>0.12273443375595283</v>
      </c>
    </row>
    <row r="1908" spans="1:15" x14ac:dyDescent="0.25">
      <c r="A1908" s="30" t="s">
        <v>923</v>
      </c>
      <c r="B1908" s="30" t="s">
        <v>333</v>
      </c>
      <c r="C1908" s="30">
        <v>25</v>
      </c>
      <c r="D1908" s="190">
        <v>9380.0380000000005</v>
      </c>
      <c r="E1908" s="30" t="s">
        <v>10</v>
      </c>
      <c r="F1908" s="190">
        <v>136.995</v>
      </c>
      <c r="G1908" s="30" t="s">
        <v>335</v>
      </c>
      <c r="H1908" s="30"/>
      <c r="J1908" s="6">
        <v>10000</v>
      </c>
      <c r="K1908" s="119">
        <f>D1905</f>
        <v>162083.69699999999</v>
      </c>
      <c r="L1908" s="119">
        <f>D1906</f>
        <v>132448.69899999999</v>
      </c>
      <c r="M1908" s="22">
        <f t="shared" si="213"/>
        <v>0.22374699203349668</v>
      </c>
    </row>
    <row r="1909" spans="1:15" x14ac:dyDescent="0.25">
      <c r="A1909" s="30" t="s">
        <v>924</v>
      </c>
      <c r="B1909" s="30" t="s">
        <v>333</v>
      </c>
      <c r="C1909" s="30">
        <v>25</v>
      </c>
      <c r="D1909" s="190">
        <v>7481.1949999999997</v>
      </c>
      <c r="E1909" s="30" t="s">
        <v>10</v>
      </c>
      <c r="F1909" s="190">
        <v>80.001000000000005</v>
      </c>
      <c r="G1909" s="30" t="s">
        <v>335</v>
      </c>
      <c r="H1909" s="30"/>
      <c r="J1909" s="67">
        <v>1000</v>
      </c>
      <c r="K1909" s="119">
        <f>D1908</f>
        <v>9380.0380000000005</v>
      </c>
      <c r="L1909" s="119">
        <f>D1909</f>
        <v>7481.1949999999997</v>
      </c>
      <c r="M1909" s="22">
        <f t="shared" si="213"/>
        <v>0.25381546664670562</v>
      </c>
    </row>
    <row r="1910" spans="1:15" ht="20" thickBot="1" x14ac:dyDescent="0.3">
      <c r="A1910" s="30" t="s">
        <v>925</v>
      </c>
      <c r="B1910" s="30" t="s">
        <v>333</v>
      </c>
      <c r="C1910" s="30">
        <v>25</v>
      </c>
      <c r="D1910" s="190">
        <v>850.17899999999997</v>
      </c>
      <c r="E1910" s="30" t="s">
        <v>10</v>
      </c>
      <c r="F1910" s="190">
        <v>9.1110000000000007</v>
      </c>
      <c r="G1910" s="30" t="s">
        <v>335</v>
      </c>
      <c r="H1910" s="30"/>
      <c r="J1910" s="68">
        <v>100</v>
      </c>
      <c r="K1910" s="120">
        <f>D1911</f>
        <v>814.63300000000004</v>
      </c>
      <c r="L1910" s="120">
        <f>D1912</f>
        <v>758.79899999999998</v>
      </c>
      <c r="M1910" s="23">
        <f t="shared" si="213"/>
        <v>7.3582068505625431E-2</v>
      </c>
    </row>
    <row r="1911" spans="1:15" x14ac:dyDescent="0.25">
      <c r="A1911" s="30" t="s">
        <v>926</v>
      </c>
      <c r="B1911" s="30" t="s">
        <v>333</v>
      </c>
      <c r="C1911" s="30">
        <v>25</v>
      </c>
      <c r="D1911" s="190">
        <v>814.63300000000004</v>
      </c>
      <c r="E1911" s="30" t="s">
        <v>10</v>
      </c>
      <c r="F1911" s="190">
        <v>6.9909999999999997</v>
      </c>
      <c r="G1911" s="30" t="s">
        <v>335</v>
      </c>
      <c r="H1911" s="30"/>
    </row>
    <row r="1912" spans="1:15" x14ac:dyDescent="0.25">
      <c r="A1912" s="30" t="s">
        <v>927</v>
      </c>
      <c r="B1912" s="30" t="s">
        <v>333</v>
      </c>
      <c r="C1912" s="30">
        <v>25</v>
      </c>
      <c r="D1912" s="190">
        <v>758.79899999999998</v>
      </c>
      <c r="E1912" s="30" t="s">
        <v>10</v>
      </c>
      <c r="F1912" s="190">
        <v>5.4950000000000001</v>
      </c>
      <c r="G1912" s="30" t="s">
        <v>335</v>
      </c>
      <c r="H1912" s="30"/>
    </row>
    <row r="1913" spans="1:15" x14ac:dyDescent="0.25">
      <c r="A1913" s="30"/>
      <c r="B1913" s="30"/>
      <c r="C1913" s="30"/>
      <c r="D1913" s="190"/>
      <c r="E1913" s="30"/>
      <c r="F1913" s="190"/>
      <c r="G1913" s="30"/>
      <c r="H1913" s="30"/>
    </row>
    <row r="1914" spans="1:15" x14ac:dyDescent="0.25">
      <c r="A1914" s="30" t="s">
        <v>1013</v>
      </c>
      <c r="B1914" s="30"/>
      <c r="C1914" s="30"/>
      <c r="D1914" s="190"/>
      <c r="E1914" s="30"/>
      <c r="F1914" s="190"/>
      <c r="G1914" s="30"/>
      <c r="H1914" s="30"/>
    </row>
    <row r="1915" spans="1:15" ht="20" thickBot="1" x14ac:dyDescent="0.3">
      <c r="A1915" s="30" t="s">
        <v>2</v>
      </c>
      <c r="B1915" s="30" t="s">
        <v>3</v>
      </c>
      <c r="C1915" s="30" t="s">
        <v>4</v>
      </c>
      <c r="D1915" s="190" t="s">
        <v>5</v>
      </c>
      <c r="E1915" s="30" t="s">
        <v>6</v>
      </c>
      <c r="F1915" s="190" t="s">
        <v>7</v>
      </c>
      <c r="G1915" s="30"/>
      <c r="H1915" s="30"/>
    </row>
    <row r="1916" spans="1:15" x14ac:dyDescent="0.25">
      <c r="A1916" s="30" t="s">
        <v>928</v>
      </c>
      <c r="B1916" s="30" t="s">
        <v>333</v>
      </c>
      <c r="C1916" s="30">
        <v>25</v>
      </c>
      <c r="D1916" s="190">
        <v>1018183.406</v>
      </c>
      <c r="E1916" s="30" t="s">
        <v>10</v>
      </c>
      <c r="F1916" s="190">
        <v>38200.196000000004</v>
      </c>
      <c r="G1916" s="30" t="s">
        <v>335</v>
      </c>
      <c r="H1916" s="30"/>
      <c r="J1916" s="5" t="s">
        <v>1013</v>
      </c>
      <c r="K1916" s="72" t="s">
        <v>340</v>
      </c>
      <c r="L1916" s="72" t="s">
        <v>341</v>
      </c>
      <c r="M1916" s="17" t="s">
        <v>162</v>
      </c>
      <c r="N1916" s="72" t="s">
        <v>342</v>
      </c>
      <c r="O1916" s="21" t="s">
        <v>162</v>
      </c>
    </row>
    <row r="1917" spans="1:15" x14ac:dyDescent="0.25">
      <c r="A1917" s="30" t="s">
        <v>929</v>
      </c>
      <c r="B1917" s="30" t="s">
        <v>333</v>
      </c>
      <c r="C1917" s="30">
        <v>25</v>
      </c>
      <c r="D1917" s="190">
        <v>1413978.602</v>
      </c>
      <c r="E1917" s="30" t="s">
        <v>10</v>
      </c>
      <c r="F1917" s="190">
        <v>70283.467999999993</v>
      </c>
      <c r="G1917" s="30" t="s">
        <v>335</v>
      </c>
      <c r="H1917" s="30"/>
      <c r="J1917" s="6">
        <v>100000</v>
      </c>
      <c r="K1917" s="119">
        <f>D1916</f>
        <v>1018183.406</v>
      </c>
      <c r="L1917" s="119">
        <f>D1917</f>
        <v>1413978.602</v>
      </c>
      <c r="M1917" s="18">
        <f>(K1917/L1917-1)</f>
        <v>-0.27991597287269276</v>
      </c>
      <c r="N1917" s="73">
        <f>D1918</f>
        <v>753286.30799999996</v>
      </c>
      <c r="O1917" s="22">
        <f>(K1917/N1917-1)</f>
        <v>0.35165526730906671</v>
      </c>
    </row>
    <row r="1918" spans="1:15" x14ac:dyDescent="0.25">
      <c r="A1918" s="30" t="s">
        <v>930</v>
      </c>
      <c r="B1918" s="30" t="s">
        <v>333</v>
      </c>
      <c r="C1918" s="30">
        <v>25</v>
      </c>
      <c r="D1918" s="190">
        <v>753286.30799999996</v>
      </c>
      <c r="E1918" s="30" t="s">
        <v>10</v>
      </c>
      <c r="F1918" s="190">
        <v>27056.460999999999</v>
      </c>
      <c r="G1918" s="30" t="s">
        <v>335</v>
      </c>
      <c r="H1918" s="30"/>
      <c r="J1918" s="6">
        <v>50000</v>
      </c>
      <c r="K1918" s="119">
        <f>D1919</f>
        <v>425015.978</v>
      </c>
      <c r="L1918" s="119">
        <f>D1920</f>
        <v>558592.53700000001</v>
      </c>
      <c r="M1918" s="18">
        <f t="shared" ref="M1918:M1921" si="214">(K1918/L1918-1)</f>
        <v>-0.23913058294224943</v>
      </c>
      <c r="N1918" s="73">
        <f>D1921</f>
        <v>312248.95899999997</v>
      </c>
      <c r="O1918" s="22">
        <f t="shared" ref="O1918:O1921" si="215">(K1918/N1918-1)</f>
        <v>0.36114457950843004</v>
      </c>
    </row>
    <row r="1919" spans="1:15" x14ac:dyDescent="0.25">
      <c r="A1919" s="30" t="s">
        <v>940</v>
      </c>
      <c r="B1919" s="30" t="s">
        <v>333</v>
      </c>
      <c r="C1919" s="30">
        <v>25</v>
      </c>
      <c r="D1919" s="190">
        <v>425015.978</v>
      </c>
      <c r="E1919" s="30" t="s">
        <v>10</v>
      </c>
      <c r="F1919" s="190">
        <v>3697.7930000000001</v>
      </c>
      <c r="G1919" s="30" t="s">
        <v>335</v>
      </c>
      <c r="H1919" s="30"/>
      <c r="J1919" s="6">
        <v>10000</v>
      </c>
      <c r="K1919" s="119">
        <f>D1922</f>
        <v>80505.862999999998</v>
      </c>
      <c r="L1919" s="119">
        <f>D1923</f>
        <v>101212.773</v>
      </c>
      <c r="M1919" s="18">
        <f t="shared" si="214"/>
        <v>-0.20458791302951462</v>
      </c>
      <c r="N1919" s="73">
        <f>D1924</f>
        <v>79677.087</v>
      </c>
      <c r="O1919" s="22">
        <f t="shared" si="215"/>
        <v>1.0401685493346413E-2</v>
      </c>
    </row>
    <row r="1920" spans="1:15" x14ac:dyDescent="0.25">
      <c r="A1920" s="30" t="s">
        <v>941</v>
      </c>
      <c r="B1920" s="30" t="s">
        <v>333</v>
      </c>
      <c r="C1920" s="30">
        <v>25</v>
      </c>
      <c r="D1920" s="190">
        <v>558592.53700000001</v>
      </c>
      <c r="E1920" s="30" t="s">
        <v>10</v>
      </c>
      <c r="F1920" s="190">
        <v>10136.558000000001</v>
      </c>
      <c r="G1920" s="30" t="s">
        <v>335</v>
      </c>
      <c r="H1920" s="30"/>
      <c r="J1920" s="67">
        <v>1000</v>
      </c>
      <c r="K1920" s="119">
        <f>D1925</f>
        <v>7352.8109999999997</v>
      </c>
      <c r="L1920" s="119">
        <f>D1926</f>
        <v>7123.8310000000001</v>
      </c>
      <c r="M1920" s="18">
        <f t="shared" si="214"/>
        <v>3.2142817537361479E-2</v>
      </c>
      <c r="N1920" s="93">
        <f>D1927</f>
        <v>3452.26</v>
      </c>
      <c r="O1920" s="97">
        <f t="shared" si="215"/>
        <v>1.1298543562767578</v>
      </c>
    </row>
    <row r="1921" spans="1:17" ht="20" thickBot="1" x14ac:dyDescent="0.3">
      <c r="A1921" s="30" t="s">
        <v>942</v>
      </c>
      <c r="B1921" s="30" t="s">
        <v>333</v>
      </c>
      <c r="C1921" s="30">
        <v>25</v>
      </c>
      <c r="D1921" s="190">
        <v>312248.95899999997</v>
      </c>
      <c r="E1921" s="30" t="s">
        <v>10</v>
      </c>
      <c r="F1921" s="190">
        <v>10744.581</v>
      </c>
      <c r="G1921" s="30" t="s">
        <v>335</v>
      </c>
      <c r="H1921" s="30"/>
      <c r="J1921" s="68">
        <v>100</v>
      </c>
      <c r="K1921" s="120">
        <f>D1928</f>
        <v>564.35299999999995</v>
      </c>
      <c r="L1921" s="120">
        <f>D1929</f>
        <v>586.40899999999999</v>
      </c>
      <c r="M1921" s="19">
        <f t="shared" si="214"/>
        <v>-3.7611973895352979E-2</v>
      </c>
      <c r="N1921" s="74">
        <f>D1930</f>
        <v>556.06899999999996</v>
      </c>
      <c r="O1921" s="23">
        <f t="shared" si="215"/>
        <v>1.489743179353642E-2</v>
      </c>
    </row>
    <row r="1922" spans="1:17" ht="20" thickBot="1" x14ac:dyDescent="0.3">
      <c r="A1922" s="30" t="s">
        <v>931</v>
      </c>
      <c r="B1922" s="30" t="s">
        <v>333</v>
      </c>
      <c r="C1922" s="30">
        <v>25</v>
      </c>
      <c r="D1922" s="190">
        <v>80505.862999999998</v>
      </c>
      <c r="E1922" s="30" t="s">
        <v>10</v>
      </c>
      <c r="F1922" s="190">
        <v>616.38400000000001</v>
      </c>
      <c r="G1922" s="30" t="s">
        <v>335</v>
      </c>
      <c r="H1922" s="30"/>
    </row>
    <row r="1923" spans="1:17" x14ac:dyDescent="0.25">
      <c r="A1923" s="30" t="s">
        <v>932</v>
      </c>
      <c r="B1923" s="30" t="s">
        <v>333</v>
      </c>
      <c r="C1923" s="30">
        <v>25</v>
      </c>
      <c r="D1923" s="190">
        <v>101212.773</v>
      </c>
      <c r="E1923" s="30" t="s">
        <v>10</v>
      </c>
      <c r="F1923" s="190">
        <v>917.76</v>
      </c>
      <c r="G1923" s="30" t="s">
        <v>335</v>
      </c>
      <c r="H1923" s="30"/>
      <c r="J1923" s="5" t="s">
        <v>1013</v>
      </c>
      <c r="K1923" s="72" t="s">
        <v>341</v>
      </c>
      <c r="L1923" s="72" t="s">
        <v>342</v>
      </c>
      <c r="M1923" s="21" t="s">
        <v>162</v>
      </c>
    </row>
    <row r="1924" spans="1:17" x14ac:dyDescent="0.25">
      <c r="A1924" s="30" t="s">
        <v>933</v>
      </c>
      <c r="B1924" s="30" t="s">
        <v>333</v>
      </c>
      <c r="C1924" s="30">
        <v>25</v>
      </c>
      <c r="D1924" s="190">
        <v>79677.087</v>
      </c>
      <c r="E1924" s="30" t="s">
        <v>10</v>
      </c>
      <c r="F1924" s="190">
        <v>529.80499999999995</v>
      </c>
      <c r="G1924" s="30" t="s">
        <v>335</v>
      </c>
      <c r="H1924" s="30"/>
      <c r="J1924" s="6">
        <v>100000</v>
      </c>
      <c r="K1924" s="119">
        <f>D1917</f>
        <v>1413978.602</v>
      </c>
      <c r="L1924" s="119">
        <f>D1918</f>
        <v>753286.30799999996</v>
      </c>
      <c r="M1924" s="22">
        <f>(K1924/L1924-1)</f>
        <v>0.87707991899409388</v>
      </c>
    </row>
    <row r="1925" spans="1:17" x14ac:dyDescent="0.25">
      <c r="A1925" s="30" t="s">
        <v>934</v>
      </c>
      <c r="B1925" s="30" t="s">
        <v>333</v>
      </c>
      <c r="C1925" s="30">
        <v>25</v>
      </c>
      <c r="D1925" s="190">
        <v>7352.8109999999997</v>
      </c>
      <c r="E1925" s="30" t="s">
        <v>10</v>
      </c>
      <c r="F1925" s="190">
        <v>53.805</v>
      </c>
      <c r="G1925" s="30" t="s">
        <v>335</v>
      </c>
      <c r="H1925" s="30"/>
      <c r="J1925" s="6">
        <v>50000</v>
      </c>
      <c r="K1925" s="119">
        <f>D1920</f>
        <v>558592.53700000001</v>
      </c>
      <c r="L1925" s="119">
        <f>D1921</f>
        <v>312248.95899999997</v>
      </c>
      <c r="M1925" s="22">
        <f t="shared" ref="M1925:M1928" si="216">(K1925/L1925-1)</f>
        <v>0.78893322427377588</v>
      </c>
    </row>
    <row r="1926" spans="1:17" x14ac:dyDescent="0.25">
      <c r="A1926" s="30" t="s">
        <v>935</v>
      </c>
      <c r="B1926" s="30" t="s">
        <v>333</v>
      </c>
      <c r="C1926" s="30">
        <v>25</v>
      </c>
      <c r="D1926" s="190">
        <v>7123.8310000000001</v>
      </c>
      <c r="E1926" s="30" t="s">
        <v>10</v>
      </c>
      <c r="F1926" s="190">
        <v>79.453999999999994</v>
      </c>
      <c r="G1926" s="30" t="s">
        <v>335</v>
      </c>
      <c r="H1926" s="30"/>
      <c r="J1926" s="6">
        <v>10000</v>
      </c>
      <c r="K1926" s="119">
        <f>D1923</f>
        <v>101212.773</v>
      </c>
      <c r="L1926" s="119">
        <f>D1924</f>
        <v>79677.087</v>
      </c>
      <c r="M1926" s="22">
        <f t="shared" si="216"/>
        <v>0.27028706508810996</v>
      </c>
    </row>
    <row r="1927" spans="1:17" x14ac:dyDescent="0.25">
      <c r="A1927" s="30" t="s">
        <v>936</v>
      </c>
      <c r="B1927" s="30" t="s">
        <v>333</v>
      </c>
      <c r="C1927" s="30">
        <v>25</v>
      </c>
      <c r="D1927" s="190">
        <v>3452.26</v>
      </c>
      <c r="E1927" s="30" t="s">
        <v>10</v>
      </c>
      <c r="F1927" s="190">
        <v>35.110999999999997</v>
      </c>
      <c r="G1927" s="30" t="s">
        <v>335</v>
      </c>
      <c r="H1927" s="30"/>
      <c r="J1927" s="67">
        <v>1000</v>
      </c>
      <c r="K1927" s="119">
        <f>D1926</f>
        <v>7123.8310000000001</v>
      </c>
      <c r="L1927" s="119">
        <f>D1927</f>
        <v>3452.26</v>
      </c>
      <c r="M1927" s="22">
        <f t="shared" si="216"/>
        <v>1.0635267911455104</v>
      </c>
    </row>
    <row r="1928" spans="1:17" ht="20" thickBot="1" x14ac:dyDescent="0.3">
      <c r="A1928" s="30" t="s">
        <v>937</v>
      </c>
      <c r="B1928" s="30" t="s">
        <v>333</v>
      </c>
      <c r="C1928" s="30">
        <v>25</v>
      </c>
      <c r="D1928" s="190">
        <v>564.35299999999995</v>
      </c>
      <c r="E1928" s="30" t="s">
        <v>10</v>
      </c>
      <c r="F1928" s="190">
        <v>5.5709999999999997</v>
      </c>
      <c r="G1928" s="30" t="s">
        <v>335</v>
      </c>
      <c r="H1928" s="30"/>
      <c r="J1928" s="68">
        <v>100</v>
      </c>
      <c r="K1928" s="120">
        <f>D1929</f>
        <v>586.40899999999999</v>
      </c>
      <c r="L1928" s="120">
        <f>D1930</f>
        <v>556.06899999999996</v>
      </c>
      <c r="M1928" s="23">
        <f t="shared" si="216"/>
        <v>5.456157419313068E-2</v>
      </c>
    </row>
    <row r="1929" spans="1:17" x14ac:dyDescent="0.25">
      <c r="A1929" s="30" t="s">
        <v>938</v>
      </c>
      <c r="B1929" s="30" t="s">
        <v>333</v>
      </c>
      <c r="C1929" s="30">
        <v>25</v>
      </c>
      <c r="D1929" s="190">
        <v>586.40899999999999</v>
      </c>
      <c r="E1929" s="30" t="s">
        <v>10</v>
      </c>
      <c r="F1929" s="190">
        <v>1.8169999999999999</v>
      </c>
      <c r="G1929" s="30" t="s">
        <v>335</v>
      </c>
      <c r="H1929" s="30"/>
    </row>
    <row r="1930" spans="1:17" x14ac:dyDescent="0.25">
      <c r="A1930" s="30" t="s">
        <v>939</v>
      </c>
      <c r="B1930" s="30" t="s">
        <v>333</v>
      </c>
      <c r="C1930" s="30">
        <v>25</v>
      </c>
      <c r="D1930" s="190">
        <v>556.06899999999996</v>
      </c>
      <c r="E1930" s="30" t="s">
        <v>10</v>
      </c>
      <c r="F1930" s="190">
        <v>5.48</v>
      </c>
      <c r="G1930" s="30" t="s">
        <v>335</v>
      </c>
      <c r="H1930" s="30"/>
    </row>
    <row r="1931" spans="1:17" x14ac:dyDescent="0.25">
      <c r="A1931" s="30"/>
      <c r="B1931" s="30"/>
      <c r="C1931" s="30"/>
      <c r="D1931" s="190"/>
      <c r="E1931" s="30"/>
      <c r="F1931" s="190"/>
      <c r="G1931" s="30"/>
      <c r="H1931" s="30"/>
    </row>
    <row r="1932" spans="1:17" x14ac:dyDescent="0.25">
      <c r="A1932" s="30" t="s">
        <v>943</v>
      </c>
      <c r="B1932" s="30"/>
      <c r="C1932" s="30"/>
      <c r="D1932" s="190"/>
      <c r="E1932" s="30"/>
      <c r="F1932" s="190"/>
      <c r="G1932" s="30"/>
      <c r="H1932" s="30"/>
    </row>
    <row r="1933" spans="1:17" ht="20" thickBot="1" x14ac:dyDescent="0.3">
      <c r="A1933" s="30" t="s">
        <v>2</v>
      </c>
      <c r="B1933" s="30" t="s">
        <v>3</v>
      </c>
      <c r="C1933" s="30" t="s">
        <v>4</v>
      </c>
      <c r="D1933" s="190" t="s">
        <v>5</v>
      </c>
      <c r="E1933" s="30" t="s">
        <v>6</v>
      </c>
      <c r="F1933" s="190" t="s">
        <v>7</v>
      </c>
      <c r="G1933" s="30"/>
      <c r="H1933" s="30"/>
    </row>
    <row r="1934" spans="1:17" x14ac:dyDescent="0.25">
      <c r="A1934" s="30" t="s">
        <v>944</v>
      </c>
      <c r="B1934" s="30" t="s">
        <v>333</v>
      </c>
      <c r="C1934" s="30">
        <v>25</v>
      </c>
      <c r="D1934" s="190">
        <v>615802.152</v>
      </c>
      <c r="E1934" s="30" t="s">
        <v>10</v>
      </c>
      <c r="F1934" s="190">
        <v>8173.6379999999999</v>
      </c>
      <c r="G1934" s="30" t="s">
        <v>335</v>
      </c>
      <c r="H1934" s="30"/>
      <c r="J1934" s="70" t="s">
        <v>943</v>
      </c>
      <c r="K1934" s="72" t="s">
        <v>344</v>
      </c>
      <c r="L1934" s="72" t="s">
        <v>341</v>
      </c>
      <c r="M1934" s="17" t="s">
        <v>162</v>
      </c>
      <c r="N1934" s="91" t="s">
        <v>343</v>
      </c>
      <c r="O1934" s="92" t="s">
        <v>162</v>
      </c>
      <c r="P1934" s="72" t="s">
        <v>342</v>
      </c>
      <c r="Q1934" s="21" t="s">
        <v>162</v>
      </c>
    </row>
    <row r="1935" spans="1:17" x14ac:dyDescent="0.25">
      <c r="A1935" s="30" t="s">
        <v>945</v>
      </c>
      <c r="B1935" s="30" t="s">
        <v>333</v>
      </c>
      <c r="C1935" s="30">
        <v>25</v>
      </c>
      <c r="D1935" s="190">
        <v>627347.36199999996</v>
      </c>
      <c r="E1935" s="30" t="s">
        <v>10</v>
      </c>
      <c r="F1935" s="190">
        <v>12426.395</v>
      </c>
      <c r="G1935" s="30" t="s">
        <v>335</v>
      </c>
      <c r="H1935" s="30"/>
      <c r="J1935" s="6">
        <v>100000</v>
      </c>
      <c r="K1935" s="119">
        <f>D1934</f>
        <v>615802.152</v>
      </c>
      <c r="L1935" s="119">
        <f>D1935</f>
        <v>627347.36199999996</v>
      </c>
      <c r="M1935" s="18">
        <f>(K1935/L1935-1)</f>
        <v>-1.8403217578206621E-2</v>
      </c>
      <c r="N1935" s="93">
        <f>D1936</f>
        <v>27884629830</v>
      </c>
      <c r="O1935" s="94">
        <f>(K1935/N1935-1)</f>
        <v>-0.99997791607219622</v>
      </c>
      <c r="P1935" s="73">
        <f>D1937</f>
        <v>551729.00600000005</v>
      </c>
      <c r="Q1935" s="22">
        <f>(K1935/P1935-1)</f>
        <v>0.1161315524527633</v>
      </c>
    </row>
    <row r="1936" spans="1:17" x14ac:dyDescent="0.25">
      <c r="A1936" s="30" t="s">
        <v>946</v>
      </c>
      <c r="B1936" s="30" t="s">
        <v>333</v>
      </c>
      <c r="C1936" s="30">
        <v>25</v>
      </c>
      <c r="D1936" s="190">
        <v>27884629830</v>
      </c>
      <c r="E1936" s="30" t="s">
        <v>10</v>
      </c>
      <c r="F1936" s="190">
        <v>129020699.972</v>
      </c>
      <c r="G1936" s="30" t="s">
        <v>335</v>
      </c>
      <c r="H1936" s="30"/>
      <c r="J1936" s="6">
        <v>50000</v>
      </c>
      <c r="K1936" s="119">
        <f>D1938</f>
        <v>309940.13400000002</v>
      </c>
      <c r="L1936" s="119">
        <f>D1939</f>
        <v>313997.39399999997</v>
      </c>
      <c r="M1936" s="18">
        <f t="shared" ref="M1936:M1939" si="217">(K1936/L1936-1)</f>
        <v>-1.2921317429787194E-2</v>
      </c>
      <c r="N1936" s="93">
        <f>D1940</f>
        <v>7018946386.6599998</v>
      </c>
      <c r="O1936" s="94">
        <f t="shared" ref="O1936:O1939" si="218">(K1936/N1936-1)</f>
        <v>-0.99995584235625601</v>
      </c>
      <c r="P1936" s="73">
        <f>D1941</f>
        <v>275922.978</v>
      </c>
      <c r="Q1936" s="22">
        <f t="shared" ref="Q1936:Q1939" si="219">(K1936/P1936-1)</f>
        <v>0.12328496976427972</v>
      </c>
    </row>
    <row r="1937" spans="1:17" x14ac:dyDescent="0.25">
      <c r="A1937" s="30" t="s">
        <v>947</v>
      </c>
      <c r="B1937" s="30" t="s">
        <v>333</v>
      </c>
      <c r="C1937" s="30">
        <v>25</v>
      </c>
      <c r="D1937" s="190">
        <v>551729.00600000005</v>
      </c>
      <c r="E1937" s="30" t="s">
        <v>10</v>
      </c>
      <c r="F1937" s="190">
        <v>5578.8530000000001</v>
      </c>
      <c r="G1937" s="30" t="s">
        <v>335</v>
      </c>
      <c r="H1937" s="30"/>
      <c r="J1937" s="6">
        <v>10000</v>
      </c>
      <c r="K1937" s="119">
        <f>D1942</f>
        <v>60882.311000000002</v>
      </c>
      <c r="L1937" s="119">
        <f>D1943</f>
        <v>62132.025000000001</v>
      </c>
      <c r="M1937" s="18">
        <f t="shared" si="217"/>
        <v>-2.0113846281366143E-2</v>
      </c>
      <c r="N1937" s="93">
        <f>D1944</f>
        <v>278027015.71399999</v>
      </c>
      <c r="O1937" s="94">
        <f t="shared" si="218"/>
        <v>-0.99978102016149883</v>
      </c>
      <c r="P1937" s="73">
        <f>D1945</f>
        <v>55100.25</v>
      </c>
      <c r="Q1937" s="22">
        <f t="shared" si="219"/>
        <v>0.1049371100857075</v>
      </c>
    </row>
    <row r="1938" spans="1:17" x14ac:dyDescent="0.25">
      <c r="A1938" s="30" t="s">
        <v>963</v>
      </c>
      <c r="B1938" s="30" t="s">
        <v>333</v>
      </c>
      <c r="C1938" s="30">
        <v>25</v>
      </c>
      <c r="D1938" s="190">
        <v>309940.13400000002</v>
      </c>
      <c r="E1938" s="30" t="s">
        <v>10</v>
      </c>
      <c r="F1938" s="190">
        <v>12363.018</v>
      </c>
      <c r="G1938" s="30" t="s">
        <v>335</v>
      </c>
      <c r="H1938" s="30"/>
      <c r="J1938" s="67">
        <v>1000</v>
      </c>
      <c r="K1938" s="119">
        <f>D1946</f>
        <v>6056.7790000000005</v>
      </c>
      <c r="L1938" s="119">
        <f>D1947</f>
        <v>6253.4489999999996</v>
      </c>
      <c r="M1938" s="18">
        <f t="shared" si="217"/>
        <v>-3.1449844717690856E-2</v>
      </c>
      <c r="N1938" s="93">
        <f>D1948</f>
        <v>2806493.4640000002</v>
      </c>
      <c r="O1938" s="94">
        <f t="shared" si="218"/>
        <v>-0.99784186955084964</v>
      </c>
      <c r="P1938" s="73">
        <f>D1949</f>
        <v>5533.2790000000005</v>
      </c>
      <c r="Q1938" s="22">
        <f t="shared" si="219"/>
        <v>9.4609362730489366E-2</v>
      </c>
    </row>
    <row r="1939" spans="1:17" ht="20" thickBot="1" x14ac:dyDescent="0.3">
      <c r="A1939" s="30" t="s">
        <v>948</v>
      </c>
      <c r="B1939" s="30" t="s">
        <v>333</v>
      </c>
      <c r="C1939" s="30">
        <v>25</v>
      </c>
      <c r="D1939" s="190">
        <v>313997.39399999997</v>
      </c>
      <c r="E1939" s="30" t="s">
        <v>10</v>
      </c>
      <c r="F1939" s="190">
        <v>3287.53</v>
      </c>
      <c r="G1939" s="30" t="s">
        <v>335</v>
      </c>
      <c r="H1939" s="30"/>
      <c r="J1939" s="68">
        <v>100</v>
      </c>
      <c r="K1939" s="120">
        <f>D1950</f>
        <v>621.08699999999999</v>
      </c>
      <c r="L1939" s="120">
        <f>D1951</f>
        <v>1025.3920000000001</v>
      </c>
      <c r="M1939" s="19">
        <f t="shared" si="217"/>
        <v>-0.39429310936695439</v>
      </c>
      <c r="N1939" s="95">
        <f>D1952</f>
        <v>33356.875999999997</v>
      </c>
      <c r="O1939" s="96">
        <f t="shared" si="218"/>
        <v>-0.981380540551819</v>
      </c>
      <c r="P1939" s="74">
        <f>D1953</f>
        <v>564.98</v>
      </c>
      <c r="Q1939" s="23">
        <f t="shared" si="219"/>
        <v>9.9307940104074399E-2</v>
      </c>
    </row>
    <row r="1940" spans="1:17" ht="20" thickBot="1" x14ac:dyDescent="0.3">
      <c r="A1940" s="30" t="s">
        <v>949</v>
      </c>
      <c r="B1940" s="30" t="s">
        <v>333</v>
      </c>
      <c r="C1940" s="30">
        <v>25</v>
      </c>
      <c r="D1940" s="190">
        <v>7018946386.6599998</v>
      </c>
      <c r="E1940" s="30" t="s">
        <v>10</v>
      </c>
      <c r="F1940" s="190">
        <v>56737779.138999999</v>
      </c>
      <c r="G1940" s="30" t="s">
        <v>335</v>
      </c>
      <c r="H1940" s="30"/>
    </row>
    <row r="1941" spans="1:17" x14ac:dyDescent="0.25">
      <c r="A1941" s="30" t="s">
        <v>950</v>
      </c>
      <c r="B1941" s="30" t="s">
        <v>333</v>
      </c>
      <c r="C1941" s="30">
        <v>25</v>
      </c>
      <c r="D1941" s="190">
        <v>275922.978</v>
      </c>
      <c r="E1941" s="30" t="s">
        <v>10</v>
      </c>
      <c r="F1941" s="190">
        <v>3230.4340000000002</v>
      </c>
      <c r="G1941" s="30" t="s">
        <v>335</v>
      </c>
      <c r="H1941" s="30"/>
      <c r="J1941" s="70" t="s">
        <v>943</v>
      </c>
      <c r="K1941" s="72" t="s">
        <v>341</v>
      </c>
      <c r="L1941" s="72" t="s">
        <v>342</v>
      </c>
      <c r="M1941" s="17" t="s">
        <v>162</v>
      </c>
      <c r="N1941" s="72" t="s">
        <v>343</v>
      </c>
      <c r="O1941" s="21" t="s">
        <v>162</v>
      </c>
    </row>
    <row r="1942" spans="1:17" x14ac:dyDescent="0.25">
      <c r="A1942" s="30" t="s">
        <v>951</v>
      </c>
      <c r="B1942" s="30" t="s">
        <v>333</v>
      </c>
      <c r="C1942" s="30">
        <v>25</v>
      </c>
      <c r="D1942" s="190">
        <v>60882.311000000002</v>
      </c>
      <c r="E1942" s="30" t="s">
        <v>10</v>
      </c>
      <c r="F1942" s="190">
        <v>416.96699999999998</v>
      </c>
      <c r="G1942" s="30" t="s">
        <v>335</v>
      </c>
      <c r="H1942" s="30"/>
      <c r="J1942" s="6">
        <v>100000</v>
      </c>
      <c r="K1942" s="119">
        <f>D1935</f>
        <v>627347.36199999996</v>
      </c>
      <c r="L1942" s="119">
        <f>D1937</f>
        <v>551729.00600000005</v>
      </c>
      <c r="M1942" s="18">
        <f>(K1942/L1942-1)</f>
        <v>0.13705706094415482</v>
      </c>
      <c r="N1942" s="73">
        <f>D1936</f>
        <v>27884629830</v>
      </c>
      <c r="O1942" s="22">
        <f>(K1942/N1942-1)</f>
        <v>-0.99997750203729352</v>
      </c>
    </row>
    <row r="1943" spans="1:17" x14ac:dyDescent="0.25">
      <c r="A1943" s="30" t="s">
        <v>952</v>
      </c>
      <c r="B1943" s="30" t="s">
        <v>333</v>
      </c>
      <c r="C1943" s="30">
        <v>25</v>
      </c>
      <c r="D1943" s="190">
        <v>62132.025000000001</v>
      </c>
      <c r="E1943" s="30" t="s">
        <v>10</v>
      </c>
      <c r="F1943" s="190">
        <v>425.89800000000002</v>
      </c>
      <c r="G1943" s="30" t="s">
        <v>335</v>
      </c>
      <c r="H1943" s="30"/>
      <c r="J1943" s="6">
        <v>50000</v>
      </c>
      <c r="K1943" s="119">
        <f>D1939</f>
        <v>313997.39399999997</v>
      </c>
      <c r="L1943" s="119">
        <f>D1941</f>
        <v>275922.978</v>
      </c>
      <c r="M1943" s="18">
        <f t="shared" ref="M1943:M1946" si="220">(K1943/L1943-1)</f>
        <v>0.13798929062008014</v>
      </c>
      <c r="N1943" s="73">
        <f>D1940</f>
        <v>7018946386.6599998</v>
      </c>
      <c r="O1943" s="22">
        <f t="shared" ref="O1943:O1946" si="221">(K1943/N1943-1)</f>
        <v>-0.99995526431223403</v>
      </c>
    </row>
    <row r="1944" spans="1:17" x14ac:dyDescent="0.25">
      <c r="A1944" s="30" t="s">
        <v>953</v>
      </c>
      <c r="B1944" s="30" t="s">
        <v>333</v>
      </c>
      <c r="C1944" s="30">
        <v>25</v>
      </c>
      <c r="D1944" s="190">
        <v>278027015.71399999</v>
      </c>
      <c r="E1944" s="30" t="s">
        <v>10</v>
      </c>
      <c r="F1944" s="190">
        <v>2381134.3790000002</v>
      </c>
      <c r="G1944" s="30" t="s">
        <v>335</v>
      </c>
      <c r="H1944" s="30"/>
      <c r="J1944" s="6">
        <v>10000</v>
      </c>
      <c r="K1944" s="119">
        <f>D1943</f>
        <v>62132.025000000001</v>
      </c>
      <c r="L1944" s="119">
        <f>D1945</f>
        <v>55100.25</v>
      </c>
      <c r="M1944" s="18">
        <f t="shared" si="220"/>
        <v>0.12761784202431037</v>
      </c>
      <c r="N1944" s="73">
        <f>D1944</f>
        <v>278027015.71399999</v>
      </c>
      <c r="O1944" s="22">
        <f t="shared" si="221"/>
        <v>-0.9997765252242109</v>
      </c>
    </row>
    <row r="1945" spans="1:17" x14ac:dyDescent="0.25">
      <c r="A1945" s="30" t="s">
        <v>954</v>
      </c>
      <c r="B1945" s="30" t="s">
        <v>333</v>
      </c>
      <c r="C1945" s="30">
        <v>25</v>
      </c>
      <c r="D1945" s="190">
        <v>55100.25</v>
      </c>
      <c r="E1945" s="30" t="s">
        <v>10</v>
      </c>
      <c r="F1945" s="190">
        <v>294.05</v>
      </c>
      <c r="G1945" s="30" t="s">
        <v>335</v>
      </c>
      <c r="H1945" s="30"/>
      <c r="J1945" s="67">
        <v>1000</v>
      </c>
      <c r="K1945" s="119">
        <f>D1947</f>
        <v>6253.4489999999996</v>
      </c>
      <c r="L1945" s="119">
        <f>D1949</f>
        <v>5533.2790000000005</v>
      </c>
      <c r="M1945" s="18">
        <f t="shared" si="220"/>
        <v>0.13015248282257219</v>
      </c>
      <c r="N1945" s="73">
        <f>D1948</f>
        <v>2806493.4640000002</v>
      </c>
      <c r="O1945" s="22">
        <f t="shared" si="221"/>
        <v>-0.99777179277977468</v>
      </c>
    </row>
    <row r="1946" spans="1:17" ht="20" thickBot="1" x14ac:dyDescent="0.3">
      <c r="A1946" s="30" t="s">
        <v>955</v>
      </c>
      <c r="B1946" s="30" t="s">
        <v>333</v>
      </c>
      <c r="C1946" s="30">
        <v>25</v>
      </c>
      <c r="D1946" s="190">
        <v>6056.7790000000005</v>
      </c>
      <c r="E1946" s="30" t="s">
        <v>10</v>
      </c>
      <c r="F1946" s="190">
        <v>43.655999999999999</v>
      </c>
      <c r="G1946" s="30" t="s">
        <v>335</v>
      </c>
      <c r="H1946" s="30"/>
      <c r="J1946" s="68">
        <v>100</v>
      </c>
      <c r="K1946" s="120">
        <f>D1951</f>
        <v>1025.3920000000001</v>
      </c>
      <c r="L1946" s="120">
        <f>D1953</f>
        <v>564.98</v>
      </c>
      <c r="M1946" s="19">
        <f t="shared" si="220"/>
        <v>0.8149173422068039</v>
      </c>
      <c r="N1946" s="74">
        <f>D1952</f>
        <v>33356.875999999997</v>
      </c>
      <c r="O1946" s="23">
        <f t="shared" si="221"/>
        <v>-0.96925995108175</v>
      </c>
    </row>
    <row r="1947" spans="1:17" x14ac:dyDescent="0.25">
      <c r="A1947" s="30" t="s">
        <v>956</v>
      </c>
      <c r="B1947" s="30" t="s">
        <v>333</v>
      </c>
      <c r="C1947" s="30">
        <v>25</v>
      </c>
      <c r="D1947" s="190">
        <v>6253.4489999999996</v>
      </c>
      <c r="E1947" s="30" t="s">
        <v>10</v>
      </c>
      <c r="F1947" s="190">
        <v>52.042999999999999</v>
      </c>
      <c r="G1947" s="30" t="s">
        <v>335</v>
      </c>
      <c r="H1947" s="30"/>
    </row>
    <row r="1948" spans="1:17" x14ac:dyDescent="0.25">
      <c r="A1948" s="30" t="s">
        <v>957</v>
      </c>
      <c r="B1948" s="30" t="s">
        <v>333</v>
      </c>
      <c r="C1948" s="30">
        <v>25</v>
      </c>
      <c r="D1948" s="190">
        <v>2806493.4640000002</v>
      </c>
      <c r="E1948" s="30" t="s">
        <v>10</v>
      </c>
      <c r="F1948" s="190">
        <v>29979.351999999999</v>
      </c>
      <c r="G1948" s="30" t="s">
        <v>335</v>
      </c>
      <c r="H1948" s="30"/>
    </row>
    <row r="1949" spans="1:17" x14ac:dyDescent="0.25">
      <c r="A1949" s="30" t="s">
        <v>958</v>
      </c>
      <c r="B1949" s="30" t="s">
        <v>333</v>
      </c>
      <c r="C1949" s="30">
        <v>25</v>
      </c>
      <c r="D1949" s="190">
        <v>5533.2790000000005</v>
      </c>
      <c r="E1949" s="30" t="s">
        <v>10</v>
      </c>
      <c r="F1949" s="190">
        <v>46.642000000000003</v>
      </c>
      <c r="G1949" s="30" t="s">
        <v>335</v>
      </c>
      <c r="H1949" s="30"/>
    </row>
    <row r="1950" spans="1:17" x14ac:dyDescent="0.25">
      <c r="A1950" s="30" t="s">
        <v>959</v>
      </c>
      <c r="B1950" s="30" t="s">
        <v>333</v>
      </c>
      <c r="C1950" s="30">
        <v>25</v>
      </c>
      <c r="D1950" s="190">
        <v>621.08699999999999</v>
      </c>
      <c r="E1950" s="30" t="s">
        <v>10</v>
      </c>
      <c r="F1950" s="190">
        <v>5.5439999999999996</v>
      </c>
      <c r="G1950" s="30" t="s">
        <v>335</v>
      </c>
      <c r="H1950" s="30"/>
    </row>
    <row r="1951" spans="1:17" x14ac:dyDescent="0.25">
      <c r="A1951" s="30" t="s">
        <v>960</v>
      </c>
      <c r="B1951" s="30" t="s">
        <v>333</v>
      </c>
      <c r="C1951" s="30">
        <v>25</v>
      </c>
      <c r="D1951" s="190">
        <v>1025.3920000000001</v>
      </c>
      <c r="E1951" s="30" t="s">
        <v>10</v>
      </c>
      <c r="F1951" s="190">
        <v>5.6550000000000002</v>
      </c>
      <c r="G1951" s="30" t="s">
        <v>335</v>
      </c>
      <c r="H1951" s="30"/>
    </row>
    <row r="1952" spans="1:17" x14ac:dyDescent="0.25">
      <c r="A1952" s="30" t="s">
        <v>961</v>
      </c>
      <c r="B1952" s="30" t="s">
        <v>333</v>
      </c>
      <c r="C1952" s="30">
        <v>25</v>
      </c>
      <c r="D1952" s="190">
        <v>33356.875999999997</v>
      </c>
      <c r="E1952" s="30" t="s">
        <v>10</v>
      </c>
      <c r="F1952" s="190">
        <v>103.236</v>
      </c>
      <c r="G1952" s="30" t="s">
        <v>335</v>
      </c>
      <c r="H1952" s="30"/>
    </row>
    <row r="1953" spans="1:15" x14ac:dyDescent="0.25">
      <c r="A1953" s="30" t="s">
        <v>962</v>
      </c>
      <c r="B1953" s="30" t="s">
        <v>333</v>
      </c>
      <c r="C1953" s="30">
        <v>25</v>
      </c>
      <c r="D1953" s="190">
        <v>564.98</v>
      </c>
      <c r="E1953" s="30" t="s">
        <v>10</v>
      </c>
      <c r="F1953" s="190">
        <v>4.4290000000000003</v>
      </c>
      <c r="G1953" s="30" t="s">
        <v>335</v>
      </c>
      <c r="H1953" s="30"/>
    </row>
    <row r="1954" spans="1:15" x14ac:dyDescent="0.25">
      <c r="A1954" s="30"/>
      <c r="B1954" s="30"/>
      <c r="C1954" s="30"/>
      <c r="D1954" s="190"/>
      <c r="E1954" s="30"/>
      <c r="F1954" s="190"/>
      <c r="G1954" s="30"/>
      <c r="H1954" s="30"/>
    </row>
    <row r="1955" spans="1:15" x14ac:dyDescent="0.25">
      <c r="A1955" s="30" t="s">
        <v>964</v>
      </c>
      <c r="B1955" s="30"/>
      <c r="C1955" s="30"/>
      <c r="D1955" s="190"/>
      <c r="E1955" s="30"/>
      <c r="F1955" s="190"/>
      <c r="G1955" s="30"/>
      <c r="H1955" s="30"/>
    </row>
    <row r="1956" spans="1:15" ht="20" thickBot="1" x14ac:dyDescent="0.3">
      <c r="A1956" s="30" t="s">
        <v>2</v>
      </c>
      <c r="B1956" s="30" t="s">
        <v>3</v>
      </c>
      <c r="C1956" s="30" t="s">
        <v>4</v>
      </c>
      <c r="D1956" s="190" t="s">
        <v>5</v>
      </c>
      <c r="E1956" s="30" t="s">
        <v>6</v>
      </c>
      <c r="F1956" s="190" t="s">
        <v>7</v>
      </c>
      <c r="G1956" s="30"/>
      <c r="H1956" s="30"/>
    </row>
    <row r="1957" spans="1:15" x14ac:dyDescent="0.25">
      <c r="A1957" s="30" t="s">
        <v>965</v>
      </c>
      <c r="B1957" s="30" t="s">
        <v>333</v>
      </c>
      <c r="C1957" s="30">
        <v>25</v>
      </c>
      <c r="D1957" s="190">
        <v>13438685.933</v>
      </c>
      <c r="E1957" s="30" t="s">
        <v>10</v>
      </c>
      <c r="F1957" s="190">
        <v>147345.12700000001</v>
      </c>
      <c r="G1957" s="30" t="s">
        <v>335</v>
      </c>
      <c r="H1957" s="30"/>
      <c r="J1957" s="5" t="s">
        <v>964</v>
      </c>
      <c r="K1957" s="72" t="s">
        <v>340</v>
      </c>
      <c r="L1957" s="72" t="s">
        <v>341</v>
      </c>
      <c r="M1957" s="17" t="s">
        <v>162</v>
      </c>
      <c r="N1957" s="72" t="s">
        <v>342</v>
      </c>
      <c r="O1957" s="21" t="s">
        <v>162</v>
      </c>
    </row>
    <row r="1958" spans="1:15" x14ac:dyDescent="0.25">
      <c r="A1958" s="30" t="s">
        <v>966</v>
      </c>
      <c r="B1958" s="30" t="s">
        <v>333</v>
      </c>
      <c r="C1958" s="30">
        <v>25</v>
      </c>
      <c r="D1958" s="190">
        <v>13891542.401000001</v>
      </c>
      <c r="E1958" s="30" t="s">
        <v>10</v>
      </c>
      <c r="F1958" s="190">
        <v>121290.64200000001</v>
      </c>
      <c r="G1958" s="30" t="s">
        <v>335</v>
      </c>
      <c r="H1958" s="30"/>
      <c r="J1958" s="6">
        <v>100000</v>
      </c>
      <c r="K1958" s="119">
        <f>D1957</f>
        <v>13438685.933</v>
      </c>
      <c r="L1958" s="119">
        <f>D1958</f>
        <v>13891542.401000001</v>
      </c>
      <c r="M1958" s="18">
        <f>(K1958/L1958-1)</f>
        <v>-3.2599437479843951E-2</v>
      </c>
      <c r="N1958" s="73">
        <f>D1959</f>
        <v>13764353.068</v>
      </c>
      <c r="O1958" s="22">
        <f>(K1958/N1958-1)</f>
        <v>-2.366018463716435E-2</v>
      </c>
    </row>
    <row r="1959" spans="1:15" x14ac:dyDescent="0.25">
      <c r="A1959" s="30" t="s">
        <v>967</v>
      </c>
      <c r="B1959" s="30" t="s">
        <v>333</v>
      </c>
      <c r="C1959" s="30">
        <v>25</v>
      </c>
      <c r="D1959" s="190">
        <v>13764353.068</v>
      </c>
      <c r="E1959" s="30" t="s">
        <v>10</v>
      </c>
      <c r="F1959" s="190">
        <v>128574.742</v>
      </c>
      <c r="G1959" s="30" t="s">
        <v>335</v>
      </c>
      <c r="H1959" s="30"/>
      <c r="J1959" s="6">
        <v>50000</v>
      </c>
      <c r="K1959" s="119">
        <f>D1960</f>
        <v>6290290.5379999997</v>
      </c>
      <c r="L1959" s="119">
        <f>D1961</f>
        <v>6424842.4900000002</v>
      </c>
      <c r="M1959" s="18">
        <f t="shared" ref="M1959:M1962" si="222">(K1959/L1959-1)</f>
        <v>-2.0942451462339307E-2</v>
      </c>
      <c r="N1959" s="73">
        <f>D1962</f>
        <v>6424806.3830000004</v>
      </c>
      <c r="O1959" s="22">
        <f t="shared" ref="O1959:O1962" si="223">(K1959/N1959-1)</f>
        <v>-2.0936949221680656E-2</v>
      </c>
    </row>
    <row r="1960" spans="1:15" x14ac:dyDescent="0.25">
      <c r="A1960" s="30" t="s">
        <v>968</v>
      </c>
      <c r="B1960" s="30" t="s">
        <v>333</v>
      </c>
      <c r="C1960" s="30">
        <v>25</v>
      </c>
      <c r="D1960" s="190">
        <v>6290290.5379999997</v>
      </c>
      <c r="E1960" s="30" t="s">
        <v>10</v>
      </c>
      <c r="F1960" s="190">
        <v>65849.082999999999</v>
      </c>
      <c r="G1960" s="30" t="s">
        <v>335</v>
      </c>
      <c r="H1960" s="30"/>
      <c r="J1960" s="6">
        <v>10000</v>
      </c>
      <c r="K1960" s="119">
        <f>D1963</f>
        <v>1008892.549</v>
      </c>
      <c r="L1960" s="119">
        <f>D1964</f>
        <v>1039131.297</v>
      </c>
      <c r="M1960" s="18">
        <f t="shared" si="222"/>
        <v>-2.9100026230852727E-2</v>
      </c>
      <c r="N1960" s="73">
        <f>D1965</f>
        <v>1037447.648</v>
      </c>
      <c r="O1960" s="22">
        <f t="shared" si="223"/>
        <v>-2.752437586132539E-2</v>
      </c>
    </row>
    <row r="1961" spans="1:15" x14ac:dyDescent="0.25">
      <c r="A1961" s="30" t="s">
        <v>969</v>
      </c>
      <c r="B1961" s="30" t="s">
        <v>333</v>
      </c>
      <c r="C1961" s="30">
        <v>25</v>
      </c>
      <c r="D1961" s="190">
        <v>6424842.4900000002</v>
      </c>
      <c r="E1961" s="30" t="s">
        <v>10</v>
      </c>
      <c r="F1961" s="190">
        <v>56427.923000000003</v>
      </c>
      <c r="G1961" s="30" t="s">
        <v>335</v>
      </c>
      <c r="H1961" s="30"/>
      <c r="J1961" s="67">
        <v>1000</v>
      </c>
      <c r="K1961" s="119">
        <f>D1966</f>
        <v>40914.101000000002</v>
      </c>
      <c r="L1961" s="119">
        <f>D1967</f>
        <v>36848.618000000002</v>
      </c>
      <c r="M1961" s="18">
        <f t="shared" si="222"/>
        <v>0.11032932089881897</v>
      </c>
      <c r="N1961" s="73">
        <f>D1968</f>
        <v>39214.955000000002</v>
      </c>
      <c r="O1961" s="22">
        <f t="shared" si="223"/>
        <v>4.3329030978105143E-2</v>
      </c>
    </row>
    <row r="1962" spans="1:15" ht="20" thickBot="1" x14ac:dyDescent="0.3">
      <c r="A1962" s="30" t="s">
        <v>970</v>
      </c>
      <c r="B1962" s="30" t="s">
        <v>333</v>
      </c>
      <c r="C1962" s="30">
        <v>25</v>
      </c>
      <c r="D1962" s="190">
        <v>6424806.3830000004</v>
      </c>
      <c r="E1962" s="30" t="s">
        <v>10</v>
      </c>
      <c r="F1962" s="190">
        <v>27813.738000000001</v>
      </c>
      <c r="G1962" s="30" t="s">
        <v>335</v>
      </c>
      <c r="H1962" s="30"/>
      <c r="J1962" s="68">
        <v>100</v>
      </c>
      <c r="K1962" s="120">
        <f>D1969</f>
        <v>2270.9299999999998</v>
      </c>
      <c r="L1962" s="120">
        <f>D1970</f>
        <v>2784.192</v>
      </c>
      <c r="M1962" s="19">
        <f t="shared" si="222"/>
        <v>-0.18434863687561787</v>
      </c>
      <c r="N1962" s="74">
        <f>D1971</f>
        <v>2400.605</v>
      </c>
      <c r="O1962" s="23">
        <f t="shared" si="223"/>
        <v>-5.4017633055000847E-2</v>
      </c>
    </row>
    <row r="1963" spans="1:15" ht="20" thickBot="1" x14ac:dyDescent="0.3">
      <c r="A1963" s="30" t="s">
        <v>971</v>
      </c>
      <c r="B1963" s="30" t="s">
        <v>333</v>
      </c>
      <c r="C1963" s="30">
        <v>25</v>
      </c>
      <c r="D1963" s="190">
        <v>1008892.549</v>
      </c>
      <c r="E1963" s="30" t="s">
        <v>10</v>
      </c>
      <c r="F1963" s="190">
        <v>5115.9040000000005</v>
      </c>
      <c r="G1963" s="30" t="s">
        <v>335</v>
      </c>
      <c r="H1963" s="30"/>
    </row>
    <row r="1964" spans="1:15" x14ac:dyDescent="0.25">
      <c r="A1964" s="30" t="s">
        <v>972</v>
      </c>
      <c r="B1964" s="30" t="s">
        <v>333</v>
      </c>
      <c r="C1964" s="30">
        <v>25</v>
      </c>
      <c r="D1964" s="190">
        <v>1039131.297</v>
      </c>
      <c r="E1964" s="30" t="s">
        <v>10</v>
      </c>
      <c r="F1964" s="190">
        <v>9204.6589999999997</v>
      </c>
      <c r="G1964" s="30" t="s">
        <v>335</v>
      </c>
      <c r="H1964" s="30"/>
      <c r="J1964" s="5" t="s">
        <v>964</v>
      </c>
      <c r="K1964" s="72" t="s">
        <v>341</v>
      </c>
      <c r="L1964" s="72" t="s">
        <v>342</v>
      </c>
      <c r="M1964" s="21" t="s">
        <v>162</v>
      </c>
    </row>
    <row r="1965" spans="1:15" x14ac:dyDescent="0.25">
      <c r="A1965" s="30" t="s">
        <v>973</v>
      </c>
      <c r="B1965" s="30" t="s">
        <v>333</v>
      </c>
      <c r="C1965" s="30">
        <v>25</v>
      </c>
      <c r="D1965" s="190">
        <v>1037447.648</v>
      </c>
      <c r="E1965" s="30" t="s">
        <v>10</v>
      </c>
      <c r="F1965" s="190">
        <v>9714.1640000000007</v>
      </c>
      <c r="G1965" s="30" t="s">
        <v>335</v>
      </c>
      <c r="H1965" s="30"/>
      <c r="J1965" s="6">
        <v>100000</v>
      </c>
      <c r="K1965" s="119">
        <f>D1958</f>
        <v>13891542.401000001</v>
      </c>
      <c r="L1965" s="119">
        <f>D1959</f>
        <v>13764353.068</v>
      </c>
      <c r="M1965" s="22">
        <f>(K1965/L1965-1)</f>
        <v>9.2404875384732854E-3</v>
      </c>
    </row>
    <row r="1966" spans="1:15" x14ac:dyDescent="0.25">
      <c r="A1966" s="30" t="s">
        <v>974</v>
      </c>
      <c r="B1966" s="30" t="s">
        <v>333</v>
      </c>
      <c r="C1966" s="30">
        <v>25</v>
      </c>
      <c r="D1966" s="190">
        <v>40914.101000000002</v>
      </c>
      <c r="E1966" s="30" t="s">
        <v>10</v>
      </c>
      <c r="F1966" s="190">
        <v>716.63900000000001</v>
      </c>
      <c r="G1966" s="30" t="s">
        <v>335</v>
      </c>
      <c r="H1966" s="30"/>
      <c r="J1966" s="6">
        <v>50000</v>
      </c>
      <c r="K1966" s="119">
        <f>D1961</f>
        <v>6424842.4900000002</v>
      </c>
      <c r="L1966" s="119">
        <f>D1962</f>
        <v>6424806.3830000004</v>
      </c>
      <c r="M1966" s="22">
        <f t="shared" ref="M1966:M1969" si="224">(K1966/L1966-1)</f>
        <v>5.6199358933195498E-6</v>
      </c>
    </row>
    <row r="1967" spans="1:15" x14ac:dyDescent="0.25">
      <c r="A1967" s="30" t="s">
        <v>975</v>
      </c>
      <c r="B1967" s="30" t="s">
        <v>333</v>
      </c>
      <c r="C1967" s="30">
        <v>25</v>
      </c>
      <c r="D1967" s="190">
        <v>36848.618000000002</v>
      </c>
      <c r="E1967" s="30" t="s">
        <v>10</v>
      </c>
      <c r="F1967" s="190">
        <v>540.81700000000001</v>
      </c>
      <c r="G1967" s="30" t="s">
        <v>335</v>
      </c>
      <c r="H1967" s="30"/>
      <c r="J1967" s="6">
        <v>10000</v>
      </c>
      <c r="K1967" s="119">
        <f>D1964</f>
        <v>1039131.297</v>
      </c>
      <c r="L1967" s="119">
        <f>D1965</f>
        <v>1037447.648</v>
      </c>
      <c r="M1967" s="22">
        <f t="shared" si="224"/>
        <v>1.6228761068046715E-3</v>
      </c>
    </row>
    <row r="1968" spans="1:15" x14ac:dyDescent="0.25">
      <c r="A1968" s="30" t="s">
        <v>976</v>
      </c>
      <c r="B1968" s="30" t="s">
        <v>333</v>
      </c>
      <c r="C1968" s="30">
        <v>25</v>
      </c>
      <c r="D1968" s="190">
        <v>39214.955000000002</v>
      </c>
      <c r="E1968" s="30" t="s">
        <v>10</v>
      </c>
      <c r="F1968" s="190">
        <v>387.02600000000001</v>
      </c>
      <c r="G1968" s="30" t="s">
        <v>335</v>
      </c>
      <c r="H1968" s="30"/>
      <c r="J1968" s="67">
        <v>1000</v>
      </c>
      <c r="K1968" s="119">
        <f>D1967</f>
        <v>36848.618000000002</v>
      </c>
      <c r="L1968" s="119">
        <f>D1968</f>
        <v>39214.955000000002</v>
      </c>
      <c r="M1968" s="22">
        <f t="shared" si="224"/>
        <v>-6.0342718740847734E-2</v>
      </c>
    </row>
    <row r="1969" spans="1:15" ht="20" thickBot="1" x14ac:dyDescent="0.3">
      <c r="A1969" s="30" t="s">
        <v>977</v>
      </c>
      <c r="B1969" s="30" t="s">
        <v>333</v>
      </c>
      <c r="C1969" s="30">
        <v>25</v>
      </c>
      <c r="D1969" s="190">
        <v>2270.9299999999998</v>
      </c>
      <c r="E1969" s="30" t="s">
        <v>10</v>
      </c>
      <c r="F1969" s="190">
        <v>15.583</v>
      </c>
      <c r="G1969" s="30" t="s">
        <v>335</v>
      </c>
      <c r="H1969" s="30"/>
      <c r="J1969" s="68">
        <v>100</v>
      </c>
      <c r="K1969" s="120">
        <f>D1970</f>
        <v>2784.192</v>
      </c>
      <c r="L1969" s="120">
        <f>D1971</f>
        <v>2400.605</v>
      </c>
      <c r="M1969" s="23">
        <f t="shared" si="224"/>
        <v>0.15978763686653985</v>
      </c>
    </row>
    <row r="1970" spans="1:15" x14ac:dyDescent="0.25">
      <c r="A1970" s="30" t="s">
        <v>978</v>
      </c>
      <c r="B1970" s="30" t="s">
        <v>333</v>
      </c>
      <c r="C1970" s="30">
        <v>25</v>
      </c>
      <c r="D1970" s="190">
        <v>2784.192</v>
      </c>
      <c r="E1970" s="30" t="s">
        <v>10</v>
      </c>
      <c r="F1970" s="190">
        <v>29.34</v>
      </c>
      <c r="G1970" s="30" t="s">
        <v>335</v>
      </c>
      <c r="H1970" s="30"/>
    </row>
    <row r="1971" spans="1:15" x14ac:dyDescent="0.25">
      <c r="A1971" s="30" t="s">
        <v>979</v>
      </c>
      <c r="B1971" s="30" t="s">
        <v>333</v>
      </c>
      <c r="C1971" s="30">
        <v>25</v>
      </c>
      <c r="D1971" s="190">
        <v>2400.605</v>
      </c>
      <c r="E1971" s="30" t="s">
        <v>10</v>
      </c>
      <c r="F1971" s="190">
        <v>21.832999999999998</v>
      </c>
      <c r="G1971" s="30" t="s">
        <v>335</v>
      </c>
      <c r="H1971" s="30"/>
    </row>
    <row r="1972" spans="1:15" x14ac:dyDescent="0.25">
      <c r="A1972" s="30"/>
      <c r="B1972" s="30"/>
      <c r="C1972" s="30"/>
      <c r="D1972" s="190"/>
      <c r="E1972" s="30"/>
      <c r="F1972" s="190"/>
      <c r="G1972" s="30"/>
      <c r="H1972" s="30"/>
    </row>
    <row r="1973" spans="1:15" x14ac:dyDescent="0.25">
      <c r="A1973" s="30" t="s">
        <v>980</v>
      </c>
      <c r="B1973" s="30"/>
      <c r="C1973" s="30"/>
      <c r="D1973" s="190"/>
      <c r="E1973" s="30"/>
      <c r="F1973" s="190"/>
      <c r="G1973" s="30"/>
      <c r="H1973" s="30"/>
    </row>
    <row r="1974" spans="1:15" ht="20" thickBot="1" x14ac:dyDescent="0.3">
      <c r="A1974" s="30" t="s">
        <v>2</v>
      </c>
      <c r="B1974" s="30" t="s">
        <v>3</v>
      </c>
      <c r="C1974" s="30" t="s">
        <v>4</v>
      </c>
      <c r="D1974" s="190" t="s">
        <v>5</v>
      </c>
      <c r="E1974" s="30" t="s">
        <v>6</v>
      </c>
      <c r="F1974" s="190" t="s">
        <v>7</v>
      </c>
      <c r="G1974" s="30"/>
      <c r="H1974" s="30"/>
    </row>
    <row r="1975" spans="1:15" x14ac:dyDescent="0.25">
      <c r="A1975" s="30" t="s">
        <v>981</v>
      </c>
      <c r="B1975" s="30" t="s">
        <v>333</v>
      </c>
      <c r="C1975" s="30">
        <v>25</v>
      </c>
      <c r="D1975" s="190">
        <v>54278.364999999998</v>
      </c>
      <c r="E1975" s="30" t="s">
        <v>10</v>
      </c>
      <c r="F1975" s="190">
        <v>369.67399999999998</v>
      </c>
      <c r="G1975" s="30" t="s">
        <v>335</v>
      </c>
      <c r="H1975" s="30"/>
      <c r="J1975" s="5" t="s">
        <v>980</v>
      </c>
      <c r="K1975" s="72" t="s">
        <v>340</v>
      </c>
      <c r="L1975" s="72" t="s">
        <v>341</v>
      </c>
      <c r="M1975" s="17" t="s">
        <v>162</v>
      </c>
      <c r="N1975" s="72" t="s">
        <v>342</v>
      </c>
      <c r="O1975" s="21" t="s">
        <v>162</v>
      </c>
    </row>
    <row r="1976" spans="1:15" x14ac:dyDescent="0.25">
      <c r="A1976" s="30" t="s">
        <v>982</v>
      </c>
      <c r="B1976" s="30" t="s">
        <v>333</v>
      </c>
      <c r="C1976" s="30">
        <v>25</v>
      </c>
      <c r="D1976" s="190">
        <v>28886.501</v>
      </c>
      <c r="E1976" s="30" t="s">
        <v>10</v>
      </c>
      <c r="F1976" s="190">
        <v>438.108</v>
      </c>
      <c r="G1976" s="30" t="s">
        <v>335</v>
      </c>
      <c r="H1976" s="30"/>
      <c r="J1976" s="6">
        <v>100000</v>
      </c>
      <c r="K1976" s="119">
        <f>D1975</f>
        <v>54278.364999999998</v>
      </c>
      <c r="L1976" s="119">
        <f>D1976</f>
        <v>28886.501</v>
      </c>
      <c r="M1976" s="18">
        <f>(K1976/L1976-1)</f>
        <v>0.87902179637471489</v>
      </c>
      <c r="N1976" s="73">
        <f>D1977</f>
        <v>40301.870999999999</v>
      </c>
      <c r="O1976" s="22">
        <f>(K1976/N1976-1)</f>
        <v>0.34679516491926643</v>
      </c>
    </row>
    <row r="1977" spans="1:15" x14ac:dyDescent="0.25">
      <c r="A1977" s="30" t="s">
        <v>983</v>
      </c>
      <c r="B1977" s="30" t="s">
        <v>333</v>
      </c>
      <c r="C1977" s="30">
        <v>25</v>
      </c>
      <c r="D1977" s="190">
        <v>40301.870999999999</v>
      </c>
      <c r="E1977" s="30" t="s">
        <v>10</v>
      </c>
      <c r="F1977" s="190">
        <v>262.07600000000002</v>
      </c>
      <c r="G1977" s="30" t="s">
        <v>335</v>
      </c>
      <c r="H1977" s="30"/>
      <c r="J1977" s="6">
        <v>50000</v>
      </c>
      <c r="K1977" s="119">
        <f>D1978</f>
        <v>27238.223000000002</v>
      </c>
      <c r="L1977" s="119">
        <f>D1979</f>
        <v>14218.724</v>
      </c>
      <c r="M1977" s="18">
        <f t="shared" ref="M1977:M1980" si="225">(K1977/L1977-1)</f>
        <v>0.91565874687489557</v>
      </c>
      <c r="N1977" s="73">
        <f>D1980</f>
        <v>19238.339</v>
      </c>
      <c r="O1977" s="22">
        <f t="shared" ref="O1977:O1980" si="226">(K1977/N1977-1)</f>
        <v>0.41583028555635715</v>
      </c>
    </row>
    <row r="1978" spans="1:15" x14ac:dyDescent="0.25">
      <c r="A1978" s="30" t="s">
        <v>984</v>
      </c>
      <c r="B1978" s="30" t="s">
        <v>333</v>
      </c>
      <c r="C1978" s="30">
        <v>25</v>
      </c>
      <c r="D1978" s="190">
        <v>27238.223000000002</v>
      </c>
      <c r="E1978" s="30" t="s">
        <v>10</v>
      </c>
      <c r="F1978" s="190">
        <v>137.84899999999999</v>
      </c>
      <c r="G1978" s="30" t="s">
        <v>335</v>
      </c>
      <c r="H1978" s="30"/>
      <c r="J1978" s="6">
        <v>10000</v>
      </c>
      <c r="K1978" s="119">
        <f>D1981</f>
        <v>5438.6369999999997</v>
      </c>
      <c r="L1978" s="119">
        <f>D1982</f>
        <v>2860.3229999999999</v>
      </c>
      <c r="M1978" s="18">
        <f t="shared" si="225"/>
        <v>0.90140658939567309</v>
      </c>
      <c r="N1978" s="73">
        <f>D1983</f>
        <v>4307.2460000000001</v>
      </c>
      <c r="O1978" s="22">
        <f t="shared" si="226"/>
        <v>0.26267155393492714</v>
      </c>
    </row>
    <row r="1979" spans="1:15" x14ac:dyDescent="0.25">
      <c r="A1979" s="30" t="s">
        <v>985</v>
      </c>
      <c r="B1979" s="30" t="s">
        <v>333</v>
      </c>
      <c r="C1979" s="30">
        <v>25</v>
      </c>
      <c r="D1979" s="190">
        <v>14218.724</v>
      </c>
      <c r="E1979" s="30" t="s">
        <v>10</v>
      </c>
      <c r="F1979" s="190">
        <v>130.03399999999999</v>
      </c>
      <c r="G1979" s="30" t="s">
        <v>335</v>
      </c>
      <c r="H1979" s="30"/>
      <c r="J1979" s="67">
        <v>1000</v>
      </c>
      <c r="K1979" s="119">
        <f>D1984</f>
        <v>573.48699999999997</v>
      </c>
      <c r="L1979" s="119">
        <f>D1985</f>
        <v>326.36</v>
      </c>
      <c r="M1979" s="18">
        <f t="shared" si="225"/>
        <v>0.75722208603995567</v>
      </c>
      <c r="N1979" s="73">
        <f>D1986</f>
        <v>460.714</v>
      </c>
      <c r="O1979" s="22">
        <f t="shared" si="226"/>
        <v>0.24477875645194191</v>
      </c>
    </row>
    <row r="1980" spans="1:15" ht="20" thickBot="1" x14ac:dyDescent="0.3">
      <c r="A1980" s="30" t="s">
        <v>986</v>
      </c>
      <c r="B1980" s="30" t="s">
        <v>333</v>
      </c>
      <c r="C1980" s="30">
        <v>25</v>
      </c>
      <c r="D1980" s="190">
        <v>19238.339</v>
      </c>
      <c r="E1980" s="30" t="s">
        <v>10</v>
      </c>
      <c r="F1980" s="190">
        <v>115.857</v>
      </c>
      <c r="G1980" s="30" t="s">
        <v>335</v>
      </c>
      <c r="H1980" s="30"/>
      <c r="J1980" s="68">
        <v>100</v>
      </c>
      <c r="K1980" s="120">
        <f>D1987</f>
        <v>59.835000000000001</v>
      </c>
      <c r="L1980" s="120">
        <f>D1988</f>
        <v>33.055</v>
      </c>
      <c r="M1980" s="19">
        <f t="shared" si="225"/>
        <v>0.8101648767206171</v>
      </c>
      <c r="N1980" s="74">
        <f>D1989</f>
        <v>65.566000000000003</v>
      </c>
      <c r="O1980" s="23">
        <f t="shared" si="226"/>
        <v>-8.740810786078157E-2</v>
      </c>
    </row>
    <row r="1981" spans="1:15" ht="20" thickBot="1" x14ac:dyDescent="0.3">
      <c r="A1981" s="30" t="s">
        <v>987</v>
      </c>
      <c r="B1981" s="30" t="s">
        <v>333</v>
      </c>
      <c r="C1981" s="30">
        <v>25</v>
      </c>
      <c r="D1981" s="190">
        <v>5438.6369999999997</v>
      </c>
      <c r="E1981" s="30" t="s">
        <v>10</v>
      </c>
      <c r="F1981" s="190">
        <v>62.267000000000003</v>
      </c>
      <c r="G1981" s="30" t="s">
        <v>335</v>
      </c>
      <c r="H1981" s="30"/>
    </row>
    <row r="1982" spans="1:15" x14ac:dyDescent="0.25">
      <c r="A1982" s="30" t="s">
        <v>988</v>
      </c>
      <c r="B1982" s="30" t="s">
        <v>333</v>
      </c>
      <c r="C1982" s="30">
        <v>25</v>
      </c>
      <c r="D1982" s="190">
        <v>2860.3229999999999</v>
      </c>
      <c r="E1982" s="30" t="s">
        <v>10</v>
      </c>
      <c r="F1982" s="190">
        <v>14.784000000000001</v>
      </c>
      <c r="G1982" s="30" t="s">
        <v>335</v>
      </c>
      <c r="H1982" s="30"/>
      <c r="J1982" s="5" t="s">
        <v>980</v>
      </c>
      <c r="K1982" s="72" t="s">
        <v>341</v>
      </c>
      <c r="L1982" s="72" t="s">
        <v>342</v>
      </c>
      <c r="M1982" s="21" t="s">
        <v>162</v>
      </c>
    </row>
    <row r="1983" spans="1:15" x14ac:dyDescent="0.25">
      <c r="A1983" s="30" t="s">
        <v>989</v>
      </c>
      <c r="B1983" s="30" t="s">
        <v>333</v>
      </c>
      <c r="C1983" s="30">
        <v>25</v>
      </c>
      <c r="D1983" s="190">
        <v>4307.2460000000001</v>
      </c>
      <c r="E1983" s="30" t="s">
        <v>10</v>
      </c>
      <c r="F1983" s="190">
        <v>29.614999999999998</v>
      </c>
      <c r="G1983" s="30" t="s">
        <v>335</v>
      </c>
      <c r="H1983" s="30"/>
      <c r="J1983" s="6">
        <v>100000</v>
      </c>
      <c r="K1983" s="119">
        <f>D1976</f>
        <v>28886.501</v>
      </c>
      <c r="L1983" s="119">
        <f>D1977</f>
        <v>40301.870999999999</v>
      </c>
      <c r="M1983" s="22">
        <f>(K1983/L1983-1)</f>
        <v>-0.28324665125348647</v>
      </c>
    </row>
    <row r="1984" spans="1:15" x14ac:dyDescent="0.25">
      <c r="A1984" s="30" t="s">
        <v>990</v>
      </c>
      <c r="B1984" s="30" t="s">
        <v>333</v>
      </c>
      <c r="C1984" s="30">
        <v>25</v>
      </c>
      <c r="D1984" s="190">
        <v>573.48699999999997</v>
      </c>
      <c r="E1984" s="30" t="s">
        <v>10</v>
      </c>
      <c r="F1984" s="190">
        <v>3.9990000000000001</v>
      </c>
      <c r="G1984" s="30" t="s">
        <v>335</v>
      </c>
      <c r="H1984" s="30"/>
      <c r="J1984" s="6">
        <v>50000</v>
      </c>
      <c r="K1984" s="119">
        <f>D1979</f>
        <v>14218.724</v>
      </c>
      <c r="L1984" s="119">
        <f>D1980</f>
        <v>19238.339</v>
      </c>
      <c r="M1984" s="22">
        <f t="shared" ref="M1984:M1987" si="227">(K1984/L1984-1)</f>
        <v>-0.26091727565461864</v>
      </c>
    </row>
    <row r="1985" spans="1:15" x14ac:dyDescent="0.25">
      <c r="A1985" s="30" t="s">
        <v>991</v>
      </c>
      <c r="B1985" s="30" t="s">
        <v>333</v>
      </c>
      <c r="C1985" s="30">
        <v>25</v>
      </c>
      <c r="D1985" s="190">
        <v>326.36</v>
      </c>
      <c r="E1985" s="30" t="s">
        <v>10</v>
      </c>
      <c r="F1985" s="190">
        <v>3.8410000000000002</v>
      </c>
      <c r="G1985" s="30" t="s">
        <v>335</v>
      </c>
      <c r="H1985" s="30"/>
      <c r="J1985" s="6">
        <v>10000</v>
      </c>
      <c r="K1985" s="119">
        <f>D1982</f>
        <v>2860.3229999999999</v>
      </c>
      <c r="L1985" s="119">
        <f>D1983</f>
        <v>4307.2460000000001</v>
      </c>
      <c r="M1985" s="22">
        <f t="shared" si="227"/>
        <v>-0.33592764378909401</v>
      </c>
    </row>
    <row r="1986" spans="1:15" x14ac:dyDescent="0.25">
      <c r="A1986" s="30" t="s">
        <v>992</v>
      </c>
      <c r="B1986" s="30" t="s">
        <v>333</v>
      </c>
      <c r="C1986" s="30">
        <v>25</v>
      </c>
      <c r="D1986" s="190">
        <v>460.714</v>
      </c>
      <c r="E1986" s="30" t="s">
        <v>10</v>
      </c>
      <c r="F1986" s="190">
        <v>4.8380000000000001</v>
      </c>
      <c r="G1986" s="30" t="s">
        <v>335</v>
      </c>
      <c r="H1986" s="30"/>
      <c r="J1986" s="67">
        <v>1000</v>
      </c>
      <c r="K1986" s="119">
        <f>D1985</f>
        <v>326.36</v>
      </c>
      <c r="L1986" s="119">
        <f>D1986</f>
        <v>460.714</v>
      </c>
      <c r="M1986" s="22">
        <f t="shared" si="227"/>
        <v>-0.29162126612171535</v>
      </c>
    </row>
    <row r="1987" spans="1:15" ht="20" thickBot="1" x14ac:dyDescent="0.3">
      <c r="A1987" s="30" t="s">
        <v>993</v>
      </c>
      <c r="B1987" s="30" t="s">
        <v>333</v>
      </c>
      <c r="C1987" s="30">
        <v>25</v>
      </c>
      <c r="D1987" s="190">
        <v>59.835000000000001</v>
      </c>
      <c r="E1987" s="30" t="s">
        <v>10</v>
      </c>
      <c r="F1987" s="190">
        <v>0.53400000000000003</v>
      </c>
      <c r="G1987" s="30" t="s">
        <v>335</v>
      </c>
      <c r="H1987" s="30"/>
      <c r="J1987" s="68">
        <v>100</v>
      </c>
      <c r="K1987" s="120">
        <f>D1988</f>
        <v>33.055</v>
      </c>
      <c r="L1987" s="120">
        <f>D1989</f>
        <v>65.566000000000003</v>
      </c>
      <c r="M1987" s="23">
        <f t="shared" si="227"/>
        <v>-0.49585150840374592</v>
      </c>
    </row>
    <row r="1988" spans="1:15" x14ac:dyDescent="0.25">
      <c r="A1988" s="30" t="s">
        <v>994</v>
      </c>
      <c r="B1988" s="30" t="s">
        <v>333</v>
      </c>
      <c r="C1988" s="30">
        <v>25</v>
      </c>
      <c r="D1988" s="190">
        <v>33.055</v>
      </c>
      <c r="E1988" s="30" t="s">
        <v>10</v>
      </c>
      <c r="F1988" s="190">
        <v>0.20799999999999999</v>
      </c>
      <c r="G1988" s="30" t="s">
        <v>335</v>
      </c>
      <c r="H1988" s="30"/>
    </row>
    <row r="1989" spans="1:15" x14ac:dyDescent="0.25">
      <c r="A1989" s="30" t="s">
        <v>995</v>
      </c>
      <c r="B1989" s="30" t="s">
        <v>333</v>
      </c>
      <c r="C1989" s="30">
        <v>25</v>
      </c>
      <c r="D1989" s="190">
        <v>65.566000000000003</v>
      </c>
      <c r="E1989" s="30" t="s">
        <v>10</v>
      </c>
      <c r="F1989" s="190">
        <v>0.69599999999999995</v>
      </c>
      <c r="G1989" s="30" t="s">
        <v>335</v>
      </c>
      <c r="H1989" s="30"/>
    </row>
    <row r="1990" spans="1:15" x14ac:dyDescent="0.25">
      <c r="A1990" s="30"/>
      <c r="B1990" s="30"/>
      <c r="C1990" s="30"/>
      <c r="D1990" s="190"/>
      <c r="E1990" s="30"/>
      <c r="F1990" s="190"/>
      <c r="G1990" s="30"/>
      <c r="H1990" s="30"/>
    </row>
    <row r="1991" spans="1:15" x14ac:dyDescent="0.25">
      <c r="A1991" s="30" t="s">
        <v>996</v>
      </c>
      <c r="B1991" s="30"/>
      <c r="C1991" s="30"/>
      <c r="D1991" s="190"/>
      <c r="E1991" s="30"/>
      <c r="F1991" s="190"/>
      <c r="G1991" s="30"/>
      <c r="H1991" s="30"/>
    </row>
    <row r="1992" spans="1:15" ht="20" thickBot="1" x14ac:dyDescent="0.3">
      <c r="A1992" s="30" t="s">
        <v>2</v>
      </c>
      <c r="B1992" s="30" t="s">
        <v>3</v>
      </c>
      <c r="C1992" s="30" t="s">
        <v>4</v>
      </c>
      <c r="D1992" s="190" t="s">
        <v>5</v>
      </c>
      <c r="E1992" s="30" t="s">
        <v>6</v>
      </c>
      <c r="F1992" s="190" t="s">
        <v>7</v>
      </c>
      <c r="G1992" s="30"/>
      <c r="H1992" s="30"/>
    </row>
    <row r="1993" spans="1:15" x14ac:dyDescent="0.25">
      <c r="A1993" s="30" t="s">
        <v>997</v>
      </c>
      <c r="B1993" s="30" t="s">
        <v>333</v>
      </c>
      <c r="C1993" s="30">
        <v>25</v>
      </c>
      <c r="D1993" s="190">
        <v>487248.87900000002</v>
      </c>
      <c r="E1993" s="30" t="s">
        <v>10</v>
      </c>
      <c r="F1993" s="190">
        <v>2687.5810000000001</v>
      </c>
      <c r="G1993" s="30" t="s">
        <v>335</v>
      </c>
      <c r="H1993" s="30"/>
      <c r="J1993" s="5" t="s">
        <v>996</v>
      </c>
      <c r="K1993" s="72" t="s">
        <v>340</v>
      </c>
      <c r="L1993" s="72" t="s">
        <v>341</v>
      </c>
      <c r="M1993" s="17" t="s">
        <v>162</v>
      </c>
      <c r="N1993" s="72" t="s">
        <v>342</v>
      </c>
      <c r="O1993" s="21" t="s">
        <v>162</v>
      </c>
    </row>
    <row r="1994" spans="1:15" x14ac:dyDescent="0.25">
      <c r="A1994" s="30" t="s">
        <v>998</v>
      </c>
      <c r="B1994" s="30" t="s">
        <v>333</v>
      </c>
      <c r="C1994" s="30">
        <v>25</v>
      </c>
      <c r="D1994" s="190">
        <v>263276.772</v>
      </c>
      <c r="E1994" s="30" t="s">
        <v>10</v>
      </c>
      <c r="F1994" s="190">
        <v>4531.1239999999998</v>
      </c>
      <c r="G1994" s="30" t="s">
        <v>335</v>
      </c>
      <c r="H1994" s="30"/>
      <c r="J1994" s="6">
        <v>100000</v>
      </c>
      <c r="K1994" s="119">
        <f>D1993</f>
        <v>487248.87900000002</v>
      </c>
      <c r="L1994" s="119">
        <f>D1994</f>
        <v>263276.772</v>
      </c>
      <c r="M1994" s="18">
        <f>(K1994/L1994-1)</f>
        <v>0.85070971243904503</v>
      </c>
      <c r="N1994" s="73">
        <f>D1995</f>
        <v>350806.81400000001</v>
      </c>
      <c r="O1994" s="22">
        <f>(K1994/N1994-1)</f>
        <v>0.38893789845256532</v>
      </c>
    </row>
    <row r="1995" spans="1:15" x14ac:dyDescent="0.25">
      <c r="A1995" s="30" t="s">
        <v>999</v>
      </c>
      <c r="B1995" s="30" t="s">
        <v>333</v>
      </c>
      <c r="C1995" s="30">
        <v>25</v>
      </c>
      <c r="D1995" s="190">
        <v>350806.81400000001</v>
      </c>
      <c r="E1995" s="30" t="s">
        <v>10</v>
      </c>
      <c r="F1995" s="190">
        <v>2631.8449999999998</v>
      </c>
      <c r="G1995" s="30" t="s">
        <v>335</v>
      </c>
      <c r="H1995" s="30"/>
      <c r="J1995" s="6">
        <v>50000</v>
      </c>
      <c r="K1995" s="119">
        <f>D1996</f>
        <v>242707.86300000001</v>
      </c>
      <c r="L1995" s="119">
        <f>D1997</f>
        <v>130475.711</v>
      </c>
      <c r="M1995" s="18">
        <f t="shared" ref="M1995:M1998" si="228">(K1995/L1995-1)</f>
        <v>0.86017658872922342</v>
      </c>
      <c r="N1995" s="73">
        <f>D1998</f>
        <v>172859.106</v>
      </c>
      <c r="O1995" s="22">
        <f t="shared" ref="O1995:O1998" si="229">(K1995/N1995-1)</f>
        <v>0.4040791290451311</v>
      </c>
    </row>
    <row r="1996" spans="1:15" x14ac:dyDescent="0.25">
      <c r="A1996" s="30" t="s">
        <v>1000</v>
      </c>
      <c r="B1996" s="30" t="s">
        <v>333</v>
      </c>
      <c r="C1996" s="30">
        <v>25</v>
      </c>
      <c r="D1996" s="190">
        <v>242707.86300000001</v>
      </c>
      <c r="E1996" s="30" t="s">
        <v>10</v>
      </c>
      <c r="F1996" s="190">
        <v>1328.146</v>
      </c>
      <c r="G1996" s="30" t="s">
        <v>335</v>
      </c>
      <c r="H1996" s="30"/>
      <c r="J1996" s="6">
        <v>10000</v>
      </c>
      <c r="K1996" s="119">
        <f>D1999</f>
        <v>61927.775999999998</v>
      </c>
      <c r="L1996" s="119">
        <f>D2000</f>
        <v>25671.806</v>
      </c>
      <c r="M1996" s="18">
        <f t="shared" si="228"/>
        <v>1.4122874721007159</v>
      </c>
      <c r="N1996" s="73">
        <f>D2001</f>
        <v>36748.957999999999</v>
      </c>
      <c r="O1996" s="22">
        <f t="shared" si="229"/>
        <v>0.68515733153576752</v>
      </c>
    </row>
    <row r="1997" spans="1:15" x14ac:dyDescent="0.25">
      <c r="A1997" s="30" t="s">
        <v>1001</v>
      </c>
      <c r="B1997" s="30" t="s">
        <v>333</v>
      </c>
      <c r="C1997" s="30">
        <v>25</v>
      </c>
      <c r="D1997" s="190">
        <v>130475.711</v>
      </c>
      <c r="E1997" s="30" t="s">
        <v>10</v>
      </c>
      <c r="F1997" s="190">
        <v>1353.453</v>
      </c>
      <c r="G1997" s="30" t="s">
        <v>335</v>
      </c>
      <c r="H1997" s="30"/>
      <c r="J1997" s="67">
        <v>1000</v>
      </c>
      <c r="K1997" s="119">
        <f>D2002</f>
        <v>6246.9260000000004</v>
      </c>
      <c r="L1997" s="119">
        <f>D2003</f>
        <v>2568.5830000000001</v>
      </c>
      <c r="M1997" s="18">
        <f t="shared" si="228"/>
        <v>1.432051446264341</v>
      </c>
      <c r="N1997" s="73">
        <f>D2004</f>
        <v>3808.0050000000001</v>
      </c>
      <c r="O1997" s="22">
        <f t="shared" si="229"/>
        <v>0.64047211072464449</v>
      </c>
    </row>
    <row r="1998" spans="1:15" ht="20" thickBot="1" x14ac:dyDescent="0.3">
      <c r="A1998" s="30" t="s">
        <v>1002</v>
      </c>
      <c r="B1998" s="30" t="s">
        <v>333</v>
      </c>
      <c r="C1998" s="30">
        <v>25</v>
      </c>
      <c r="D1998" s="190">
        <v>172859.106</v>
      </c>
      <c r="E1998" s="30" t="s">
        <v>10</v>
      </c>
      <c r="F1998" s="190">
        <v>1037.4970000000001</v>
      </c>
      <c r="G1998" s="30" t="s">
        <v>335</v>
      </c>
      <c r="H1998" s="30"/>
      <c r="J1998" s="68">
        <v>100</v>
      </c>
      <c r="K1998" s="120">
        <f>D2005</f>
        <v>516.52499999999998</v>
      </c>
      <c r="L1998" s="120">
        <f>D2006</f>
        <v>285.73700000000002</v>
      </c>
      <c r="M1998" s="19">
        <f t="shared" si="228"/>
        <v>0.80769378834382644</v>
      </c>
      <c r="N1998" s="74">
        <f>D2007</f>
        <v>416.85300000000001</v>
      </c>
      <c r="O1998" s="23">
        <f t="shared" si="229"/>
        <v>0.23910587185410681</v>
      </c>
    </row>
    <row r="1999" spans="1:15" ht="20" thickBot="1" x14ac:dyDescent="0.3">
      <c r="A1999" s="30" t="s">
        <v>1003</v>
      </c>
      <c r="B1999" s="30" t="s">
        <v>333</v>
      </c>
      <c r="C1999" s="30">
        <v>25</v>
      </c>
      <c r="D1999" s="190">
        <v>61927.775999999998</v>
      </c>
      <c r="E1999" s="30" t="s">
        <v>10</v>
      </c>
      <c r="F1999" s="190">
        <v>458.10199999999998</v>
      </c>
      <c r="G1999" s="30" t="s">
        <v>335</v>
      </c>
      <c r="H1999" s="30"/>
    </row>
    <row r="2000" spans="1:15" x14ac:dyDescent="0.25">
      <c r="A2000" s="30" t="s">
        <v>1004</v>
      </c>
      <c r="B2000" s="30" t="s">
        <v>333</v>
      </c>
      <c r="C2000" s="30">
        <v>25</v>
      </c>
      <c r="D2000" s="190">
        <v>25671.806</v>
      </c>
      <c r="E2000" s="30" t="s">
        <v>10</v>
      </c>
      <c r="F2000" s="190">
        <v>195.55099999999999</v>
      </c>
      <c r="G2000" s="30" t="s">
        <v>335</v>
      </c>
      <c r="H2000" s="30"/>
      <c r="J2000" s="5" t="s">
        <v>996</v>
      </c>
      <c r="K2000" s="72" t="s">
        <v>341</v>
      </c>
      <c r="L2000" s="72" t="s">
        <v>342</v>
      </c>
      <c r="M2000" s="21" t="s">
        <v>162</v>
      </c>
      <c r="N2000" s="78"/>
      <c r="O2000" s="44"/>
    </row>
    <row r="2001" spans="1:13" x14ac:dyDescent="0.25">
      <c r="A2001" s="30" t="s">
        <v>1005</v>
      </c>
      <c r="B2001" s="30" t="s">
        <v>333</v>
      </c>
      <c r="C2001" s="30">
        <v>25</v>
      </c>
      <c r="D2001" s="190">
        <v>36748.957999999999</v>
      </c>
      <c r="E2001" s="30" t="s">
        <v>10</v>
      </c>
      <c r="F2001" s="190">
        <v>309.30599999999998</v>
      </c>
      <c r="G2001" s="30" t="s">
        <v>335</v>
      </c>
      <c r="H2001" s="30"/>
      <c r="J2001" s="6">
        <v>100000</v>
      </c>
      <c r="K2001" s="119">
        <f>D1994</f>
        <v>263276.772</v>
      </c>
      <c r="L2001" s="119">
        <f>D1995</f>
        <v>350806.81400000001</v>
      </c>
      <c r="M2001" s="22">
        <f>(K2001/L2001-1)</f>
        <v>-0.24951066657445264</v>
      </c>
    </row>
    <row r="2002" spans="1:13" x14ac:dyDescent="0.25">
      <c r="A2002" s="30" t="s">
        <v>1006</v>
      </c>
      <c r="B2002" s="30" t="s">
        <v>333</v>
      </c>
      <c r="C2002" s="30">
        <v>25</v>
      </c>
      <c r="D2002" s="190">
        <v>6246.9260000000004</v>
      </c>
      <c r="E2002" s="30" t="s">
        <v>10</v>
      </c>
      <c r="F2002" s="190">
        <v>52.267000000000003</v>
      </c>
      <c r="G2002" s="30" t="s">
        <v>335</v>
      </c>
      <c r="H2002" s="30"/>
      <c r="J2002" s="6">
        <v>50000</v>
      </c>
      <c r="K2002" s="119">
        <f>D1997</f>
        <v>130475.711</v>
      </c>
      <c r="L2002" s="119">
        <f>D1998</f>
        <v>172859.106</v>
      </c>
      <c r="M2002" s="22">
        <f t="shared" ref="M2002:M2005" si="230">(K2002/L2002-1)</f>
        <v>-0.24519040958131533</v>
      </c>
    </row>
    <row r="2003" spans="1:13" x14ac:dyDescent="0.25">
      <c r="A2003" s="30" t="s">
        <v>1007</v>
      </c>
      <c r="B2003" s="30" t="s">
        <v>333</v>
      </c>
      <c r="C2003" s="30">
        <v>25</v>
      </c>
      <c r="D2003" s="190">
        <v>2568.5830000000001</v>
      </c>
      <c r="E2003" s="30" t="s">
        <v>10</v>
      </c>
      <c r="F2003" s="190">
        <v>17.786999999999999</v>
      </c>
      <c r="G2003" s="30" t="s">
        <v>335</v>
      </c>
      <c r="H2003" s="30"/>
      <c r="J2003" s="6">
        <v>10000</v>
      </c>
      <c r="K2003" s="119">
        <f>D2000</f>
        <v>25671.806</v>
      </c>
      <c r="L2003" s="119">
        <f>D2001</f>
        <v>36748.957999999999</v>
      </c>
      <c r="M2003" s="22">
        <f t="shared" si="230"/>
        <v>-0.30142764864244587</v>
      </c>
    </row>
    <row r="2004" spans="1:13" x14ac:dyDescent="0.25">
      <c r="A2004" s="30" t="s">
        <v>1008</v>
      </c>
      <c r="B2004" s="30" t="s">
        <v>333</v>
      </c>
      <c r="C2004" s="30">
        <v>25</v>
      </c>
      <c r="D2004" s="190">
        <v>3808.0050000000001</v>
      </c>
      <c r="E2004" s="30" t="s">
        <v>10</v>
      </c>
      <c r="F2004" s="190">
        <v>26.678000000000001</v>
      </c>
      <c r="G2004" s="30" t="s">
        <v>335</v>
      </c>
      <c r="H2004" s="30"/>
      <c r="J2004" s="67">
        <v>1000</v>
      </c>
      <c r="K2004" s="119">
        <f>D2003</f>
        <v>2568.5830000000001</v>
      </c>
      <c r="L2004" s="119">
        <f>D2004</f>
        <v>3808.0050000000001</v>
      </c>
      <c r="M2004" s="22">
        <f t="shared" si="230"/>
        <v>-0.32547803902568406</v>
      </c>
    </row>
    <row r="2005" spans="1:13" ht="20" thickBot="1" x14ac:dyDescent="0.3">
      <c r="A2005" s="30" t="s">
        <v>1009</v>
      </c>
      <c r="B2005" s="30" t="s">
        <v>333</v>
      </c>
      <c r="C2005" s="30">
        <v>25</v>
      </c>
      <c r="D2005" s="190">
        <v>516.52499999999998</v>
      </c>
      <c r="E2005" s="30" t="s">
        <v>10</v>
      </c>
      <c r="F2005" s="190">
        <v>3.32</v>
      </c>
      <c r="G2005" s="30" t="s">
        <v>335</v>
      </c>
      <c r="H2005" s="30"/>
      <c r="J2005" s="68">
        <v>100</v>
      </c>
      <c r="K2005" s="120">
        <f>D2006</f>
        <v>285.73700000000002</v>
      </c>
      <c r="L2005" s="120">
        <f>D2007</f>
        <v>416.85300000000001</v>
      </c>
      <c r="M2005" s="23">
        <f t="shared" si="230"/>
        <v>-0.31453773872324298</v>
      </c>
    </row>
    <row r="2006" spans="1:13" x14ac:dyDescent="0.25">
      <c r="A2006" s="30" t="s">
        <v>1010</v>
      </c>
      <c r="B2006" s="30" t="s">
        <v>333</v>
      </c>
      <c r="C2006" s="30">
        <v>25</v>
      </c>
      <c r="D2006" s="190">
        <v>285.73700000000002</v>
      </c>
      <c r="E2006" s="30" t="s">
        <v>10</v>
      </c>
      <c r="F2006" s="190">
        <v>1.575</v>
      </c>
      <c r="G2006" s="30" t="s">
        <v>335</v>
      </c>
      <c r="H2006" s="30"/>
    </row>
    <row r="2007" spans="1:13" x14ac:dyDescent="0.25">
      <c r="A2007" s="30" t="s">
        <v>1011</v>
      </c>
      <c r="B2007" s="30" t="s">
        <v>333</v>
      </c>
      <c r="C2007" s="30">
        <v>25</v>
      </c>
      <c r="D2007" s="190">
        <v>416.85300000000001</v>
      </c>
      <c r="E2007" s="30" t="s">
        <v>10</v>
      </c>
      <c r="F2007" s="190">
        <v>4.2709999999999999</v>
      </c>
      <c r="G2007" s="30" t="s">
        <v>335</v>
      </c>
      <c r="H2007" s="30"/>
    </row>
    <row r="2009" spans="1:13" x14ac:dyDescent="0.25">
      <c r="A2009" s="30" t="s">
        <v>1014</v>
      </c>
      <c r="B2009" s="30"/>
      <c r="C2009" s="30"/>
      <c r="D2009" s="190"/>
      <c r="E2009" s="30"/>
      <c r="F2009" s="190"/>
      <c r="G2009" s="30"/>
      <c r="H2009" s="30"/>
    </row>
    <row r="2010" spans="1:13" ht="20" thickBot="1" x14ac:dyDescent="0.3">
      <c r="A2010" s="30" t="s">
        <v>2</v>
      </c>
      <c r="B2010" s="30" t="s">
        <v>3</v>
      </c>
      <c r="C2010" s="30" t="s">
        <v>4</v>
      </c>
      <c r="D2010" s="190" t="s">
        <v>5</v>
      </c>
      <c r="E2010" s="30" t="s">
        <v>6</v>
      </c>
      <c r="F2010" s="190" t="s">
        <v>7</v>
      </c>
      <c r="G2010" s="30"/>
      <c r="H2010" s="30"/>
    </row>
    <row r="2011" spans="1:13" x14ac:dyDescent="0.25">
      <c r="A2011" s="30" t="s">
        <v>619</v>
      </c>
      <c r="B2011" s="30" t="s">
        <v>333</v>
      </c>
      <c r="C2011" s="30">
        <v>25</v>
      </c>
      <c r="D2011" s="190">
        <v>296429.89199999999</v>
      </c>
      <c r="E2011" s="30" t="s">
        <v>10</v>
      </c>
      <c r="F2011" s="190">
        <v>7760.7659999999996</v>
      </c>
      <c r="G2011" s="30" t="s">
        <v>335</v>
      </c>
      <c r="H2011" s="30"/>
      <c r="J2011" s="5" t="s">
        <v>627</v>
      </c>
      <c r="K2011" s="72" t="s">
        <v>340</v>
      </c>
      <c r="L2011" s="72" t="s">
        <v>341</v>
      </c>
      <c r="M2011" s="21" t="s">
        <v>162</v>
      </c>
    </row>
    <row r="2012" spans="1:13" x14ac:dyDescent="0.25">
      <c r="A2012" s="30" t="s">
        <v>620</v>
      </c>
      <c r="B2012" s="30" t="s">
        <v>333</v>
      </c>
      <c r="C2012" s="30">
        <v>25</v>
      </c>
      <c r="D2012" s="190">
        <v>525895.43099999998</v>
      </c>
      <c r="E2012" s="30" t="s">
        <v>10</v>
      </c>
      <c r="F2012" s="190">
        <v>9176.1579999999994</v>
      </c>
      <c r="G2012" s="30" t="s">
        <v>335</v>
      </c>
      <c r="H2012" s="30"/>
      <c r="J2012" s="6">
        <v>10</v>
      </c>
      <c r="K2012" s="119">
        <f>D2011</f>
        <v>296429.89199999999</v>
      </c>
      <c r="L2012" s="119">
        <f>D2012</f>
        <v>525895.43099999998</v>
      </c>
      <c r="M2012" s="22">
        <f>(K2012/L2012-1)</f>
        <v>-0.4363330150324124</v>
      </c>
    </row>
    <row r="2013" spans="1:13" x14ac:dyDescent="0.25">
      <c r="A2013" s="30" t="s">
        <v>625</v>
      </c>
      <c r="B2013" s="30" t="s">
        <v>333</v>
      </c>
      <c r="C2013" s="30">
        <v>25</v>
      </c>
      <c r="D2013" s="190">
        <v>169892.505</v>
      </c>
      <c r="E2013" s="30" t="s">
        <v>10</v>
      </c>
      <c r="F2013" s="190">
        <v>722.31299999999999</v>
      </c>
      <c r="G2013" s="30" t="s">
        <v>335</v>
      </c>
      <c r="H2013" s="30"/>
      <c r="J2013" s="6">
        <v>5</v>
      </c>
      <c r="K2013" s="119">
        <f>D2013</f>
        <v>169892.505</v>
      </c>
      <c r="L2013" s="119">
        <f>D2014</f>
        <v>352574.652</v>
      </c>
      <c r="M2013" s="22">
        <f t="shared" ref="M2013:M2016" si="231">(K2013/L2013-1)</f>
        <v>-0.51813749503466855</v>
      </c>
    </row>
    <row r="2014" spans="1:13" x14ac:dyDescent="0.25">
      <c r="A2014" s="30" t="s">
        <v>626</v>
      </c>
      <c r="B2014" s="30" t="s">
        <v>333</v>
      </c>
      <c r="C2014" s="30">
        <v>25</v>
      </c>
      <c r="D2014" s="190">
        <v>352574.652</v>
      </c>
      <c r="E2014" s="30" t="s">
        <v>10</v>
      </c>
      <c r="F2014" s="190">
        <v>1973.5719999999999</v>
      </c>
      <c r="G2014" s="30" t="s">
        <v>335</v>
      </c>
      <c r="H2014" s="30"/>
      <c r="J2014" s="6">
        <v>3</v>
      </c>
      <c r="K2014" s="119">
        <f>D2015</f>
        <v>118016.552</v>
      </c>
      <c r="L2014" s="119">
        <f>D2016</f>
        <v>259687.609</v>
      </c>
      <c r="M2014" s="22">
        <f t="shared" si="231"/>
        <v>-0.54554415416871116</v>
      </c>
    </row>
    <row r="2015" spans="1:13" x14ac:dyDescent="0.25">
      <c r="A2015" s="30" t="s">
        <v>623</v>
      </c>
      <c r="B2015" s="30" t="s">
        <v>333</v>
      </c>
      <c r="C2015" s="30">
        <v>25</v>
      </c>
      <c r="D2015" s="190">
        <v>118016.552</v>
      </c>
      <c r="E2015" s="30" t="s">
        <v>10</v>
      </c>
      <c r="F2015" s="190">
        <v>1325.328</v>
      </c>
      <c r="G2015" s="30" t="s">
        <v>335</v>
      </c>
      <c r="H2015" s="30"/>
      <c r="J2015" s="67">
        <v>2</v>
      </c>
      <c r="K2015" s="119">
        <f>D2017</f>
        <v>93196.880999999994</v>
      </c>
      <c r="L2015" s="119">
        <f>D2018</f>
        <v>119127.878</v>
      </c>
      <c r="M2015" s="22">
        <f t="shared" si="231"/>
        <v>-0.21767362464057327</v>
      </c>
    </row>
    <row r="2016" spans="1:13" ht="20" thickBot="1" x14ac:dyDescent="0.3">
      <c r="A2016" s="30" t="s">
        <v>624</v>
      </c>
      <c r="B2016" s="30" t="s">
        <v>333</v>
      </c>
      <c r="C2016" s="30">
        <v>25</v>
      </c>
      <c r="D2016" s="190">
        <v>259687.609</v>
      </c>
      <c r="E2016" s="30" t="s">
        <v>10</v>
      </c>
      <c r="F2016" s="190">
        <v>73289.259999999995</v>
      </c>
      <c r="G2016" s="30" t="s">
        <v>335</v>
      </c>
      <c r="H2016" s="30"/>
      <c r="J2016" s="68">
        <v>1</v>
      </c>
      <c r="K2016" s="120">
        <f>D2019</f>
        <v>64025.381000000001</v>
      </c>
      <c r="L2016" s="120">
        <f>D2020</f>
        <v>28986.473999999998</v>
      </c>
      <c r="M2016" s="23">
        <f t="shared" si="231"/>
        <v>1.2088019743277503</v>
      </c>
    </row>
    <row r="2017" spans="1:17" x14ac:dyDescent="0.25">
      <c r="A2017" s="30" t="s">
        <v>621</v>
      </c>
      <c r="B2017" s="30" t="s">
        <v>333</v>
      </c>
      <c r="C2017" s="30">
        <v>25</v>
      </c>
      <c r="D2017" s="190">
        <v>93196.880999999994</v>
      </c>
      <c r="E2017" s="30" t="s">
        <v>10</v>
      </c>
      <c r="F2017" s="190">
        <v>1271.4690000000001</v>
      </c>
      <c r="G2017" s="30" t="s">
        <v>335</v>
      </c>
      <c r="H2017" s="30"/>
    </row>
    <row r="2018" spans="1:17" x14ac:dyDescent="0.25">
      <c r="A2018" s="30" t="s">
        <v>622</v>
      </c>
      <c r="B2018" s="30" t="s">
        <v>333</v>
      </c>
      <c r="C2018" s="30">
        <v>25</v>
      </c>
      <c r="D2018" s="190">
        <v>119127.878</v>
      </c>
      <c r="E2018" s="30" t="s">
        <v>10</v>
      </c>
      <c r="F2018" s="190">
        <v>2157.0970000000002</v>
      </c>
      <c r="G2018" s="30" t="s">
        <v>335</v>
      </c>
      <c r="H2018" s="30"/>
    </row>
    <row r="2019" spans="1:17" x14ac:dyDescent="0.25">
      <c r="A2019" s="30" t="s">
        <v>776</v>
      </c>
      <c r="B2019" s="30" t="s">
        <v>333</v>
      </c>
      <c r="C2019" s="30">
        <v>25</v>
      </c>
      <c r="D2019" s="190">
        <v>64025.381000000001</v>
      </c>
      <c r="E2019" s="30" t="s">
        <v>10</v>
      </c>
      <c r="F2019" s="190">
        <v>1104.405</v>
      </c>
      <c r="G2019" s="30" t="s">
        <v>335</v>
      </c>
      <c r="H2019" s="30"/>
    </row>
    <row r="2020" spans="1:17" x14ac:dyDescent="0.25">
      <c r="A2020" s="30" t="s">
        <v>777</v>
      </c>
      <c r="B2020" s="30" t="s">
        <v>333</v>
      </c>
      <c r="C2020" s="30">
        <v>25</v>
      </c>
      <c r="D2020" s="190">
        <v>28986.473999999998</v>
      </c>
      <c r="E2020" s="30" t="s">
        <v>10</v>
      </c>
      <c r="F2020" s="190">
        <v>350.096</v>
      </c>
      <c r="G2020" s="30" t="s">
        <v>335</v>
      </c>
      <c r="H2020" s="30"/>
    </row>
    <row r="2022" spans="1:17" x14ac:dyDescent="0.25">
      <c r="A2022" s="30" t="s">
        <v>943</v>
      </c>
      <c r="B2022" s="30"/>
      <c r="C2022" s="30"/>
      <c r="D2022" s="190"/>
      <c r="E2022" s="30"/>
      <c r="F2022" s="190"/>
      <c r="G2022" s="30"/>
      <c r="H2022" s="30"/>
    </row>
    <row r="2023" spans="1:17" ht="20" thickBot="1" x14ac:dyDescent="0.3">
      <c r="A2023" s="30" t="s">
        <v>2</v>
      </c>
      <c r="B2023" s="30" t="s">
        <v>3</v>
      </c>
      <c r="C2023" s="30" t="s">
        <v>4</v>
      </c>
      <c r="D2023" s="190" t="s">
        <v>5</v>
      </c>
      <c r="E2023" s="30" t="s">
        <v>6</v>
      </c>
      <c r="F2023" s="190" t="s">
        <v>7</v>
      </c>
      <c r="G2023" s="30"/>
      <c r="H2023" s="30"/>
    </row>
    <row r="2024" spans="1:17" x14ac:dyDescent="0.25">
      <c r="A2024" s="30" t="s">
        <v>944</v>
      </c>
      <c r="B2024" s="30" t="s">
        <v>333</v>
      </c>
      <c r="C2024" s="30">
        <v>25</v>
      </c>
      <c r="D2024" s="190">
        <v>616855.60400000005</v>
      </c>
      <c r="E2024" s="30" t="s">
        <v>10</v>
      </c>
      <c r="F2024" s="190">
        <v>14357.718000000001</v>
      </c>
      <c r="G2024" s="30" t="s">
        <v>335</v>
      </c>
      <c r="H2024" s="30"/>
      <c r="J2024" s="70" t="s">
        <v>943</v>
      </c>
      <c r="K2024" s="72" t="s">
        <v>344</v>
      </c>
      <c r="L2024" s="72" t="s">
        <v>341</v>
      </c>
      <c r="M2024" s="17" t="s">
        <v>162</v>
      </c>
      <c r="N2024" s="72" t="s">
        <v>343</v>
      </c>
      <c r="O2024" s="17" t="s">
        <v>162</v>
      </c>
      <c r="P2024" s="72" t="s">
        <v>342</v>
      </c>
      <c r="Q2024" s="21" t="s">
        <v>162</v>
      </c>
    </row>
    <row r="2025" spans="1:17" x14ac:dyDescent="0.25">
      <c r="A2025" s="30" t="s">
        <v>945</v>
      </c>
      <c r="B2025" s="30" t="s">
        <v>333</v>
      </c>
      <c r="C2025" s="30">
        <v>25</v>
      </c>
      <c r="D2025" s="190">
        <v>620992.90599999996</v>
      </c>
      <c r="E2025" s="30" t="s">
        <v>10</v>
      </c>
      <c r="F2025" s="190">
        <v>11312.26</v>
      </c>
      <c r="G2025" s="30" t="s">
        <v>335</v>
      </c>
      <c r="H2025" s="30"/>
      <c r="J2025" s="6">
        <v>100000</v>
      </c>
      <c r="K2025" s="119">
        <f>D2024</f>
        <v>616855.60400000005</v>
      </c>
      <c r="L2025" s="119">
        <f>D2025</f>
        <v>620992.90599999996</v>
      </c>
      <c r="M2025" s="18">
        <f>(K2025/L2025-1)</f>
        <v>-6.6623981691666945E-3</v>
      </c>
      <c r="N2025" s="73">
        <f>D2026</f>
        <v>550838.25800000003</v>
      </c>
      <c r="O2025" s="18">
        <f>(K2025/N2025-1)</f>
        <v>0.11984887585640425</v>
      </c>
      <c r="P2025" s="73">
        <f>D2027</f>
        <v>548355.049</v>
      </c>
      <c r="Q2025" s="22">
        <f>(K2025/P2025-1)</f>
        <v>0.12492007710136011</v>
      </c>
    </row>
    <row r="2026" spans="1:17" x14ac:dyDescent="0.25">
      <c r="A2026" s="30" t="s">
        <v>946</v>
      </c>
      <c r="B2026" s="30" t="s">
        <v>333</v>
      </c>
      <c r="C2026" s="30">
        <v>25</v>
      </c>
      <c r="D2026" s="190">
        <v>550838.25800000003</v>
      </c>
      <c r="E2026" s="30" t="s">
        <v>10</v>
      </c>
      <c r="F2026" s="190">
        <v>2536.2739999999999</v>
      </c>
      <c r="G2026" s="30" t="s">
        <v>335</v>
      </c>
      <c r="H2026" s="30"/>
      <c r="J2026" s="6">
        <v>50000</v>
      </c>
      <c r="K2026" s="119">
        <f>D2028</f>
        <v>307797.57500000001</v>
      </c>
      <c r="L2026" s="119">
        <f>D2029</f>
        <v>309115.41399999999</v>
      </c>
      <c r="M2026" s="18">
        <f t="shared" ref="M2026:M2029" si="232">(K2026/L2026-1)</f>
        <v>-4.2632587710426106E-3</v>
      </c>
      <c r="N2026" s="73">
        <f>D2030</f>
        <v>281018.152</v>
      </c>
      <c r="O2026" s="18">
        <f t="shared" ref="O2026:O2029" si="233">(K2026/N2026-1)</f>
        <v>9.5294281915283552E-2</v>
      </c>
      <c r="P2026" s="73">
        <f>D2031</f>
        <v>275878.26799999998</v>
      </c>
      <c r="Q2026" s="22">
        <f t="shared" ref="Q2026:Q2029" si="234">(K2026/P2026-1)</f>
        <v>0.11570069375671177</v>
      </c>
    </row>
    <row r="2027" spans="1:17" x14ac:dyDescent="0.25">
      <c r="A2027" s="30" t="s">
        <v>947</v>
      </c>
      <c r="B2027" s="30" t="s">
        <v>333</v>
      </c>
      <c r="C2027" s="30">
        <v>25</v>
      </c>
      <c r="D2027" s="190">
        <v>548355.049</v>
      </c>
      <c r="E2027" s="30" t="s">
        <v>10</v>
      </c>
      <c r="F2027" s="190">
        <v>7457.2950000000001</v>
      </c>
      <c r="G2027" s="30" t="s">
        <v>335</v>
      </c>
      <c r="H2027" s="30"/>
      <c r="J2027" s="6">
        <v>10000</v>
      </c>
      <c r="K2027" s="119">
        <f>D2032</f>
        <v>61338.008000000002</v>
      </c>
      <c r="L2027" s="119">
        <f>D2033</f>
        <v>62229.849000000002</v>
      </c>
      <c r="M2027" s="18">
        <f t="shared" si="232"/>
        <v>-1.4331402282528494E-2</v>
      </c>
      <c r="N2027" s="73">
        <f>D2034</f>
        <v>55866.798000000003</v>
      </c>
      <c r="O2027" s="18">
        <f t="shared" si="233"/>
        <v>9.7933122997312161E-2</v>
      </c>
      <c r="P2027" s="73">
        <f>D2035</f>
        <v>54841.281000000003</v>
      </c>
      <c r="Q2027" s="22">
        <f t="shared" si="234"/>
        <v>0.11846417300135648</v>
      </c>
    </row>
    <row r="2028" spans="1:17" x14ac:dyDescent="0.25">
      <c r="A2028" s="30" t="s">
        <v>963</v>
      </c>
      <c r="B2028" s="30" t="s">
        <v>333</v>
      </c>
      <c r="C2028" s="30">
        <v>25</v>
      </c>
      <c r="D2028" s="190">
        <v>307797.57500000001</v>
      </c>
      <c r="E2028" s="30" t="s">
        <v>10</v>
      </c>
      <c r="F2028" s="190">
        <v>8069.1670000000004</v>
      </c>
      <c r="G2028" s="30" t="s">
        <v>335</v>
      </c>
      <c r="H2028" s="30"/>
      <c r="J2028" s="67">
        <v>1000</v>
      </c>
      <c r="K2028" s="119">
        <f>D2036</f>
        <v>6049.152</v>
      </c>
      <c r="L2028" s="119">
        <f>D2037</f>
        <v>6269.0039999999999</v>
      </c>
      <c r="M2028" s="18">
        <f t="shared" si="232"/>
        <v>-3.5069685710840126E-2</v>
      </c>
      <c r="N2028" s="73">
        <f>D2038</f>
        <v>5606.4660000000003</v>
      </c>
      <c r="O2028" s="18">
        <f t="shared" si="233"/>
        <v>7.8959900942946915E-2</v>
      </c>
      <c r="P2028" s="73">
        <f>D2039</f>
        <v>5512.7709999999997</v>
      </c>
      <c r="Q2028" s="22">
        <f t="shared" si="234"/>
        <v>9.7297892475490144E-2</v>
      </c>
    </row>
    <row r="2029" spans="1:17" ht="20" thickBot="1" x14ac:dyDescent="0.3">
      <c r="A2029" s="30" t="s">
        <v>948</v>
      </c>
      <c r="B2029" s="30" t="s">
        <v>333</v>
      </c>
      <c r="C2029" s="30">
        <v>25</v>
      </c>
      <c r="D2029" s="190">
        <v>309115.41399999999</v>
      </c>
      <c r="E2029" s="30" t="s">
        <v>10</v>
      </c>
      <c r="F2029" s="190">
        <v>2927.5</v>
      </c>
      <c r="G2029" s="30" t="s">
        <v>335</v>
      </c>
      <c r="H2029" s="30"/>
      <c r="J2029" s="68">
        <v>100</v>
      </c>
      <c r="K2029" s="120">
        <f>D2040</f>
        <v>622.45600000000002</v>
      </c>
      <c r="L2029" s="120">
        <f>D2041</f>
        <v>1018.854</v>
      </c>
      <c r="M2029" s="19">
        <f t="shared" si="232"/>
        <v>-0.38906261348534732</v>
      </c>
      <c r="N2029" s="74">
        <f>D2042</f>
        <v>585.18700000000001</v>
      </c>
      <c r="O2029" s="19">
        <f t="shared" si="233"/>
        <v>6.3687334134217011E-2</v>
      </c>
      <c r="P2029" s="74">
        <f>D2043</f>
        <v>561.00400000000002</v>
      </c>
      <c r="Q2029" s="23">
        <f t="shared" si="234"/>
        <v>0.1095393259228099</v>
      </c>
    </row>
    <row r="2030" spans="1:17" ht="20" thickBot="1" x14ac:dyDescent="0.3">
      <c r="A2030" s="30" t="s">
        <v>949</v>
      </c>
      <c r="B2030" s="30" t="s">
        <v>333</v>
      </c>
      <c r="C2030" s="30">
        <v>25</v>
      </c>
      <c r="D2030" s="190">
        <v>281018.152</v>
      </c>
      <c r="E2030" s="30" t="s">
        <v>10</v>
      </c>
      <c r="F2030" s="190">
        <v>3127.5970000000002</v>
      </c>
      <c r="G2030" s="30" t="s">
        <v>335</v>
      </c>
      <c r="H2030" s="30"/>
    </row>
    <row r="2031" spans="1:17" x14ac:dyDescent="0.25">
      <c r="A2031" s="30" t="s">
        <v>950</v>
      </c>
      <c r="B2031" s="30" t="s">
        <v>333</v>
      </c>
      <c r="C2031" s="30">
        <v>25</v>
      </c>
      <c r="D2031" s="190">
        <v>275878.26799999998</v>
      </c>
      <c r="E2031" s="30" t="s">
        <v>10</v>
      </c>
      <c r="F2031" s="190">
        <v>3645.366</v>
      </c>
      <c r="G2031" s="30" t="s">
        <v>335</v>
      </c>
      <c r="H2031" s="30"/>
      <c r="J2031" s="70" t="s">
        <v>943</v>
      </c>
      <c r="K2031" s="72" t="s">
        <v>341</v>
      </c>
      <c r="L2031" s="72" t="s">
        <v>342</v>
      </c>
      <c r="M2031" s="17" t="s">
        <v>162</v>
      </c>
      <c r="N2031" s="72" t="s">
        <v>343</v>
      </c>
      <c r="O2031" s="21" t="s">
        <v>162</v>
      </c>
    </row>
    <row r="2032" spans="1:17" x14ac:dyDescent="0.25">
      <c r="A2032" s="30" t="s">
        <v>951</v>
      </c>
      <c r="B2032" s="30" t="s">
        <v>333</v>
      </c>
      <c r="C2032" s="30">
        <v>25</v>
      </c>
      <c r="D2032" s="190">
        <v>61338.008000000002</v>
      </c>
      <c r="E2032" s="30" t="s">
        <v>10</v>
      </c>
      <c r="F2032" s="190">
        <v>721.12900000000002</v>
      </c>
      <c r="G2032" s="30" t="s">
        <v>335</v>
      </c>
      <c r="H2032" s="30"/>
      <c r="J2032" s="6">
        <v>100000</v>
      </c>
      <c r="K2032" s="119">
        <f>D2025</f>
        <v>620992.90599999996</v>
      </c>
      <c r="L2032" s="119">
        <f>D2027</f>
        <v>548355.049</v>
      </c>
      <c r="M2032" s="18">
        <f>(K2032/L2032-1)</f>
        <v>0.13246500991002996</v>
      </c>
      <c r="N2032" s="73">
        <f>D2026</f>
        <v>550838.25800000003</v>
      </c>
      <c r="O2032" s="22">
        <f>(K2032/N2032-1)</f>
        <v>0.12735979569523637</v>
      </c>
    </row>
    <row r="2033" spans="1:17" x14ac:dyDescent="0.25">
      <c r="A2033" s="30" t="s">
        <v>952</v>
      </c>
      <c r="B2033" s="30" t="s">
        <v>333</v>
      </c>
      <c r="C2033" s="30">
        <v>25</v>
      </c>
      <c r="D2033" s="190">
        <v>62229.849000000002</v>
      </c>
      <c r="E2033" s="30" t="s">
        <v>10</v>
      </c>
      <c r="F2033" s="190">
        <v>422.40899999999999</v>
      </c>
      <c r="G2033" s="30" t="s">
        <v>335</v>
      </c>
      <c r="H2033" s="30"/>
      <c r="J2033" s="6">
        <v>50000</v>
      </c>
      <c r="K2033" s="119">
        <f>D2029</f>
        <v>309115.41399999999</v>
      </c>
      <c r="L2033" s="119">
        <f>D2031</f>
        <v>275878.26799999998</v>
      </c>
      <c r="M2033" s="18">
        <f t="shared" ref="M2033:M2036" si="235">(K2033/L2033-1)</f>
        <v>0.12047757962580796</v>
      </c>
      <c r="N2033" s="73">
        <f>D2030</f>
        <v>281018.152</v>
      </c>
      <c r="O2033" s="22">
        <f t="shared" ref="O2033:O2036" si="236">(K2033/N2033-1)</f>
        <v>9.9983797487928738E-2</v>
      </c>
    </row>
    <row r="2034" spans="1:17" x14ac:dyDescent="0.25">
      <c r="A2034" s="30" t="s">
        <v>953</v>
      </c>
      <c r="B2034" s="30" t="s">
        <v>333</v>
      </c>
      <c r="C2034" s="30">
        <v>25</v>
      </c>
      <c r="D2034" s="190">
        <v>55866.798000000003</v>
      </c>
      <c r="E2034" s="30" t="s">
        <v>10</v>
      </c>
      <c r="F2034" s="190">
        <v>372.64800000000002</v>
      </c>
      <c r="G2034" s="30" t="s">
        <v>335</v>
      </c>
      <c r="H2034" s="30"/>
      <c r="J2034" s="6">
        <v>10000</v>
      </c>
      <c r="K2034" s="119">
        <f>D2033</f>
        <v>62229.849000000002</v>
      </c>
      <c r="L2034" s="119">
        <f>D2035</f>
        <v>54841.281000000003</v>
      </c>
      <c r="M2034" s="18">
        <f t="shared" si="235"/>
        <v>0.13472639342614912</v>
      </c>
      <c r="N2034" s="73">
        <f>D2034</f>
        <v>55866.798000000003</v>
      </c>
      <c r="O2034" s="22">
        <f t="shared" si="236"/>
        <v>0.11389682651939359</v>
      </c>
    </row>
    <row r="2035" spans="1:17" x14ac:dyDescent="0.25">
      <c r="A2035" s="30" t="s">
        <v>954</v>
      </c>
      <c r="B2035" s="30" t="s">
        <v>333</v>
      </c>
      <c r="C2035" s="30">
        <v>25</v>
      </c>
      <c r="D2035" s="190">
        <v>54841.281000000003</v>
      </c>
      <c r="E2035" s="30" t="s">
        <v>10</v>
      </c>
      <c r="F2035" s="190">
        <v>329.19499999999999</v>
      </c>
      <c r="G2035" s="30" t="s">
        <v>335</v>
      </c>
      <c r="H2035" s="30"/>
      <c r="J2035" s="67">
        <v>1000</v>
      </c>
      <c r="K2035" s="119">
        <f>D2037</f>
        <v>6269.0039999999999</v>
      </c>
      <c r="L2035" s="119">
        <f>D2039</f>
        <v>5512.7709999999997</v>
      </c>
      <c r="M2035" s="18">
        <f t="shared" si="235"/>
        <v>0.1371783808904814</v>
      </c>
      <c r="N2035" s="73">
        <f>D2038</f>
        <v>5606.4660000000003</v>
      </c>
      <c r="O2035" s="22">
        <f t="shared" si="236"/>
        <v>0.11817390848352582</v>
      </c>
    </row>
    <row r="2036" spans="1:17" ht="20" thickBot="1" x14ac:dyDescent="0.3">
      <c r="A2036" s="30" t="s">
        <v>955</v>
      </c>
      <c r="B2036" s="30" t="s">
        <v>333</v>
      </c>
      <c r="C2036" s="30">
        <v>25</v>
      </c>
      <c r="D2036" s="190">
        <v>6049.152</v>
      </c>
      <c r="E2036" s="30" t="s">
        <v>10</v>
      </c>
      <c r="F2036" s="190">
        <v>54.386000000000003</v>
      </c>
      <c r="G2036" s="30" t="s">
        <v>335</v>
      </c>
      <c r="H2036" s="30"/>
      <c r="J2036" s="68">
        <v>100</v>
      </c>
      <c r="K2036" s="120">
        <f>D2041</f>
        <v>1018.854</v>
      </c>
      <c r="L2036" s="120">
        <f>D2043</f>
        <v>561.00400000000002</v>
      </c>
      <c r="M2036" s="19">
        <f t="shared" si="235"/>
        <v>0.81612608822753496</v>
      </c>
      <c r="N2036" s="74">
        <f>D2042</f>
        <v>585.18700000000001</v>
      </c>
      <c r="O2036" s="23">
        <f t="shared" si="236"/>
        <v>0.74107422071918894</v>
      </c>
    </row>
    <row r="2037" spans="1:17" x14ac:dyDescent="0.25">
      <c r="A2037" s="30" t="s">
        <v>956</v>
      </c>
      <c r="B2037" s="30" t="s">
        <v>333</v>
      </c>
      <c r="C2037" s="30">
        <v>25</v>
      </c>
      <c r="D2037" s="190">
        <v>6269.0039999999999</v>
      </c>
      <c r="E2037" s="30" t="s">
        <v>10</v>
      </c>
      <c r="F2037" s="190">
        <v>71.192999999999998</v>
      </c>
      <c r="G2037" s="30" t="s">
        <v>335</v>
      </c>
      <c r="H2037" s="30"/>
    </row>
    <row r="2038" spans="1:17" x14ac:dyDescent="0.25">
      <c r="A2038" s="30" t="s">
        <v>957</v>
      </c>
      <c r="B2038" s="30" t="s">
        <v>333</v>
      </c>
      <c r="C2038" s="30">
        <v>25</v>
      </c>
      <c r="D2038" s="190">
        <v>5606.4660000000003</v>
      </c>
      <c r="E2038" s="30" t="s">
        <v>10</v>
      </c>
      <c r="F2038" s="190">
        <v>52.698</v>
      </c>
      <c r="G2038" s="30" t="s">
        <v>335</v>
      </c>
      <c r="H2038" s="30"/>
    </row>
    <row r="2039" spans="1:17" x14ac:dyDescent="0.25">
      <c r="A2039" s="30" t="s">
        <v>958</v>
      </c>
      <c r="B2039" s="30" t="s">
        <v>333</v>
      </c>
      <c r="C2039" s="30">
        <v>25</v>
      </c>
      <c r="D2039" s="190">
        <v>5512.7709999999997</v>
      </c>
      <c r="E2039" s="30" t="s">
        <v>10</v>
      </c>
      <c r="F2039" s="190">
        <v>69.171000000000006</v>
      </c>
      <c r="G2039" s="30" t="s">
        <v>335</v>
      </c>
      <c r="H2039" s="30"/>
    </row>
    <row r="2040" spans="1:17" x14ac:dyDescent="0.25">
      <c r="A2040" s="30" t="s">
        <v>959</v>
      </c>
      <c r="B2040" s="30" t="s">
        <v>333</v>
      </c>
      <c r="C2040" s="30">
        <v>25</v>
      </c>
      <c r="D2040" s="190">
        <v>622.45600000000002</v>
      </c>
      <c r="E2040" s="30" t="s">
        <v>10</v>
      </c>
      <c r="F2040" s="190">
        <v>7.7149999999999999</v>
      </c>
      <c r="G2040" s="30" t="s">
        <v>335</v>
      </c>
      <c r="H2040" s="30"/>
    </row>
    <row r="2041" spans="1:17" x14ac:dyDescent="0.25">
      <c r="A2041" s="30" t="s">
        <v>960</v>
      </c>
      <c r="B2041" s="30" t="s">
        <v>333</v>
      </c>
      <c r="C2041" s="30">
        <v>25</v>
      </c>
      <c r="D2041" s="190">
        <v>1018.854</v>
      </c>
      <c r="E2041" s="30" t="s">
        <v>10</v>
      </c>
      <c r="F2041" s="190">
        <v>6.4189999999999996</v>
      </c>
      <c r="G2041" s="30" t="s">
        <v>335</v>
      </c>
      <c r="H2041" s="30"/>
    </row>
    <row r="2042" spans="1:17" x14ac:dyDescent="0.25">
      <c r="A2042" s="30" t="s">
        <v>961</v>
      </c>
      <c r="B2042" s="30" t="s">
        <v>333</v>
      </c>
      <c r="C2042" s="30">
        <v>25</v>
      </c>
      <c r="D2042" s="190">
        <v>585.18700000000001</v>
      </c>
      <c r="E2042" s="30" t="s">
        <v>10</v>
      </c>
      <c r="F2042" s="190">
        <v>2.9790000000000001</v>
      </c>
      <c r="G2042" s="30" t="s">
        <v>335</v>
      </c>
      <c r="H2042" s="30"/>
    </row>
    <row r="2043" spans="1:17" x14ac:dyDescent="0.25">
      <c r="A2043" s="30" t="s">
        <v>962</v>
      </c>
      <c r="B2043" s="30" t="s">
        <v>333</v>
      </c>
      <c r="C2043" s="30">
        <v>25</v>
      </c>
      <c r="D2043" s="190">
        <v>561.00400000000002</v>
      </c>
      <c r="E2043" s="30" t="s">
        <v>10</v>
      </c>
      <c r="F2043" s="190">
        <v>4.4630000000000001</v>
      </c>
      <c r="G2043" s="30" t="s">
        <v>335</v>
      </c>
      <c r="H2043" s="30"/>
    </row>
    <row r="2044" spans="1:17" x14ac:dyDescent="0.25">
      <c r="J2044" s="98"/>
      <c r="K2044" s="121"/>
      <c r="L2044" s="121"/>
      <c r="M2044" s="100"/>
      <c r="N2044" s="99"/>
      <c r="O2044" s="100"/>
    </row>
    <row r="2045" spans="1:17" x14ac:dyDescent="0.25">
      <c r="A2045" s="30" t="s">
        <v>786</v>
      </c>
      <c r="B2045" s="30"/>
      <c r="C2045" s="30"/>
      <c r="D2045" s="190"/>
      <c r="E2045" s="30"/>
      <c r="F2045" s="190"/>
      <c r="G2045" s="30"/>
      <c r="H2045" s="30"/>
    </row>
    <row r="2046" spans="1:17" ht="20" thickBot="1" x14ac:dyDescent="0.3">
      <c r="A2046" s="30" t="s">
        <v>2</v>
      </c>
      <c r="B2046" s="30" t="s">
        <v>3</v>
      </c>
      <c r="C2046" s="30" t="s">
        <v>4</v>
      </c>
      <c r="D2046" s="190" t="s">
        <v>5</v>
      </c>
      <c r="E2046" s="30" t="s">
        <v>6</v>
      </c>
      <c r="F2046" s="190" t="s">
        <v>7</v>
      </c>
      <c r="G2046" s="30"/>
      <c r="H2046" s="30"/>
    </row>
    <row r="2047" spans="1:17" x14ac:dyDescent="0.25">
      <c r="A2047" s="30" t="s">
        <v>787</v>
      </c>
      <c r="B2047" s="30" t="s">
        <v>333</v>
      </c>
      <c r="C2047" s="30">
        <v>25</v>
      </c>
      <c r="D2047" s="190">
        <v>1073747.5449999999</v>
      </c>
      <c r="E2047" s="30" t="s">
        <v>10</v>
      </c>
      <c r="F2047" s="190">
        <v>49279.453999999998</v>
      </c>
      <c r="G2047" s="30" t="s">
        <v>335</v>
      </c>
      <c r="H2047" s="30"/>
      <c r="J2047" s="70" t="s">
        <v>786</v>
      </c>
      <c r="K2047" s="72" t="s">
        <v>344</v>
      </c>
      <c r="L2047" s="72" t="s">
        <v>341</v>
      </c>
      <c r="M2047" s="17" t="s">
        <v>162</v>
      </c>
      <c r="N2047" s="72" t="s">
        <v>343</v>
      </c>
      <c r="O2047" s="17" t="s">
        <v>162</v>
      </c>
      <c r="P2047" s="72" t="s">
        <v>342</v>
      </c>
      <c r="Q2047" s="21" t="s">
        <v>162</v>
      </c>
    </row>
    <row r="2048" spans="1:17" x14ac:dyDescent="0.25">
      <c r="A2048" s="30" t="s">
        <v>788</v>
      </c>
      <c r="B2048" s="30" t="s">
        <v>333</v>
      </c>
      <c r="C2048" s="30">
        <v>25</v>
      </c>
      <c r="D2048" s="190">
        <v>1277393.4580000001</v>
      </c>
      <c r="E2048" s="30" t="s">
        <v>10</v>
      </c>
      <c r="F2048" s="190">
        <v>24330.77</v>
      </c>
      <c r="G2048" s="30" t="s">
        <v>335</v>
      </c>
      <c r="H2048" s="30"/>
      <c r="J2048" s="6">
        <v>100000</v>
      </c>
      <c r="K2048" s="119">
        <f>D2047</f>
        <v>1073747.5449999999</v>
      </c>
      <c r="L2048" s="119">
        <f>D2048</f>
        <v>1277393.4580000001</v>
      </c>
      <c r="M2048" s="18">
        <f>(K2048/L2048-1)</f>
        <v>-0.15942301232608957</v>
      </c>
      <c r="N2048" s="73">
        <f>D2049</f>
        <v>1112735.0390000001</v>
      </c>
      <c r="O2048" s="18">
        <f>(K2048/N2048-1)</f>
        <v>-3.5037536011302106E-2</v>
      </c>
      <c r="P2048" s="73">
        <f>D2050</f>
        <v>1255440.7069999999</v>
      </c>
      <c r="Q2048" s="22">
        <f>(K2048/P2048-1)</f>
        <v>-0.14472460625733086</v>
      </c>
    </row>
    <row r="2049" spans="1:17" x14ac:dyDescent="0.25">
      <c r="A2049" s="30" t="s">
        <v>789</v>
      </c>
      <c r="B2049" s="30" t="s">
        <v>333</v>
      </c>
      <c r="C2049" s="30">
        <v>25</v>
      </c>
      <c r="D2049" s="190">
        <v>1112735.0390000001</v>
      </c>
      <c r="E2049" s="30" t="s">
        <v>10</v>
      </c>
      <c r="F2049" s="190">
        <v>58616.214999999997</v>
      </c>
      <c r="G2049" s="30" t="s">
        <v>335</v>
      </c>
      <c r="H2049" s="30"/>
      <c r="J2049" s="6">
        <v>50000</v>
      </c>
      <c r="K2049" s="119">
        <f>D2051</f>
        <v>513358.07500000001</v>
      </c>
      <c r="L2049" s="119">
        <f>D2052</f>
        <v>523055.75099999999</v>
      </c>
      <c r="M2049" s="18">
        <f t="shared" ref="M2049:M2052" si="237">(K2049/L2049-1)</f>
        <v>-1.8540425148675932E-2</v>
      </c>
      <c r="N2049" s="73">
        <f>D2053</f>
        <v>483848.359</v>
      </c>
      <c r="O2049" s="18">
        <f t="shared" ref="O2049:O2052" si="238">(K2049/N2049-1)</f>
        <v>6.0989596122615009E-2</v>
      </c>
      <c r="P2049" s="73">
        <f>D2054</f>
        <v>564776.51699999999</v>
      </c>
      <c r="Q2049" s="22">
        <f t="shared" ref="Q2049:Q2052" si="239">(K2049/P2049-1)</f>
        <v>-9.1042103296231747E-2</v>
      </c>
    </row>
    <row r="2050" spans="1:17" x14ac:dyDescent="0.25">
      <c r="A2050" s="30" t="s">
        <v>790</v>
      </c>
      <c r="B2050" s="30" t="s">
        <v>333</v>
      </c>
      <c r="C2050" s="30">
        <v>25</v>
      </c>
      <c r="D2050" s="190">
        <v>1255440.7069999999</v>
      </c>
      <c r="E2050" s="30" t="s">
        <v>10</v>
      </c>
      <c r="F2050" s="190">
        <v>18531.098000000002</v>
      </c>
      <c r="G2050" s="30" t="s">
        <v>335</v>
      </c>
      <c r="H2050" s="30"/>
      <c r="J2050" s="6">
        <v>10000</v>
      </c>
      <c r="K2050" s="119">
        <f>D2055</f>
        <v>84776.27</v>
      </c>
      <c r="L2050" s="119">
        <f>D2056</f>
        <v>83311.801999999996</v>
      </c>
      <c r="M2050" s="18">
        <f t="shared" si="237"/>
        <v>1.7578157774093217E-2</v>
      </c>
      <c r="N2050" s="73">
        <f>D2057</f>
        <v>77054.316999999995</v>
      </c>
      <c r="O2050" s="18">
        <f t="shared" si="238"/>
        <v>0.10021441108873907</v>
      </c>
      <c r="P2050" s="73">
        <f>D2058</f>
        <v>104789.784</v>
      </c>
      <c r="Q2050" s="22">
        <f t="shared" si="239"/>
        <v>-0.19098726265148136</v>
      </c>
    </row>
    <row r="2051" spans="1:17" x14ac:dyDescent="0.25">
      <c r="A2051" s="30" t="s">
        <v>791</v>
      </c>
      <c r="B2051" s="30" t="s">
        <v>333</v>
      </c>
      <c r="C2051" s="30">
        <v>25</v>
      </c>
      <c r="D2051" s="190">
        <v>513358.07500000001</v>
      </c>
      <c r="E2051" s="30" t="s">
        <v>10</v>
      </c>
      <c r="F2051" s="190">
        <v>11508.055</v>
      </c>
      <c r="G2051" s="30" t="s">
        <v>335</v>
      </c>
      <c r="H2051" s="30"/>
      <c r="J2051" s="67">
        <v>1000</v>
      </c>
      <c r="K2051" s="119">
        <f>D2059</f>
        <v>8006.3729999999996</v>
      </c>
      <c r="L2051" s="119">
        <f>D2060</f>
        <v>6171.8109999999997</v>
      </c>
      <c r="M2051" s="18">
        <f t="shared" si="237"/>
        <v>0.29724857096239665</v>
      </c>
      <c r="N2051" s="73">
        <f>D2061</f>
        <v>5715.3490000000002</v>
      </c>
      <c r="O2051" s="18">
        <f t="shared" si="238"/>
        <v>0.40085461097826203</v>
      </c>
      <c r="P2051" s="73">
        <f>D2062</f>
        <v>7282.9830000000002</v>
      </c>
      <c r="Q2051" s="22">
        <f t="shared" si="239"/>
        <v>9.9326059116161547E-2</v>
      </c>
    </row>
    <row r="2052" spans="1:17" ht="20" thickBot="1" x14ac:dyDescent="0.3">
      <c r="A2052" s="30" t="s">
        <v>792</v>
      </c>
      <c r="B2052" s="30" t="s">
        <v>333</v>
      </c>
      <c r="C2052" s="30">
        <v>25</v>
      </c>
      <c r="D2052" s="190">
        <v>523055.75099999999</v>
      </c>
      <c r="E2052" s="30" t="s">
        <v>10</v>
      </c>
      <c r="F2052" s="190">
        <v>9139.2369999999992</v>
      </c>
      <c r="G2052" s="30" t="s">
        <v>335</v>
      </c>
      <c r="H2052" s="30"/>
      <c r="J2052" s="68">
        <v>100</v>
      </c>
      <c r="K2052" s="120">
        <f>D2063</f>
        <v>447.19499999999999</v>
      </c>
      <c r="L2052" s="120">
        <f>D2064</f>
        <v>636.96100000000001</v>
      </c>
      <c r="M2052" s="19">
        <f t="shared" si="237"/>
        <v>-0.29792404872511824</v>
      </c>
      <c r="N2052" s="74">
        <f>D2065</f>
        <v>563.12800000000004</v>
      </c>
      <c r="O2052" s="19">
        <f t="shared" si="238"/>
        <v>-0.20587326504808856</v>
      </c>
      <c r="P2052" s="74">
        <f>D2066</f>
        <v>604.48500000000001</v>
      </c>
      <c r="Q2052" s="23">
        <f t="shared" si="239"/>
        <v>-0.26020496786520764</v>
      </c>
    </row>
    <row r="2053" spans="1:17" ht="20" thickBot="1" x14ac:dyDescent="0.3">
      <c r="A2053" s="30" t="s">
        <v>793</v>
      </c>
      <c r="B2053" s="30" t="s">
        <v>333</v>
      </c>
      <c r="C2053" s="30">
        <v>25</v>
      </c>
      <c r="D2053" s="190">
        <v>483848.359</v>
      </c>
      <c r="E2053" s="30" t="s">
        <v>10</v>
      </c>
      <c r="F2053" s="190">
        <v>4603.8469999999998</v>
      </c>
      <c r="G2053" s="30" t="s">
        <v>335</v>
      </c>
      <c r="H2053" s="30"/>
    </row>
    <row r="2054" spans="1:17" x14ac:dyDescent="0.25">
      <c r="A2054" s="30" t="s">
        <v>794</v>
      </c>
      <c r="B2054" s="30" t="s">
        <v>333</v>
      </c>
      <c r="C2054" s="30">
        <v>25</v>
      </c>
      <c r="D2054" s="190">
        <v>564776.51699999999</v>
      </c>
      <c r="E2054" s="30" t="s">
        <v>10</v>
      </c>
      <c r="F2054" s="190">
        <v>12091.504000000001</v>
      </c>
      <c r="G2054" s="30" t="s">
        <v>335</v>
      </c>
      <c r="H2054" s="30"/>
      <c r="J2054" s="70" t="s">
        <v>786</v>
      </c>
      <c r="K2054" s="72" t="s">
        <v>341</v>
      </c>
      <c r="L2054" s="72" t="s">
        <v>342</v>
      </c>
      <c r="M2054" s="17" t="s">
        <v>162</v>
      </c>
      <c r="N2054" s="72" t="s">
        <v>343</v>
      </c>
      <c r="O2054" s="21" t="s">
        <v>162</v>
      </c>
    </row>
    <row r="2055" spans="1:17" x14ac:dyDescent="0.25">
      <c r="A2055" s="30" t="s">
        <v>795</v>
      </c>
      <c r="B2055" s="30" t="s">
        <v>333</v>
      </c>
      <c r="C2055" s="30">
        <v>25</v>
      </c>
      <c r="D2055" s="190">
        <v>84776.27</v>
      </c>
      <c r="E2055" s="30" t="s">
        <v>10</v>
      </c>
      <c r="F2055" s="190">
        <v>1661.2850000000001</v>
      </c>
      <c r="G2055" s="30" t="s">
        <v>335</v>
      </c>
      <c r="H2055" s="30"/>
      <c r="J2055" s="6">
        <v>100000</v>
      </c>
      <c r="K2055" s="119">
        <f>D2048</f>
        <v>1277393.4580000001</v>
      </c>
      <c r="L2055" s="119">
        <f>D2050</f>
        <v>1255440.7069999999</v>
      </c>
      <c r="M2055" s="18">
        <f>(K2055/L2055-1)</f>
        <v>1.7486091439920193E-2</v>
      </c>
      <c r="N2055" s="73">
        <f>D2049</f>
        <v>1112735.0390000001</v>
      </c>
      <c r="O2055" s="22">
        <f>(K2055/N2055-1)</f>
        <v>0.14797630453695088</v>
      </c>
    </row>
    <row r="2056" spans="1:17" x14ac:dyDescent="0.25">
      <c r="A2056" s="30" t="s">
        <v>796</v>
      </c>
      <c r="B2056" s="30" t="s">
        <v>333</v>
      </c>
      <c r="C2056" s="30">
        <v>25</v>
      </c>
      <c r="D2056" s="190">
        <v>83311.801999999996</v>
      </c>
      <c r="E2056" s="30" t="s">
        <v>10</v>
      </c>
      <c r="F2056" s="190">
        <v>3687.5210000000002</v>
      </c>
      <c r="G2056" s="30" t="s">
        <v>335</v>
      </c>
      <c r="H2056" s="30"/>
      <c r="J2056" s="6">
        <v>50000</v>
      </c>
      <c r="K2056" s="119">
        <f>D2052</f>
        <v>523055.75099999999</v>
      </c>
      <c r="L2056" s="119">
        <f>D2054</f>
        <v>564776.51699999999</v>
      </c>
      <c r="M2056" s="18">
        <f t="shared" ref="M2056:M2059" si="240">(K2056/L2056-1)</f>
        <v>-7.387128314331104E-2</v>
      </c>
      <c r="N2056" s="73">
        <f>D2053</f>
        <v>483848.359</v>
      </c>
      <c r="O2056" s="22">
        <f t="shared" ref="O2056:O2059" si="241">(K2056/N2056-1)</f>
        <v>8.1032396350444236E-2</v>
      </c>
    </row>
    <row r="2057" spans="1:17" x14ac:dyDescent="0.25">
      <c r="A2057" s="30" t="s">
        <v>797</v>
      </c>
      <c r="B2057" s="30" t="s">
        <v>333</v>
      </c>
      <c r="C2057" s="30">
        <v>25</v>
      </c>
      <c r="D2057" s="190">
        <v>77054.316999999995</v>
      </c>
      <c r="E2057" s="30" t="s">
        <v>10</v>
      </c>
      <c r="F2057" s="190">
        <v>2222.1849999999999</v>
      </c>
      <c r="G2057" s="30" t="s">
        <v>335</v>
      </c>
      <c r="H2057" s="30"/>
      <c r="J2057" s="6">
        <v>10000</v>
      </c>
      <c r="K2057" s="119">
        <f>D2056</f>
        <v>83311.801999999996</v>
      </c>
      <c r="L2057" s="119">
        <f>D2058</f>
        <v>104789.784</v>
      </c>
      <c r="M2057" s="18">
        <f t="shared" si="240"/>
        <v>-0.20496255627361537</v>
      </c>
      <c r="N2057" s="73">
        <f>D2057</f>
        <v>77054.316999999995</v>
      </c>
      <c r="O2057" s="22">
        <f t="shared" si="241"/>
        <v>8.1208753041052795E-2</v>
      </c>
    </row>
    <row r="2058" spans="1:17" x14ac:dyDescent="0.25">
      <c r="A2058" s="30" t="s">
        <v>798</v>
      </c>
      <c r="B2058" s="30" t="s">
        <v>333</v>
      </c>
      <c r="C2058" s="30">
        <v>25</v>
      </c>
      <c r="D2058" s="190">
        <v>104789.784</v>
      </c>
      <c r="E2058" s="30" t="s">
        <v>10</v>
      </c>
      <c r="F2058" s="190">
        <v>1361.009</v>
      </c>
      <c r="G2058" s="30" t="s">
        <v>335</v>
      </c>
      <c r="H2058" s="30"/>
      <c r="J2058" s="67">
        <v>1000</v>
      </c>
      <c r="K2058" s="119">
        <f>D2060</f>
        <v>6171.8109999999997</v>
      </c>
      <c r="L2058" s="119">
        <f>D2062</f>
        <v>7282.9830000000002</v>
      </c>
      <c r="M2058" s="18">
        <f t="shared" si="240"/>
        <v>-0.15257100009707569</v>
      </c>
      <c r="N2058" s="73">
        <f>D2061</f>
        <v>5715.3490000000002</v>
      </c>
      <c r="O2058" s="22">
        <f t="shared" si="241"/>
        <v>7.9865988936108634E-2</v>
      </c>
    </row>
    <row r="2059" spans="1:17" ht="20" thickBot="1" x14ac:dyDescent="0.3">
      <c r="A2059" s="30" t="s">
        <v>799</v>
      </c>
      <c r="B2059" s="30" t="s">
        <v>333</v>
      </c>
      <c r="C2059" s="30">
        <v>25</v>
      </c>
      <c r="D2059" s="190">
        <v>8006.3729999999996</v>
      </c>
      <c r="E2059" s="30" t="s">
        <v>10</v>
      </c>
      <c r="F2059" s="190">
        <v>185.102</v>
      </c>
      <c r="G2059" s="30" t="s">
        <v>335</v>
      </c>
      <c r="H2059" s="30"/>
      <c r="J2059" s="68">
        <v>100</v>
      </c>
      <c r="K2059" s="120">
        <f>D2064</f>
        <v>636.96100000000001</v>
      </c>
      <c r="L2059" s="120">
        <f>D2066</f>
        <v>604.48500000000001</v>
      </c>
      <c r="M2059" s="19">
        <f t="shared" si="240"/>
        <v>5.3725071755295728E-2</v>
      </c>
      <c r="N2059" s="74">
        <f>D2065</f>
        <v>563.12800000000004</v>
      </c>
      <c r="O2059" s="23">
        <f t="shared" si="241"/>
        <v>0.13111228708215528</v>
      </c>
    </row>
    <row r="2060" spans="1:17" x14ac:dyDescent="0.25">
      <c r="A2060" s="30" t="s">
        <v>800</v>
      </c>
      <c r="B2060" s="30" t="s">
        <v>333</v>
      </c>
      <c r="C2060" s="30">
        <v>25</v>
      </c>
      <c r="D2060" s="190">
        <v>6171.8109999999997</v>
      </c>
      <c r="E2060" s="30" t="s">
        <v>10</v>
      </c>
      <c r="F2060" s="190">
        <v>69.040999999999997</v>
      </c>
      <c r="G2060" s="30" t="s">
        <v>335</v>
      </c>
      <c r="H2060" s="30"/>
    </row>
    <row r="2061" spans="1:17" x14ac:dyDescent="0.25">
      <c r="A2061" s="30" t="s">
        <v>801</v>
      </c>
      <c r="B2061" s="30" t="s">
        <v>333</v>
      </c>
      <c r="C2061" s="30">
        <v>25</v>
      </c>
      <c r="D2061" s="190">
        <v>5715.3490000000002</v>
      </c>
      <c r="E2061" s="30" t="s">
        <v>10</v>
      </c>
      <c r="F2061" s="190">
        <v>60.133000000000003</v>
      </c>
      <c r="G2061" s="30" t="s">
        <v>335</v>
      </c>
      <c r="H2061" s="30"/>
    </row>
    <row r="2062" spans="1:17" x14ac:dyDescent="0.25">
      <c r="A2062" s="30" t="s">
        <v>802</v>
      </c>
      <c r="B2062" s="30" t="s">
        <v>333</v>
      </c>
      <c r="C2062" s="30">
        <v>25</v>
      </c>
      <c r="D2062" s="190">
        <v>7282.9830000000002</v>
      </c>
      <c r="E2062" s="30" t="s">
        <v>10</v>
      </c>
      <c r="F2062" s="190">
        <v>129.95699999999999</v>
      </c>
      <c r="G2062" s="30" t="s">
        <v>335</v>
      </c>
      <c r="H2062" s="30"/>
    </row>
    <row r="2063" spans="1:17" x14ac:dyDescent="0.25">
      <c r="A2063" s="30" t="s">
        <v>803</v>
      </c>
      <c r="B2063" s="30" t="s">
        <v>333</v>
      </c>
      <c r="C2063" s="30">
        <v>25</v>
      </c>
      <c r="D2063" s="190">
        <v>447.19499999999999</v>
      </c>
      <c r="E2063" s="30" t="s">
        <v>10</v>
      </c>
      <c r="F2063" s="190">
        <v>9.5739999999999998</v>
      </c>
      <c r="G2063" s="30" t="s">
        <v>335</v>
      </c>
      <c r="H2063" s="30"/>
    </row>
    <row r="2064" spans="1:17" x14ac:dyDescent="0.25">
      <c r="A2064" s="30" t="s">
        <v>804</v>
      </c>
      <c r="B2064" s="30" t="s">
        <v>333</v>
      </c>
      <c r="C2064" s="30">
        <v>25</v>
      </c>
      <c r="D2064" s="190">
        <v>636.96100000000001</v>
      </c>
      <c r="E2064" s="30" t="s">
        <v>10</v>
      </c>
      <c r="F2064" s="190">
        <v>12.605</v>
      </c>
      <c r="G2064" s="30" t="s">
        <v>335</v>
      </c>
      <c r="H2064" s="30"/>
    </row>
    <row r="2065" spans="1:17" x14ac:dyDescent="0.25">
      <c r="A2065" s="30" t="s">
        <v>805</v>
      </c>
      <c r="B2065" s="30" t="s">
        <v>333</v>
      </c>
      <c r="C2065" s="30">
        <v>25</v>
      </c>
      <c r="D2065" s="190">
        <v>563.12800000000004</v>
      </c>
      <c r="E2065" s="30" t="s">
        <v>10</v>
      </c>
      <c r="F2065" s="190">
        <v>4.1550000000000002</v>
      </c>
      <c r="G2065" s="30" t="s">
        <v>335</v>
      </c>
      <c r="H2065" s="30"/>
    </row>
    <row r="2066" spans="1:17" x14ac:dyDescent="0.25">
      <c r="A2066" s="30" t="s">
        <v>806</v>
      </c>
      <c r="B2066" s="30" t="s">
        <v>333</v>
      </c>
      <c r="C2066" s="30">
        <v>25</v>
      </c>
      <c r="D2066" s="190">
        <v>604.48500000000001</v>
      </c>
      <c r="E2066" s="30" t="s">
        <v>10</v>
      </c>
      <c r="F2066" s="190">
        <v>6.6310000000000002</v>
      </c>
      <c r="G2066" s="30" t="s">
        <v>335</v>
      </c>
      <c r="H2066" s="30"/>
    </row>
    <row r="2067" spans="1:17" x14ac:dyDescent="0.25">
      <c r="A2067" s="30"/>
      <c r="B2067" s="30"/>
      <c r="C2067" s="30"/>
      <c r="D2067" s="190"/>
      <c r="E2067" s="30"/>
      <c r="F2067" s="190"/>
      <c r="G2067" s="30"/>
      <c r="H2067" s="30"/>
    </row>
    <row r="2068" spans="1:17" x14ac:dyDescent="0.25">
      <c r="A2068" s="30" t="s">
        <v>807</v>
      </c>
      <c r="B2068" s="30"/>
      <c r="C2068" s="30"/>
      <c r="D2068" s="190"/>
      <c r="E2068" s="30"/>
      <c r="F2068" s="190"/>
      <c r="G2068" s="30"/>
      <c r="H2068" s="30"/>
    </row>
    <row r="2069" spans="1:17" ht="20" thickBot="1" x14ac:dyDescent="0.3">
      <c r="A2069" s="30" t="s">
        <v>2</v>
      </c>
      <c r="B2069" s="30" t="s">
        <v>3</v>
      </c>
      <c r="C2069" s="30" t="s">
        <v>4</v>
      </c>
      <c r="D2069" s="190" t="s">
        <v>5</v>
      </c>
      <c r="E2069" s="30" t="s">
        <v>6</v>
      </c>
      <c r="F2069" s="190" t="s">
        <v>7</v>
      </c>
      <c r="G2069" s="30"/>
      <c r="H2069" s="30"/>
    </row>
    <row r="2070" spans="1:17" x14ac:dyDescent="0.25">
      <c r="A2070" s="30" t="s">
        <v>808</v>
      </c>
      <c r="B2070" s="30" t="s">
        <v>333</v>
      </c>
      <c r="C2070" s="30">
        <v>25</v>
      </c>
      <c r="D2070" s="190">
        <v>3103081.5070000002</v>
      </c>
      <c r="E2070" s="30" t="s">
        <v>10</v>
      </c>
      <c r="F2070" s="190">
        <v>147307.46</v>
      </c>
      <c r="G2070" s="30" t="s">
        <v>335</v>
      </c>
      <c r="H2070" s="30"/>
      <c r="J2070" s="70" t="s">
        <v>807</v>
      </c>
      <c r="K2070" s="72" t="s">
        <v>344</v>
      </c>
      <c r="L2070" s="72" t="s">
        <v>341</v>
      </c>
      <c r="M2070" s="17" t="s">
        <v>162</v>
      </c>
      <c r="N2070" s="72" t="s">
        <v>343</v>
      </c>
      <c r="O2070" s="17" t="s">
        <v>162</v>
      </c>
      <c r="P2070" s="72" t="s">
        <v>342</v>
      </c>
      <c r="Q2070" s="21" t="s">
        <v>162</v>
      </c>
    </row>
    <row r="2071" spans="1:17" x14ac:dyDescent="0.25">
      <c r="A2071" s="30" t="s">
        <v>809</v>
      </c>
      <c r="B2071" s="30" t="s">
        <v>333</v>
      </c>
      <c r="C2071" s="30">
        <v>25</v>
      </c>
      <c r="D2071" s="190">
        <v>3726937.37</v>
      </c>
      <c r="E2071" s="30" t="s">
        <v>10</v>
      </c>
      <c r="F2071" s="190">
        <v>67566.097999999998</v>
      </c>
      <c r="G2071" s="30" t="s">
        <v>335</v>
      </c>
      <c r="H2071" s="30"/>
      <c r="J2071" s="6">
        <v>100000</v>
      </c>
      <c r="K2071" s="119">
        <f>D2070</f>
        <v>3103081.5070000002</v>
      </c>
      <c r="L2071" s="119">
        <f>D2071</f>
        <v>3726937.37</v>
      </c>
      <c r="M2071" s="18">
        <f>(K2071/L2071-1)</f>
        <v>-0.167391024067571</v>
      </c>
      <c r="N2071" s="73">
        <f>D2072</f>
        <v>2761633.4509999999</v>
      </c>
      <c r="O2071" s="18">
        <f>(K2071/N2071-1)</f>
        <v>0.12363988996307973</v>
      </c>
      <c r="P2071" s="73">
        <f>D2073</f>
        <v>3000654.0019999999</v>
      </c>
      <c r="Q2071" s="22">
        <f>(K2071/P2071-1)</f>
        <v>3.4135060200786382E-2</v>
      </c>
    </row>
    <row r="2072" spans="1:17" x14ac:dyDescent="0.25">
      <c r="A2072" s="30" t="s">
        <v>810</v>
      </c>
      <c r="B2072" s="30" t="s">
        <v>333</v>
      </c>
      <c r="C2072" s="30">
        <v>25</v>
      </c>
      <c r="D2072" s="190">
        <v>2761633.4509999999</v>
      </c>
      <c r="E2072" s="30" t="s">
        <v>10</v>
      </c>
      <c r="F2072" s="190">
        <v>86965.442999999999</v>
      </c>
      <c r="G2072" s="30" t="s">
        <v>335</v>
      </c>
      <c r="H2072" s="30"/>
      <c r="J2072" s="6">
        <v>50000</v>
      </c>
      <c r="K2072" s="119">
        <f>D2074</f>
        <v>1489542.55</v>
      </c>
      <c r="L2072" s="119">
        <f>D2075</f>
        <v>1779271.206</v>
      </c>
      <c r="M2072" s="18">
        <f t="shared" ref="M2072:M2075" si="242">(K2072/L2072-1)</f>
        <v>-0.16283557842277585</v>
      </c>
      <c r="N2072" s="73">
        <f>D2076</f>
        <v>1384721.307</v>
      </c>
      <c r="O2072" s="18">
        <f t="shared" ref="O2072:O2075" si="243">(K2072/N2072-1)</f>
        <v>7.5698440162732306E-2</v>
      </c>
      <c r="P2072" s="73">
        <f>D2077</f>
        <v>1442241.2860000001</v>
      </c>
      <c r="Q2072" s="22">
        <f t="shared" ref="Q2072:Q2075" si="244">(K2072/P2072-1)</f>
        <v>3.2797053072296967E-2</v>
      </c>
    </row>
    <row r="2073" spans="1:17" x14ac:dyDescent="0.25">
      <c r="A2073" s="30" t="s">
        <v>811</v>
      </c>
      <c r="B2073" s="30" t="s">
        <v>333</v>
      </c>
      <c r="C2073" s="30">
        <v>25</v>
      </c>
      <c r="D2073" s="190">
        <v>3000654.0019999999</v>
      </c>
      <c r="E2073" s="30" t="s">
        <v>10</v>
      </c>
      <c r="F2073" s="190">
        <v>15581.916999999999</v>
      </c>
      <c r="G2073" s="30" t="s">
        <v>335</v>
      </c>
      <c r="H2073" s="30"/>
      <c r="J2073" s="6">
        <v>10000</v>
      </c>
      <c r="K2073" s="119">
        <f>D2078</f>
        <v>243209.65299999999</v>
      </c>
      <c r="L2073" s="119">
        <f>D2079</f>
        <v>284994.10700000002</v>
      </c>
      <c r="M2073" s="18">
        <f t="shared" si="242"/>
        <v>-0.1466151508880148</v>
      </c>
      <c r="N2073" s="73">
        <f>D2080</f>
        <v>220296.41899999999</v>
      </c>
      <c r="O2073" s="18">
        <f t="shared" si="243"/>
        <v>0.10401092357293384</v>
      </c>
      <c r="P2073" s="73">
        <f>D2081</f>
        <v>225601.842</v>
      </c>
      <c r="Q2073" s="22">
        <f t="shared" si="244"/>
        <v>7.8048170369105385E-2</v>
      </c>
    </row>
    <row r="2074" spans="1:17" x14ac:dyDescent="0.25">
      <c r="A2074" s="30" t="s">
        <v>812</v>
      </c>
      <c r="B2074" s="30" t="s">
        <v>333</v>
      </c>
      <c r="C2074" s="30">
        <v>25</v>
      </c>
      <c r="D2074" s="190">
        <v>1489542.55</v>
      </c>
      <c r="E2074" s="30" t="s">
        <v>10</v>
      </c>
      <c r="F2074" s="190">
        <v>45209.527000000002</v>
      </c>
      <c r="G2074" s="30" t="s">
        <v>335</v>
      </c>
      <c r="H2074" s="30"/>
      <c r="J2074" s="67">
        <v>1000</v>
      </c>
      <c r="K2074" s="119">
        <f>D2082</f>
        <v>15066.689</v>
      </c>
      <c r="L2074" s="119">
        <f>D2083</f>
        <v>19484.999</v>
      </c>
      <c r="M2074" s="18">
        <f t="shared" si="242"/>
        <v>-0.22675443811929374</v>
      </c>
      <c r="N2074" s="73">
        <f>D2084</f>
        <v>14701.130999999999</v>
      </c>
      <c r="O2074" s="18">
        <f t="shared" si="243"/>
        <v>2.4865977998563604E-2</v>
      </c>
      <c r="P2074" s="73">
        <f>D2085</f>
        <v>17718.195</v>
      </c>
      <c r="Q2074" s="22">
        <f t="shared" si="244"/>
        <v>-0.14964876501246316</v>
      </c>
    </row>
    <row r="2075" spans="1:17" ht="20" thickBot="1" x14ac:dyDescent="0.3">
      <c r="A2075" s="30" t="s">
        <v>813</v>
      </c>
      <c r="B2075" s="30" t="s">
        <v>333</v>
      </c>
      <c r="C2075" s="30">
        <v>25</v>
      </c>
      <c r="D2075" s="190">
        <v>1779271.206</v>
      </c>
      <c r="E2075" s="30" t="s">
        <v>10</v>
      </c>
      <c r="F2075" s="190">
        <v>16944.294999999998</v>
      </c>
      <c r="G2075" s="30" t="s">
        <v>335</v>
      </c>
      <c r="H2075" s="30"/>
      <c r="J2075" s="68">
        <v>100</v>
      </c>
      <c r="K2075" s="120">
        <f>D2086</f>
        <v>1082.9190000000001</v>
      </c>
      <c r="L2075" s="120">
        <f>D2087</f>
        <v>1485.41</v>
      </c>
      <c r="M2075" s="19">
        <f t="shared" si="242"/>
        <v>-0.27096289913222604</v>
      </c>
      <c r="N2075" s="74">
        <f>D2088</f>
        <v>1119.1679999999999</v>
      </c>
      <c r="O2075" s="19">
        <f t="shared" si="243"/>
        <v>-3.2389239149081983E-2</v>
      </c>
      <c r="P2075" s="74">
        <f>D2089</f>
        <v>1278.923</v>
      </c>
      <c r="Q2075" s="23">
        <f t="shared" si="244"/>
        <v>-0.15325707646199183</v>
      </c>
    </row>
    <row r="2076" spans="1:17" ht="20" thickBot="1" x14ac:dyDescent="0.3">
      <c r="A2076" s="30" t="s">
        <v>814</v>
      </c>
      <c r="B2076" s="30" t="s">
        <v>333</v>
      </c>
      <c r="C2076" s="30">
        <v>25</v>
      </c>
      <c r="D2076" s="190">
        <v>1384721.307</v>
      </c>
      <c r="E2076" s="30" t="s">
        <v>10</v>
      </c>
      <c r="F2076" s="190">
        <v>11011.498</v>
      </c>
      <c r="G2076" s="30" t="s">
        <v>335</v>
      </c>
      <c r="H2076" s="30"/>
    </row>
    <row r="2077" spans="1:17" x14ac:dyDescent="0.25">
      <c r="A2077" s="30" t="s">
        <v>815</v>
      </c>
      <c r="B2077" s="30" t="s">
        <v>333</v>
      </c>
      <c r="C2077" s="30">
        <v>25</v>
      </c>
      <c r="D2077" s="190">
        <v>1442241.2860000001</v>
      </c>
      <c r="E2077" s="30" t="s">
        <v>10</v>
      </c>
      <c r="F2077" s="190">
        <v>9600.0750000000007</v>
      </c>
      <c r="G2077" s="30" t="s">
        <v>335</v>
      </c>
      <c r="H2077" s="30"/>
      <c r="J2077" s="70" t="s">
        <v>807</v>
      </c>
      <c r="K2077" s="72" t="s">
        <v>341</v>
      </c>
      <c r="L2077" s="72" t="s">
        <v>342</v>
      </c>
      <c r="M2077" s="17" t="s">
        <v>162</v>
      </c>
      <c r="N2077" s="72" t="s">
        <v>343</v>
      </c>
      <c r="O2077" s="21" t="s">
        <v>162</v>
      </c>
    </row>
    <row r="2078" spans="1:17" x14ac:dyDescent="0.25">
      <c r="A2078" s="30" t="s">
        <v>816</v>
      </c>
      <c r="B2078" s="30" t="s">
        <v>333</v>
      </c>
      <c r="C2078" s="30">
        <v>25</v>
      </c>
      <c r="D2078" s="190">
        <v>243209.65299999999</v>
      </c>
      <c r="E2078" s="30" t="s">
        <v>10</v>
      </c>
      <c r="F2078" s="190">
        <v>4604.92</v>
      </c>
      <c r="G2078" s="30" t="s">
        <v>335</v>
      </c>
      <c r="H2078" s="30"/>
      <c r="J2078" s="6">
        <v>100000</v>
      </c>
      <c r="K2078" s="119">
        <f>D2071</f>
        <v>3726937.37</v>
      </c>
      <c r="L2078" s="119">
        <f>D2073</f>
        <v>3000654.0019999999</v>
      </c>
      <c r="M2078" s="18">
        <f>(K2078/L2078-1)</f>
        <v>0.24204169075005555</v>
      </c>
      <c r="N2078" s="73">
        <f>D2072</f>
        <v>2761633.4509999999</v>
      </c>
      <c r="O2078" s="22">
        <f>(K2078/N2078-1)</f>
        <v>0.34954092790643854</v>
      </c>
    </row>
    <row r="2079" spans="1:17" x14ac:dyDescent="0.25">
      <c r="A2079" s="30" t="s">
        <v>817</v>
      </c>
      <c r="B2079" s="30" t="s">
        <v>333</v>
      </c>
      <c r="C2079" s="30">
        <v>25</v>
      </c>
      <c r="D2079" s="190">
        <v>284994.10700000002</v>
      </c>
      <c r="E2079" s="30" t="s">
        <v>10</v>
      </c>
      <c r="F2079" s="190">
        <v>4054.393</v>
      </c>
      <c r="G2079" s="30" t="s">
        <v>335</v>
      </c>
      <c r="H2079" s="30"/>
      <c r="J2079" s="6">
        <v>50000</v>
      </c>
      <c r="K2079" s="119">
        <f>D2075</f>
        <v>1779271.206</v>
      </c>
      <c r="L2079" s="119">
        <f>D2077</f>
        <v>1442241.2860000001</v>
      </c>
      <c r="M2079" s="18">
        <f t="shared" ref="M2079:M2082" si="245">(K2079/L2079-1)</f>
        <v>0.23368483711538945</v>
      </c>
      <c r="N2079" s="73">
        <f>D2076</f>
        <v>1384721.307</v>
      </c>
      <c r="O2079" s="22">
        <f t="shared" ref="O2079:O2082" si="246">(K2079/N2079-1)</f>
        <v>0.2849309077613551</v>
      </c>
    </row>
    <row r="2080" spans="1:17" x14ac:dyDescent="0.25">
      <c r="A2080" s="30" t="s">
        <v>818</v>
      </c>
      <c r="B2080" s="30" t="s">
        <v>333</v>
      </c>
      <c r="C2080" s="30">
        <v>25</v>
      </c>
      <c r="D2080" s="190">
        <v>220296.41899999999</v>
      </c>
      <c r="E2080" s="30" t="s">
        <v>10</v>
      </c>
      <c r="F2080" s="190">
        <v>2333.0210000000002</v>
      </c>
      <c r="G2080" s="30" t="s">
        <v>335</v>
      </c>
      <c r="H2080" s="30"/>
      <c r="J2080" s="6">
        <v>10000</v>
      </c>
      <c r="K2080" s="119">
        <f>D2079</f>
        <v>284994.10700000002</v>
      </c>
      <c r="L2080" s="119">
        <f>D2081</f>
        <v>225601.842</v>
      </c>
      <c r="M2080" s="18">
        <f t="shared" si="245"/>
        <v>0.26326143649128553</v>
      </c>
      <c r="N2080" s="73">
        <f>D2080</f>
        <v>220296.41899999999</v>
      </c>
      <c r="O2080" s="22">
        <f t="shared" si="246"/>
        <v>0.2936847012479129</v>
      </c>
    </row>
    <row r="2081" spans="1:15" x14ac:dyDescent="0.25">
      <c r="A2081" s="30" t="s">
        <v>819</v>
      </c>
      <c r="B2081" s="30" t="s">
        <v>333</v>
      </c>
      <c r="C2081" s="30">
        <v>25</v>
      </c>
      <c r="D2081" s="190">
        <v>225601.842</v>
      </c>
      <c r="E2081" s="30" t="s">
        <v>10</v>
      </c>
      <c r="F2081" s="190">
        <v>1556.029</v>
      </c>
      <c r="G2081" s="30" t="s">
        <v>335</v>
      </c>
      <c r="H2081" s="30"/>
      <c r="J2081" s="67">
        <v>1000</v>
      </c>
      <c r="K2081" s="119">
        <f>D2083</f>
        <v>19484.999</v>
      </c>
      <c r="L2081" s="119">
        <f>D2085</f>
        <v>17718.195</v>
      </c>
      <c r="M2081" s="18">
        <f t="shared" si="245"/>
        <v>9.9716929405055055E-2</v>
      </c>
      <c r="N2081" s="73">
        <f>D2084</f>
        <v>14701.130999999999</v>
      </c>
      <c r="O2081" s="22">
        <f t="shared" si="246"/>
        <v>0.32540816077348067</v>
      </c>
    </row>
    <row r="2082" spans="1:15" ht="20" thickBot="1" x14ac:dyDescent="0.3">
      <c r="A2082" s="30" t="s">
        <v>820</v>
      </c>
      <c r="B2082" s="30" t="s">
        <v>333</v>
      </c>
      <c r="C2082" s="30">
        <v>25</v>
      </c>
      <c r="D2082" s="190">
        <v>15066.689</v>
      </c>
      <c r="E2082" s="30" t="s">
        <v>10</v>
      </c>
      <c r="F2082" s="190">
        <v>142.53299999999999</v>
      </c>
      <c r="G2082" s="30" t="s">
        <v>335</v>
      </c>
      <c r="H2082" s="30"/>
      <c r="J2082" s="68">
        <v>100</v>
      </c>
      <c r="K2082" s="120">
        <f>D2087</f>
        <v>1485.41</v>
      </c>
      <c r="L2082" s="120">
        <f>D2089</f>
        <v>1278.923</v>
      </c>
      <c r="M2082" s="19">
        <f t="shared" si="245"/>
        <v>0.16145381700071071</v>
      </c>
      <c r="N2082" s="74">
        <f>D2088</f>
        <v>1119.1679999999999</v>
      </c>
      <c r="O2082" s="23">
        <f t="shared" si="246"/>
        <v>0.32724488191227796</v>
      </c>
    </row>
    <row r="2083" spans="1:15" x14ac:dyDescent="0.25">
      <c r="A2083" s="30" t="s">
        <v>821</v>
      </c>
      <c r="B2083" s="30" t="s">
        <v>333</v>
      </c>
      <c r="C2083" s="30">
        <v>25</v>
      </c>
      <c r="D2083" s="190">
        <v>19484.999</v>
      </c>
      <c r="E2083" s="30" t="s">
        <v>10</v>
      </c>
      <c r="F2083" s="190">
        <v>379.32600000000002</v>
      </c>
      <c r="G2083" s="30" t="s">
        <v>335</v>
      </c>
      <c r="H2083" s="30"/>
    </row>
    <row r="2084" spans="1:15" x14ac:dyDescent="0.25">
      <c r="A2084" s="30" t="s">
        <v>822</v>
      </c>
      <c r="B2084" s="30" t="s">
        <v>333</v>
      </c>
      <c r="C2084" s="30">
        <v>25</v>
      </c>
      <c r="D2084" s="190">
        <v>14701.130999999999</v>
      </c>
      <c r="E2084" s="30" t="s">
        <v>10</v>
      </c>
      <c r="F2084" s="190">
        <v>273.67700000000002</v>
      </c>
      <c r="G2084" s="30" t="s">
        <v>335</v>
      </c>
      <c r="H2084" s="30"/>
    </row>
    <row r="2085" spans="1:15" x14ac:dyDescent="0.25">
      <c r="A2085" s="30" t="s">
        <v>823</v>
      </c>
      <c r="B2085" s="30" t="s">
        <v>333</v>
      </c>
      <c r="C2085" s="30">
        <v>25</v>
      </c>
      <c r="D2085" s="190">
        <v>17718.195</v>
      </c>
      <c r="E2085" s="30" t="s">
        <v>10</v>
      </c>
      <c r="F2085" s="190">
        <v>276.101</v>
      </c>
      <c r="G2085" s="30" t="s">
        <v>335</v>
      </c>
      <c r="H2085" s="30"/>
    </row>
    <row r="2086" spans="1:15" x14ac:dyDescent="0.25">
      <c r="A2086" s="30" t="s">
        <v>824</v>
      </c>
      <c r="B2086" s="30" t="s">
        <v>333</v>
      </c>
      <c r="C2086" s="30">
        <v>25</v>
      </c>
      <c r="D2086" s="190">
        <v>1082.9190000000001</v>
      </c>
      <c r="E2086" s="30" t="s">
        <v>10</v>
      </c>
      <c r="F2086" s="190">
        <v>12.212999999999999</v>
      </c>
      <c r="G2086" s="30" t="s">
        <v>335</v>
      </c>
      <c r="H2086" s="30"/>
    </row>
    <row r="2087" spans="1:15" x14ac:dyDescent="0.25">
      <c r="A2087" s="30" t="s">
        <v>825</v>
      </c>
      <c r="B2087" s="30" t="s">
        <v>333</v>
      </c>
      <c r="C2087" s="30">
        <v>25</v>
      </c>
      <c r="D2087" s="190">
        <v>1485.41</v>
      </c>
      <c r="E2087" s="30" t="s">
        <v>10</v>
      </c>
      <c r="F2087" s="190">
        <v>10.641</v>
      </c>
      <c r="G2087" s="30" t="s">
        <v>335</v>
      </c>
      <c r="H2087" s="30"/>
    </row>
    <row r="2088" spans="1:15" x14ac:dyDescent="0.25">
      <c r="A2088" s="30" t="s">
        <v>826</v>
      </c>
      <c r="B2088" s="30" t="s">
        <v>333</v>
      </c>
      <c r="C2088" s="30">
        <v>25</v>
      </c>
      <c r="D2088" s="190">
        <v>1119.1679999999999</v>
      </c>
      <c r="E2088" s="30" t="s">
        <v>10</v>
      </c>
      <c r="F2088" s="190">
        <v>6.6719999999999997</v>
      </c>
      <c r="G2088" s="30" t="s">
        <v>335</v>
      </c>
      <c r="H2088" s="30"/>
    </row>
    <row r="2089" spans="1:15" x14ac:dyDescent="0.25">
      <c r="A2089" s="30" t="s">
        <v>827</v>
      </c>
      <c r="B2089" s="30" t="s">
        <v>333</v>
      </c>
      <c r="C2089" s="30">
        <v>25</v>
      </c>
      <c r="D2089" s="190">
        <v>1278.923</v>
      </c>
      <c r="E2089" s="30" t="s">
        <v>10</v>
      </c>
      <c r="F2089" s="190">
        <v>12.04</v>
      </c>
      <c r="G2089" s="30" t="s">
        <v>335</v>
      </c>
      <c r="H2089" s="30"/>
    </row>
    <row r="2090" spans="1:15" x14ac:dyDescent="0.25">
      <c r="A2090" s="30"/>
      <c r="B2090" s="30"/>
      <c r="C2090" s="30"/>
      <c r="D2090" s="190"/>
      <c r="E2090" s="30"/>
      <c r="F2090" s="190"/>
      <c r="G2090" s="30"/>
      <c r="H2090" s="30"/>
    </row>
    <row r="2091" spans="1:15" x14ac:dyDescent="0.25">
      <c r="A2091" s="30" t="s">
        <v>724</v>
      </c>
      <c r="B2091" s="30"/>
      <c r="C2091" s="30"/>
      <c r="D2091" s="190"/>
      <c r="E2091" s="30"/>
      <c r="F2091" s="190"/>
      <c r="G2091" s="30"/>
      <c r="H2091" s="30"/>
    </row>
    <row r="2092" spans="1:15" ht="20" thickBot="1" x14ac:dyDescent="0.3">
      <c r="A2092" s="30" t="s">
        <v>2</v>
      </c>
      <c r="B2092" s="30" t="s">
        <v>3</v>
      </c>
      <c r="C2092" s="30" t="s">
        <v>4</v>
      </c>
      <c r="D2092" s="190" t="s">
        <v>5</v>
      </c>
      <c r="E2092" s="30" t="s">
        <v>6</v>
      </c>
      <c r="F2092" s="190" t="s">
        <v>7</v>
      </c>
      <c r="G2092" s="30"/>
      <c r="H2092" s="30"/>
    </row>
    <row r="2093" spans="1:15" x14ac:dyDescent="0.25">
      <c r="A2093" s="30" t="s">
        <v>725</v>
      </c>
      <c r="B2093" s="30" t="s">
        <v>333</v>
      </c>
      <c r="C2093" s="30">
        <v>25</v>
      </c>
      <c r="D2093" s="190">
        <v>286903.90299999999</v>
      </c>
      <c r="E2093" s="30" t="s">
        <v>10</v>
      </c>
      <c r="F2093" s="190">
        <v>1664.1890000000001</v>
      </c>
      <c r="G2093" s="30" t="s">
        <v>335</v>
      </c>
      <c r="H2093" s="30"/>
      <c r="J2093" s="5" t="s">
        <v>724</v>
      </c>
      <c r="K2093" s="72" t="s">
        <v>340</v>
      </c>
      <c r="L2093" s="72" t="s">
        <v>341</v>
      </c>
      <c r="M2093" s="17" t="s">
        <v>162</v>
      </c>
      <c r="N2093" s="72" t="s">
        <v>342</v>
      </c>
      <c r="O2093" s="21" t="s">
        <v>162</v>
      </c>
    </row>
    <row r="2094" spans="1:15" x14ac:dyDescent="0.25">
      <c r="A2094" s="30" t="s">
        <v>726</v>
      </c>
      <c r="B2094" s="30" t="s">
        <v>333</v>
      </c>
      <c r="C2094" s="30">
        <v>25</v>
      </c>
      <c r="D2094" s="190">
        <v>159477.40400000001</v>
      </c>
      <c r="E2094" s="30" t="s">
        <v>10</v>
      </c>
      <c r="F2094" s="190">
        <v>839.80799999999999</v>
      </c>
      <c r="G2094" s="30" t="s">
        <v>335</v>
      </c>
      <c r="H2094" s="30"/>
      <c r="J2094" s="6">
        <v>100000</v>
      </c>
      <c r="K2094" s="119">
        <f>D2093</f>
        <v>286903.90299999999</v>
      </c>
      <c r="L2094" s="119">
        <f>D2094</f>
        <v>159477.40400000001</v>
      </c>
      <c r="M2094" s="18">
        <f>(K2094/L2094-1)</f>
        <v>0.7990254155378651</v>
      </c>
      <c r="N2094" s="73">
        <f>D2095</f>
        <v>264819.63900000002</v>
      </c>
      <c r="O2094" s="22">
        <f>(K2094/N2094-1)</f>
        <v>8.3393603599013932E-2</v>
      </c>
    </row>
    <row r="2095" spans="1:15" x14ac:dyDescent="0.25">
      <c r="A2095" s="30" t="s">
        <v>727</v>
      </c>
      <c r="B2095" s="30" t="s">
        <v>333</v>
      </c>
      <c r="C2095" s="30">
        <v>25</v>
      </c>
      <c r="D2095" s="190">
        <v>264819.63900000002</v>
      </c>
      <c r="E2095" s="30" t="s">
        <v>10</v>
      </c>
      <c r="F2095" s="190">
        <v>5983.1719999999996</v>
      </c>
      <c r="G2095" s="30" t="s">
        <v>335</v>
      </c>
      <c r="H2095" s="30"/>
      <c r="J2095" s="6">
        <v>50000</v>
      </c>
      <c r="K2095" s="119">
        <f>D2096</f>
        <v>87041.388999999996</v>
      </c>
      <c r="L2095" s="119">
        <f>D2097</f>
        <v>61063.266000000003</v>
      </c>
      <c r="M2095" s="18">
        <f t="shared" ref="M2095:M2098" si="247">(K2095/L2095-1)</f>
        <v>0.42542963555208457</v>
      </c>
      <c r="N2095" s="73">
        <f>D2098</f>
        <v>119492.11500000001</v>
      </c>
      <c r="O2095" s="22">
        <f t="shared" ref="O2095:O2098" si="248">(K2095/N2095-1)</f>
        <v>-0.27157211168285045</v>
      </c>
    </row>
    <row r="2096" spans="1:15" x14ac:dyDescent="0.25">
      <c r="A2096" s="30" t="s">
        <v>728</v>
      </c>
      <c r="B2096" s="30" t="s">
        <v>333</v>
      </c>
      <c r="C2096" s="30">
        <v>25</v>
      </c>
      <c r="D2096" s="190">
        <v>87041.388999999996</v>
      </c>
      <c r="E2096" s="30" t="s">
        <v>10</v>
      </c>
      <c r="F2096" s="190">
        <v>1381.6969999999999</v>
      </c>
      <c r="G2096" s="30" t="s">
        <v>335</v>
      </c>
      <c r="H2096" s="30"/>
      <c r="J2096" s="6">
        <v>10000</v>
      </c>
      <c r="K2096" s="119">
        <f>D2099</f>
        <v>16176.173000000001</v>
      </c>
      <c r="L2096" s="119">
        <f>D2100</f>
        <v>10622.058000000001</v>
      </c>
      <c r="M2096" s="18">
        <f t="shared" si="247"/>
        <v>0.52288501908010665</v>
      </c>
      <c r="N2096" s="73">
        <f>D2101</f>
        <v>71449.225999999995</v>
      </c>
      <c r="O2096" s="22">
        <f t="shared" si="248"/>
        <v>-0.77359904500574994</v>
      </c>
    </row>
    <row r="2097" spans="1:15" x14ac:dyDescent="0.25">
      <c r="A2097" s="30" t="s">
        <v>729</v>
      </c>
      <c r="B2097" s="30" t="s">
        <v>333</v>
      </c>
      <c r="C2097" s="30">
        <v>25</v>
      </c>
      <c r="D2097" s="190">
        <v>61063.266000000003</v>
      </c>
      <c r="E2097" s="30" t="s">
        <v>10</v>
      </c>
      <c r="F2097" s="190">
        <v>1776.3920000000001</v>
      </c>
      <c r="G2097" s="30" t="s">
        <v>335</v>
      </c>
      <c r="H2097" s="30"/>
      <c r="J2097" s="67">
        <v>1000</v>
      </c>
      <c r="K2097" s="119">
        <f>D2102</f>
        <v>1881.3810000000001</v>
      </c>
      <c r="L2097" s="119">
        <f>D2103</f>
        <v>968.53099999999995</v>
      </c>
      <c r="M2097" s="18">
        <f t="shared" si="247"/>
        <v>0.94250984222497802</v>
      </c>
      <c r="N2097" s="73">
        <f>D2104</f>
        <v>7438.1750000000002</v>
      </c>
      <c r="O2097" s="22">
        <f t="shared" si="248"/>
        <v>-0.74706416560513833</v>
      </c>
    </row>
    <row r="2098" spans="1:15" ht="20" thickBot="1" x14ac:dyDescent="0.3">
      <c r="A2098" s="30" t="s">
        <v>730</v>
      </c>
      <c r="B2098" s="30" t="s">
        <v>333</v>
      </c>
      <c r="C2098" s="30">
        <v>25</v>
      </c>
      <c r="D2098" s="190">
        <v>119492.11500000001</v>
      </c>
      <c r="E2098" s="30" t="s">
        <v>10</v>
      </c>
      <c r="F2098" s="190">
        <v>677.29600000000005</v>
      </c>
      <c r="G2098" s="30" t="s">
        <v>335</v>
      </c>
      <c r="H2098" s="30"/>
      <c r="J2098" s="68">
        <v>100</v>
      </c>
      <c r="K2098" s="120">
        <f>D2105</f>
        <v>192.857</v>
      </c>
      <c r="L2098" s="120">
        <f>D2106</f>
        <v>104.806</v>
      </c>
      <c r="M2098" s="19">
        <f t="shared" si="247"/>
        <v>0.84013319848100299</v>
      </c>
      <c r="N2098" s="74">
        <f>D2107</f>
        <v>747.43</v>
      </c>
      <c r="O2098" s="23">
        <f t="shared" si="248"/>
        <v>-0.74197316136628177</v>
      </c>
    </row>
    <row r="2099" spans="1:15" ht="20" thickBot="1" x14ac:dyDescent="0.3">
      <c r="A2099" s="30" t="s">
        <v>731</v>
      </c>
      <c r="B2099" s="30" t="s">
        <v>333</v>
      </c>
      <c r="C2099" s="30">
        <v>25</v>
      </c>
      <c r="D2099" s="190">
        <v>16176.173000000001</v>
      </c>
      <c r="E2099" s="30" t="s">
        <v>10</v>
      </c>
      <c r="F2099" s="190">
        <v>149.40199999999999</v>
      </c>
      <c r="G2099" s="30" t="s">
        <v>335</v>
      </c>
      <c r="H2099" s="30"/>
    </row>
    <row r="2100" spans="1:15" x14ac:dyDescent="0.25">
      <c r="A2100" s="30" t="s">
        <v>732</v>
      </c>
      <c r="B2100" s="30" t="s">
        <v>333</v>
      </c>
      <c r="C2100" s="30">
        <v>25</v>
      </c>
      <c r="D2100" s="190">
        <v>10622.058000000001</v>
      </c>
      <c r="E2100" s="30" t="s">
        <v>10</v>
      </c>
      <c r="F2100" s="190">
        <v>54.948</v>
      </c>
      <c r="G2100" s="30" t="s">
        <v>335</v>
      </c>
      <c r="H2100" s="30"/>
      <c r="J2100" s="5" t="s">
        <v>724</v>
      </c>
      <c r="K2100" s="72" t="s">
        <v>341</v>
      </c>
      <c r="L2100" s="72" t="s">
        <v>342</v>
      </c>
      <c r="M2100" s="21" t="s">
        <v>162</v>
      </c>
    </row>
    <row r="2101" spans="1:15" x14ac:dyDescent="0.25">
      <c r="A2101" s="30" t="s">
        <v>733</v>
      </c>
      <c r="B2101" s="30" t="s">
        <v>333</v>
      </c>
      <c r="C2101" s="30">
        <v>25</v>
      </c>
      <c r="D2101" s="190">
        <v>71449.225999999995</v>
      </c>
      <c r="E2101" s="30" t="s">
        <v>10</v>
      </c>
      <c r="F2101" s="190">
        <v>191.60300000000001</v>
      </c>
      <c r="G2101" s="30" t="s">
        <v>335</v>
      </c>
      <c r="H2101" s="30"/>
      <c r="J2101" s="6">
        <v>100000</v>
      </c>
      <c r="K2101" s="119">
        <f>D2094</f>
        <v>159477.40400000001</v>
      </c>
      <c r="L2101" s="119">
        <f>D2095</f>
        <v>264819.63900000002</v>
      </c>
      <c r="M2101" s="22">
        <f>(K2101/L2101-1)</f>
        <v>-0.39778860585184928</v>
      </c>
    </row>
    <row r="2102" spans="1:15" x14ac:dyDescent="0.25">
      <c r="A2102" s="30" t="s">
        <v>734</v>
      </c>
      <c r="B2102" s="30" t="s">
        <v>333</v>
      </c>
      <c r="C2102" s="30">
        <v>25</v>
      </c>
      <c r="D2102" s="190">
        <v>1881.3810000000001</v>
      </c>
      <c r="E2102" s="30" t="s">
        <v>10</v>
      </c>
      <c r="F2102" s="190">
        <v>6.6349999999999998</v>
      </c>
      <c r="G2102" s="30" t="s">
        <v>335</v>
      </c>
      <c r="H2102" s="30"/>
      <c r="J2102" s="6">
        <v>50000</v>
      </c>
      <c r="K2102" s="119">
        <f>D2097</f>
        <v>61063.266000000003</v>
      </c>
      <c r="L2102" s="119">
        <f>D2098</f>
        <v>119492.11500000001</v>
      </c>
      <c r="M2102" s="22">
        <f t="shared" ref="M2102:M2105" si="249">(K2102/L2102-1)</f>
        <v>-0.4889766073686117</v>
      </c>
    </row>
    <row r="2103" spans="1:15" x14ac:dyDescent="0.25">
      <c r="A2103" s="30" t="s">
        <v>735</v>
      </c>
      <c r="B2103" s="30" t="s">
        <v>333</v>
      </c>
      <c r="C2103" s="30">
        <v>25</v>
      </c>
      <c r="D2103" s="190">
        <v>968.53099999999995</v>
      </c>
      <c r="E2103" s="30" t="s">
        <v>10</v>
      </c>
      <c r="F2103" s="190">
        <v>8.7439999999999998</v>
      </c>
      <c r="G2103" s="30" t="s">
        <v>335</v>
      </c>
      <c r="H2103" s="30"/>
      <c r="J2103" s="6">
        <v>10000</v>
      </c>
      <c r="K2103" s="119">
        <f>D2100</f>
        <v>10622.058000000001</v>
      </c>
      <c r="L2103" s="119">
        <f>D2101</f>
        <v>71449.225999999995</v>
      </c>
      <c r="M2103" s="22">
        <f t="shared" si="249"/>
        <v>-0.85133417680409862</v>
      </c>
    </row>
    <row r="2104" spans="1:15" x14ac:dyDescent="0.25">
      <c r="A2104" s="30" t="s">
        <v>736</v>
      </c>
      <c r="B2104" s="30" t="s">
        <v>333</v>
      </c>
      <c r="C2104" s="30">
        <v>25</v>
      </c>
      <c r="D2104" s="190">
        <v>7438.1750000000002</v>
      </c>
      <c r="E2104" s="30" t="s">
        <v>10</v>
      </c>
      <c r="F2104" s="190">
        <v>53.79</v>
      </c>
      <c r="G2104" s="30" t="s">
        <v>335</v>
      </c>
      <c r="H2104" s="30"/>
      <c r="J2104" s="67">
        <v>1000</v>
      </c>
      <c r="K2104" s="119">
        <f>D2103</f>
        <v>968.53099999999995</v>
      </c>
      <c r="L2104" s="119">
        <f>D2104</f>
        <v>7438.1750000000002</v>
      </c>
      <c r="M2104" s="22">
        <f t="shared" si="249"/>
        <v>-0.86978916199202094</v>
      </c>
    </row>
    <row r="2105" spans="1:15" ht="20" thickBot="1" x14ac:dyDescent="0.3">
      <c r="A2105" s="30" t="s">
        <v>737</v>
      </c>
      <c r="B2105" s="30" t="s">
        <v>333</v>
      </c>
      <c r="C2105" s="30">
        <v>25</v>
      </c>
      <c r="D2105" s="190">
        <v>192.857</v>
      </c>
      <c r="E2105" s="30" t="s">
        <v>10</v>
      </c>
      <c r="F2105" s="190">
        <v>1.228</v>
      </c>
      <c r="G2105" s="30" t="s">
        <v>335</v>
      </c>
      <c r="H2105" s="30"/>
      <c r="J2105" s="68">
        <v>100</v>
      </c>
      <c r="K2105" s="120">
        <f>D2106</f>
        <v>104.806</v>
      </c>
      <c r="L2105" s="120">
        <f>D2107</f>
        <v>747.43</v>
      </c>
      <c r="M2105" s="23">
        <f t="shared" si="249"/>
        <v>-0.85977817320685546</v>
      </c>
    </row>
    <row r="2106" spans="1:15" x14ac:dyDescent="0.25">
      <c r="A2106" s="30" t="s">
        <v>738</v>
      </c>
      <c r="B2106" s="30" t="s">
        <v>333</v>
      </c>
      <c r="C2106" s="30">
        <v>25</v>
      </c>
      <c r="D2106" s="190">
        <v>104.806</v>
      </c>
      <c r="E2106" s="30" t="s">
        <v>10</v>
      </c>
      <c r="F2106" s="190">
        <v>0.47</v>
      </c>
      <c r="G2106" s="30" t="s">
        <v>335</v>
      </c>
      <c r="H2106" s="30"/>
    </row>
    <row r="2107" spans="1:15" x14ac:dyDescent="0.25">
      <c r="A2107" s="30" t="s">
        <v>739</v>
      </c>
      <c r="B2107" s="30" t="s">
        <v>333</v>
      </c>
      <c r="C2107" s="30">
        <v>25</v>
      </c>
      <c r="D2107" s="190">
        <v>747.43</v>
      </c>
      <c r="E2107" s="30" t="s">
        <v>10</v>
      </c>
      <c r="F2107" s="190">
        <v>4.7249999999999996</v>
      </c>
      <c r="G2107" s="30" t="s">
        <v>335</v>
      </c>
      <c r="H2107" s="30"/>
    </row>
    <row r="2108" spans="1:15" x14ac:dyDescent="0.25">
      <c r="A2108" s="30"/>
      <c r="B2108" s="30"/>
      <c r="C2108" s="30"/>
      <c r="D2108" s="190"/>
      <c r="E2108" s="30"/>
      <c r="F2108" s="190"/>
      <c r="G2108" s="30"/>
      <c r="H2108" s="30"/>
    </row>
    <row r="2109" spans="1:15" x14ac:dyDescent="0.25">
      <c r="A2109" s="30" t="s">
        <v>740</v>
      </c>
      <c r="B2109" s="30"/>
      <c r="C2109" s="30"/>
      <c r="D2109" s="190"/>
      <c r="E2109" s="30"/>
      <c r="F2109" s="190"/>
      <c r="G2109" s="30"/>
      <c r="H2109" s="30"/>
    </row>
    <row r="2110" spans="1:15" ht="20" thickBot="1" x14ac:dyDescent="0.3">
      <c r="A2110" s="30" t="s">
        <v>2</v>
      </c>
      <c r="B2110" s="30" t="s">
        <v>3</v>
      </c>
      <c r="C2110" s="30" t="s">
        <v>4</v>
      </c>
      <c r="D2110" s="190" t="s">
        <v>5</v>
      </c>
      <c r="E2110" s="30" t="s">
        <v>6</v>
      </c>
      <c r="F2110" s="190" t="s">
        <v>7</v>
      </c>
      <c r="G2110" s="30"/>
      <c r="H2110" s="30"/>
    </row>
    <row r="2111" spans="1:15" x14ac:dyDescent="0.25">
      <c r="A2111" s="30" t="s">
        <v>741</v>
      </c>
      <c r="B2111" s="30" t="s">
        <v>333</v>
      </c>
      <c r="C2111" s="30">
        <v>25</v>
      </c>
      <c r="D2111" s="190">
        <v>669984.86300000001</v>
      </c>
      <c r="E2111" s="30" t="s">
        <v>10</v>
      </c>
      <c r="F2111" s="190">
        <v>6428.9880000000003</v>
      </c>
      <c r="G2111" s="30" t="s">
        <v>335</v>
      </c>
      <c r="H2111" s="30"/>
      <c r="J2111" s="5" t="s">
        <v>740</v>
      </c>
      <c r="K2111" s="72" t="s">
        <v>340</v>
      </c>
      <c r="L2111" s="72" t="s">
        <v>341</v>
      </c>
      <c r="M2111" s="17" t="s">
        <v>162</v>
      </c>
      <c r="N2111" s="72" t="s">
        <v>342</v>
      </c>
      <c r="O2111" s="21" t="s">
        <v>162</v>
      </c>
    </row>
    <row r="2112" spans="1:15" x14ac:dyDescent="0.25">
      <c r="A2112" s="30" t="s">
        <v>742</v>
      </c>
      <c r="B2112" s="30" t="s">
        <v>333</v>
      </c>
      <c r="C2112" s="30">
        <v>25</v>
      </c>
      <c r="D2112" s="190">
        <v>405729.52100000001</v>
      </c>
      <c r="E2112" s="30" t="s">
        <v>10</v>
      </c>
      <c r="F2112" s="190">
        <v>16069.081</v>
      </c>
      <c r="G2112" s="30" t="s">
        <v>335</v>
      </c>
      <c r="H2112" s="30"/>
      <c r="J2112" s="6">
        <v>100000</v>
      </c>
      <c r="K2112" s="119">
        <f>D2111</f>
        <v>669984.86300000001</v>
      </c>
      <c r="L2112" s="119">
        <f>D2112</f>
        <v>405729.52100000001</v>
      </c>
      <c r="M2112" s="18">
        <f>(K2112/L2112-1)</f>
        <v>0.65130913163205584</v>
      </c>
      <c r="N2112" s="73">
        <f>D2113</f>
        <v>496040.34600000002</v>
      </c>
      <c r="O2112" s="22">
        <f>(K2112/N2112-1)</f>
        <v>0.3506660665864465</v>
      </c>
    </row>
    <row r="2113" spans="1:15" x14ac:dyDescent="0.25">
      <c r="A2113" s="30" t="s">
        <v>743</v>
      </c>
      <c r="B2113" s="30" t="s">
        <v>333</v>
      </c>
      <c r="C2113" s="30">
        <v>25</v>
      </c>
      <c r="D2113" s="190">
        <v>496040.34600000002</v>
      </c>
      <c r="E2113" s="30" t="s">
        <v>10</v>
      </c>
      <c r="F2113" s="190">
        <v>35563.550999999999</v>
      </c>
      <c r="G2113" s="30" t="s">
        <v>335</v>
      </c>
      <c r="H2113" s="30"/>
      <c r="J2113" s="6">
        <v>50000</v>
      </c>
      <c r="K2113" s="119">
        <f>D2114</f>
        <v>331978.00900000002</v>
      </c>
      <c r="L2113" s="119">
        <f>D2115</f>
        <v>195285.484</v>
      </c>
      <c r="M2113" s="18">
        <f t="shared" ref="M2113:M2116" si="250">(K2113/L2113-1)</f>
        <v>0.69996254816359027</v>
      </c>
      <c r="N2113" s="73">
        <f>D2116</f>
        <v>236225.38500000001</v>
      </c>
      <c r="O2113" s="22">
        <f t="shared" ref="O2113:O2116" si="251">(K2113/N2113-1)</f>
        <v>0.40534434518965856</v>
      </c>
    </row>
    <row r="2114" spans="1:15" x14ac:dyDescent="0.25">
      <c r="A2114" s="30" t="s">
        <v>744</v>
      </c>
      <c r="B2114" s="30" t="s">
        <v>333</v>
      </c>
      <c r="C2114" s="30">
        <v>25</v>
      </c>
      <c r="D2114" s="190">
        <v>331978.00900000002</v>
      </c>
      <c r="E2114" s="30" t="s">
        <v>10</v>
      </c>
      <c r="F2114" s="190">
        <v>2535.3580000000002</v>
      </c>
      <c r="G2114" s="30" t="s">
        <v>335</v>
      </c>
      <c r="H2114" s="30"/>
      <c r="J2114" s="6">
        <v>10000</v>
      </c>
      <c r="K2114" s="119">
        <f>D2117</f>
        <v>60252.004000000001</v>
      </c>
      <c r="L2114" s="119">
        <f>D2118</f>
        <v>35833.190999999999</v>
      </c>
      <c r="M2114" s="18">
        <f t="shared" si="250"/>
        <v>0.68145795332601011</v>
      </c>
      <c r="N2114" s="73">
        <f>D2119</f>
        <v>98189.524000000005</v>
      </c>
      <c r="O2114" s="22">
        <f t="shared" si="251"/>
        <v>-0.38637034231879974</v>
      </c>
    </row>
    <row r="2115" spans="1:15" x14ac:dyDescent="0.25">
      <c r="A2115" s="30" t="s">
        <v>745</v>
      </c>
      <c r="B2115" s="30" t="s">
        <v>333</v>
      </c>
      <c r="C2115" s="30">
        <v>25</v>
      </c>
      <c r="D2115" s="190">
        <v>195285.484</v>
      </c>
      <c r="E2115" s="30" t="s">
        <v>10</v>
      </c>
      <c r="F2115" s="190">
        <v>949.12300000000005</v>
      </c>
      <c r="G2115" s="30" t="s">
        <v>335</v>
      </c>
      <c r="H2115" s="30"/>
      <c r="J2115" s="67">
        <v>1000</v>
      </c>
      <c r="K2115" s="119">
        <f>D2120</f>
        <v>5573.4809999999998</v>
      </c>
      <c r="L2115" s="119">
        <f>D2121</f>
        <v>3738.1860000000001</v>
      </c>
      <c r="M2115" s="18">
        <f t="shared" si="250"/>
        <v>0.49095871633995736</v>
      </c>
      <c r="N2115" s="73">
        <f>D2122</f>
        <v>3841.998</v>
      </c>
      <c r="O2115" s="22">
        <f t="shared" si="251"/>
        <v>0.45067254069367024</v>
      </c>
    </row>
    <row r="2116" spans="1:15" ht="20" thickBot="1" x14ac:dyDescent="0.3">
      <c r="A2116" s="30" t="s">
        <v>746</v>
      </c>
      <c r="B2116" s="30" t="s">
        <v>333</v>
      </c>
      <c r="C2116" s="30">
        <v>25</v>
      </c>
      <c r="D2116" s="190">
        <v>236225.38500000001</v>
      </c>
      <c r="E2116" s="30" t="s">
        <v>10</v>
      </c>
      <c r="F2116" s="190">
        <v>572.04100000000005</v>
      </c>
      <c r="G2116" s="30" t="s">
        <v>335</v>
      </c>
      <c r="H2116" s="30"/>
      <c r="J2116" s="68">
        <v>100</v>
      </c>
      <c r="K2116" s="120">
        <f>D2123</f>
        <v>569.21600000000001</v>
      </c>
      <c r="L2116" s="120">
        <f>D2124</f>
        <v>351.46300000000002</v>
      </c>
      <c r="M2116" s="19">
        <f t="shared" si="250"/>
        <v>0.61956166082916253</v>
      </c>
      <c r="N2116" s="74">
        <f>D2125</f>
        <v>1091.4670000000001</v>
      </c>
      <c r="O2116" s="23">
        <f t="shared" si="251"/>
        <v>-0.47848537793630042</v>
      </c>
    </row>
    <row r="2117" spans="1:15" ht="20" thickBot="1" x14ac:dyDescent="0.3">
      <c r="A2117" s="30" t="s">
        <v>747</v>
      </c>
      <c r="B2117" s="30" t="s">
        <v>333</v>
      </c>
      <c r="C2117" s="30">
        <v>25</v>
      </c>
      <c r="D2117" s="190">
        <v>60252.004000000001</v>
      </c>
      <c r="E2117" s="30" t="s">
        <v>10</v>
      </c>
      <c r="F2117" s="190">
        <v>190.91200000000001</v>
      </c>
      <c r="G2117" s="30" t="s">
        <v>335</v>
      </c>
      <c r="H2117" s="30"/>
    </row>
    <row r="2118" spans="1:15" x14ac:dyDescent="0.25">
      <c r="A2118" s="30" t="s">
        <v>748</v>
      </c>
      <c r="B2118" s="30" t="s">
        <v>333</v>
      </c>
      <c r="C2118" s="30">
        <v>25</v>
      </c>
      <c r="D2118" s="190">
        <v>35833.190999999999</v>
      </c>
      <c r="E2118" s="30" t="s">
        <v>10</v>
      </c>
      <c r="F2118" s="190">
        <v>253.94</v>
      </c>
      <c r="G2118" s="30" t="s">
        <v>335</v>
      </c>
      <c r="H2118" s="30"/>
      <c r="J2118" s="5" t="s">
        <v>740</v>
      </c>
      <c r="K2118" s="72" t="s">
        <v>341</v>
      </c>
      <c r="L2118" s="72" t="s">
        <v>342</v>
      </c>
      <c r="M2118" s="21" t="s">
        <v>162</v>
      </c>
    </row>
    <row r="2119" spans="1:15" x14ac:dyDescent="0.25">
      <c r="A2119" s="30" t="s">
        <v>749</v>
      </c>
      <c r="B2119" s="30" t="s">
        <v>333</v>
      </c>
      <c r="C2119" s="30">
        <v>25</v>
      </c>
      <c r="D2119" s="190">
        <v>98189.524000000005</v>
      </c>
      <c r="E2119" s="30" t="s">
        <v>10</v>
      </c>
      <c r="F2119" s="190">
        <v>632.33100000000002</v>
      </c>
      <c r="G2119" s="30" t="s">
        <v>335</v>
      </c>
      <c r="H2119" s="30"/>
      <c r="J2119" s="6">
        <v>100000</v>
      </c>
      <c r="K2119" s="119">
        <f>D2112</f>
        <v>405729.52100000001</v>
      </c>
      <c r="L2119" s="119">
        <f>D2113</f>
        <v>496040.34600000002</v>
      </c>
      <c r="M2119" s="22">
        <f>(K2119/L2119-1)</f>
        <v>-0.18206346666809237</v>
      </c>
    </row>
    <row r="2120" spans="1:15" x14ac:dyDescent="0.25">
      <c r="A2120" s="30" t="s">
        <v>750</v>
      </c>
      <c r="B2120" s="30" t="s">
        <v>333</v>
      </c>
      <c r="C2120" s="30">
        <v>25</v>
      </c>
      <c r="D2120" s="190">
        <v>5573.4809999999998</v>
      </c>
      <c r="E2120" s="30" t="s">
        <v>10</v>
      </c>
      <c r="F2120" s="190">
        <v>24.824999999999999</v>
      </c>
      <c r="G2120" s="30" t="s">
        <v>335</v>
      </c>
      <c r="H2120" s="30"/>
      <c r="J2120" s="6">
        <v>50000</v>
      </c>
      <c r="K2120" s="119">
        <f>D2115</f>
        <v>195285.484</v>
      </c>
      <c r="L2120" s="119">
        <f>D2116</f>
        <v>236225.38500000001</v>
      </c>
      <c r="M2120" s="22">
        <f t="shared" ref="M2120:M2123" si="252">(K2120/L2120-1)</f>
        <v>-0.17330864335346519</v>
      </c>
    </row>
    <row r="2121" spans="1:15" x14ac:dyDescent="0.25">
      <c r="A2121" s="30" t="s">
        <v>751</v>
      </c>
      <c r="B2121" s="30" t="s">
        <v>333</v>
      </c>
      <c r="C2121" s="30">
        <v>25</v>
      </c>
      <c r="D2121" s="190">
        <v>3738.1860000000001</v>
      </c>
      <c r="E2121" s="30" t="s">
        <v>10</v>
      </c>
      <c r="F2121" s="190">
        <v>19.221</v>
      </c>
      <c r="G2121" s="30" t="s">
        <v>335</v>
      </c>
      <c r="H2121" s="30"/>
      <c r="J2121" s="6">
        <v>10000</v>
      </c>
      <c r="K2121" s="119">
        <f>D2118</f>
        <v>35833.190999999999</v>
      </c>
      <c r="L2121" s="119">
        <f>D2119</f>
        <v>98189.524000000005</v>
      </c>
      <c r="M2121" s="22">
        <f t="shared" si="252"/>
        <v>-0.63506095619732306</v>
      </c>
    </row>
    <row r="2122" spans="1:15" x14ac:dyDescent="0.25">
      <c r="A2122" s="30" t="s">
        <v>752</v>
      </c>
      <c r="B2122" s="30" t="s">
        <v>333</v>
      </c>
      <c r="C2122" s="30">
        <v>25</v>
      </c>
      <c r="D2122" s="190">
        <v>3841.998</v>
      </c>
      <c r="E2122" s="30" t="s">
        <v>10</v>
      </c>
      <c r="F2122" s="190">
        <v>16.693000000000001</v>
      </c>
      <c r="G2122" s="30" t="s">
        <v>335</v>
      </c>
      <c r="H2122" s="30"/>
      <c r="J2122" s="67">
        <v>1000</v>
      </c>
      <c r="K2122" s="119">
        <f>D2121</f>
        <v>3738.1860000000001</v>
      </c>
      <c r="L2122" s="119">
        <f>D2122</f>
        <v>3841.998</v>
      </c>
      <c r="M2122" s="22">
        <f t="shared" si="252"/>
        <v>-2.702031599183552E-2</v>
      </c>
    </row>
    <row r="2123" spans="1:15" ht="20" thickBot="1" x14ac:dyDescent="0.3">
      <c r="A2123" s="30" t="s">
        <v>753</v>
      </c>
      <c r="B2123" s="30" t="s">
        <v>333</v>
      </c>
      <c r="C2123" s="30">
        <v>25</v>
      </c>
      <c r="D2123" s="190">
        <v>569.21600000000001</v>
      </c>
      <c r="E2123" s="30" t="s">
        <v>10</v>
      </c>
      <c r="F2123" s="190">
        <v>4.1150000000000002</v>
      </c>
      <c r="G2123" s="30" t="s">
        <v>335</v>
      </c>
      <c r="H2123" s="30"/>
      <c r="J2123" s="68">
        <v>100</v>
      </c>
      <c r="K2123" s="120">
        <f>D2124</f>
        <v>351.46300000000002</v>
      </c>
      <c r="L2123" s="120">
        <f>D2125</f>
        <v>1091.4670000000001</v>
      </c>
      <c r="M2123" s="23">
        <f t="shared" si="252"/>
        <v>-0.67799026447890776</v>
      </c>
    </row>
    <row r="2124" spans="1:15" x14ac:dyDescent="0.25">
      <c r="A2124" s="30" t="s">
        <v>754</v>
      </c>
      <c r="B2124" s="30" t="s">
        <v>333</v>
      </c>
      <c r="C2124" s="30">
        <v>25</v>
      </c>
      <c r="D2124" s="190">
        <v>351.46300000000002</v>
      </c>
      <c r="E2124" s="30" t="s">
        <v>10</v>
      </c>
      <c r="F2124" s="190">
        <v>1.6160000000000001</v>
      </c>
      <c r="G2124" s="30" t="s">
        <v>335</v>
      </c>
      <c r="H2124" s="30"/>
    </row>
    <row r="2125" spans="1:15" x14ac:dyDescent="0.25">
      <c r="A2125" s="30" t="s">
        <v>755</v>
      </c>
      <c r="B2125" s="30" t="s">
        <v>333</v>
      </c>
      <c r="C2125" s="30">
        <v>25</v>
      </c>
      <c r="D2125" s="190">
        <v>1091.4670000000001</v>
      </c>
      <c r="E2125" s="30" t="s">
        <v>10</v>
      </c>
      <c r="F2125" s="190">
        <v>4.6710000000000003</v>
      </c>
      <c r="G2125" s="30" t="s">
        <v>335</v>
      </c>
      <c r="H2125" s="30"/>
    </row>
    <row r="2126" spans="1:15" x14ac:dyDescent="0.25">
      <c r="A2126" s="30"/>
      <c r="B2126" s="30"/>
      <c r="C2126" s="30"/>
      <c r="D2126" s="190"/>
      <c r="E2126" s="30"/>
      <c r="F2126" s="190"/>
      <c r="G2126" s="30"/>
      <c r="H2126" s="30"/>
    </row>
    <row r="2127" spans="1:15" x14ac:dyDescent="0.25">
      <c r="A2127" s="30" t="s">
        <v>860</v>
      </c>
      <c r="B2127" s="30"/>
      <c r="C2127" s="30"/>
      <c r="D2127" s="190"/>
      <c r="E2127" s="30"/>
      <c r="F2127" s="190"/>
      <c r="G2127" s="30"/>
      <c r="H2127" s="30"/>
    </row>
    <row r="2128" spans="1:15" ht="20" thickBot="1" x14ac:dyDescent="0.3">
      <c r="A2128" s="30" t="s">
        <v>2</v>
      </c>
      <c r="B2128" s="30" t="s">
        <v>3</v>
      </c>
      <c r="C2128" s="30" t="s">
        <v>4</v>
      </c>
      <c r="D2128" s="190" t="s">
        <v>5</v>
      </c>
      <c r="E2128" s="30" t="s">
        <v>6</v>
      </c>
      <c r="F2128" s="190" t="s">
        <v>7</v>
      </c>
      <c r="G2128" s="30"/>
      <c r="H2128" s="30"/>
    </row>
    <row r="2129" spans="1:17" x14ac:dyDescent="0.25">
      <c r="A2129" s="30" t="s">
        <v>861</v>
      </c>
      <c r="B2129" s="30" t="s">
        <v>333</v>
      </c>
      <c r="C2129" s="30">
        <v>25</v>
      </c>
      <c r="D2129" s="190">
        <v>8612110.8010000009</v>
      </c>
      <c r="E2129" s="30" t="s">
        <v>10</v>
      </c>
      <c r="F2129" s="190">
        <v>87826.472999999998</v>
      </c>
      <c r="G2129" s="30" t="s">
        <v>335</v>
      </c>
      <c r="H2129" s="30"/>
      <c r="J2129" s="70" t="s">
        <v>860</v>
      </c>
      <c r="K2129" s="72" t="s">
        <v>344</v>
      </c>
      <c r="L2129" s="72" t="s">
        <v>341</v>
      </c>
      <c r="M2129" s="17" t="s">
        <v>162</v>
      </c>
      <c r="N2129" s="72" t="s">
        <v>343</v>
      </c>
      <c r="O2129" s="17" t="s">
        <v>162</v>
      </c>
      <c r="P2129" s="72" t="s">
        <v>342</v>
      </c>
      <c r="Q2129" s="21" t="s">
        <v>162</v>
      </c>
    </row>
    <row r="2130" spans="1:17" x14ac:dyDescent="0.25">
      <c r="A2130" s="30" t="s">
        <v>862</v>
      </c>
      <c r="B2130" s="30" t="s">
        <v>333</v>
      </c>
      <c r="C2130" s="30">
        <v>25</v>
      </c>
      <c r="D2130" s="190">
        <v>4629175.7869999995</v>
      </c>
      <c r="E2130" s="30" t="s">
        <v>10</v>
      </c>
      <c r="F2130" s="190">
        <v>137002.106</v>
      </c>
      <c r="G2130" s="30" t="s">
        <v>335</v>
      </c>
      <c r="H2130" s="30"/>
      <c r="J2130" s="6">
        <v>100000</v>
      </c>
      <c r="K2130" s="119">
        <f>D2129</f>
        <v>8612110.8010000009</v>
      </c>
      <c r="L2130" s="119">
        <f>D2130</f>
        <v>4629175.7869999995</v>
      </c>
      <c r="M2130" s="18">
        <f>(K2130/L2130-1)</f>
        <v>0.86039830787700478</v>
      </c>
      <c r="N2130" s="73">
        <f>D2131</f>
        <v>4031639.298</v>
      </c>
      <c r="O2130" s="18">
        <f>(K2130/N2130-1)</f>
        <v>1.13613127674201</v>
      </c>
      <c r="P2130" s="73">
        <f>D2132</f>
        <v>15652602.003</v>
      </c>
      <c r="Q2130" s="22">
        <f>(K2130/P2130-1)</f>
        <v>-0.4497968580974977</v>
      </c>
    </row>
    <row r="2131" spans="1:17" x14ac:dyDescent="0.25">
      <c r="A2131" s="30" t="s">
        <v>863</v>
      </c>
      <c r="B2131" s="30" t="s">
        <v>333</v>
      </c>
      <c r="C2131" s="30">
        <v>25</v>
      </c>
      <c r="D2131" s="190">
        <v>4031639.298</v>
      </c>
      <c r="E2131" s="30" t="s">
        <v>10</v>
      </c>
      <c r="F2131" s="190">
        <v>51462.902000000002</v>
      </c>
      <c r="G2131" s="30" t="s">
        <v>335</v>
      </c>
      <c r="H2131" s="30"/>
      <c r="J2131" s="6">
        <v>50000</v>
      </c>
      <c r="K2131" s="119">
        <f>D2133</f>
        <v>3549630.5619999999</v>
      </c>
      <c r="L2131" s="119">
        <f>D2134</f>
        <v>2746838.2609999999</v>
      </c>
      <c r="M2131" s="18">
        <f t="shared" ref="M2131:M2134" si="253">(K2131/L2131-1)</f>
        <v>0.29226049178000735</v>
      </c>
      <c r="N2131" s="73">
        <f>D2135</f>
        <v>1646696.054</v>
      </c>
      <c r="O2131" s="18">
        <f t="shared" ref="O2131:O2134" si="254">(K2131/N2131-1)</f>
        <v>1.1556076201054646</v>
      </c>
      <c r="P2131" s="73">
        <f>D2136</f>
        <v>5674064.6950000003</v>
      </c>
      <c r="Q2131" s="22">
        <f t="shared" ref="Q2131:Q2134" si="255">(K2131/P2131-1)</f>
        <v>-0.37441133423664641</v>
      </c>
    </row>
    <row r="2132" spans="1:17" x14ac:dyDescent="0.25">
      <c r="A2132" s="30" t="s">
        <v>864</v>
      </c>
      <c r="B2132" s="30" t="s">
        <v>333</v>
      </c>
      <c r="C2132" s="30">
        <v>25</v>
      </c>
      <c r="D2132" s="190">
        <v>15652602.003</v>
      </c>
      <c r="E2132" s="30" t="s">
        <v>10</v>
      </c>
      <c r="F2132" s="190">
        <v>150333.97700000001</v>
      </c>
      <c r="G2132" s="30" t="s">
        <v>335</v>
      </c>
      <c r="H2132" s="30"/>
      <c r="J2132" s="6">
        <v>10000</v>
      </c>
      <c r="K2132" s="119">
        <f>D2137</f>
        <v>467980.66</v>
      </c>
      <c r="L2132" s="119">
        <f>D2138</f>
        <v>567437.40500000003</v>
      </c>
      <c r="M2132" s="18">
        <f t="shared" si="253"/>
        <v>-0.17527350880226167</v>
      </c>
      <c r="N2132" s="73">
        <f>D2139</f>
        <v>321534.42499999999</v>
      </c>
      <c r="O2132" s="18">
        <f t="shared" si="254"/>
        <v>0.45546051561975043</v>
      </c>
      <c r="P2132" s="73">
        <f>D2140</f>
        <v>1196568.4669999999</v>
      </c>
      <c r="Q2132" s="22">
        <f t="shared" si="255"/>
        <v>-0.6088977163393694</v>
      </c>
    </row>
    <row r="2133" spans="1:17" x14ac:dyDescent="0.25">
      <c r="A2133" s="30" t="s">
        <v>865</v>
      </c>
      <c r="B2133" s="30" t="s">
        <v>333</v>
      </c>
      <c r="C2133" s="30">
        <v>25</v>
      </c>
      <c r="D2133" s="190">
        <v>3549630.5619999999</v>
      </c>
      <c r="E2133" s="30" t="s">
        <v>10</v>
      </c>
      <c r="F2133" s="190">
        <v>34860.163999999997</v>
      </c>
      <c r="G2133" s="30" t="s">
        <v>335</v>
      </c>
      <c r="H2133" s="30"/>
      <c r="J2133" s="67">
        <v>1000</v>
      </c>
      <c r="K2133" s="119">
        <f>D2141</f>
        <v>48981.877</v>
      </c>
      <c r="L2133" s="119">
        <f>D2142</f>
        <v>57345.858999999997</v>
      </c>
      <c r="M2133" s="18">
        <f t="shared" si="253"/>
        <v>-0.14585154265454459</v>
      </c>
      <c r="N2133" s="73">
        <f>D2143</f>
        <v>33653.374000000003</v>
      </c>
      <c r="O2133" s="18">
        <f t="shared" si="254"/>
        <v>0.45548190799531696</v>
      </c>
      <c r="P2133" s="73">
        <f>D2144</f>
        <v>114531.736</v>
      </c>
      <c r="Q2133" s="22">
        <f t="shared" si="255"/>
        <v>-0.57232921886384402</v>
      </c>
    </row>
    <row r="2134" spans="1:17" ht="20" thickBot="1" x14ac:dyDescent="0.3">
      <c r="A2134" s="30" t="s">
        <v>866</v>
      </c>
      <c r="B2134" s="30" t="s">
        <v>333</v>
      </c>
      <c r="C2134" s="30">
        <v>25</v>
      </c>
      <c r="D2134" s="190">
        <v>2746838.2609999999</v>
      </c>
      <c r="E2134" s="30" t="s">
        <v>10</v>
      </c>
      <c r="F2134" s="190">
        <v>143416.27499999999</v>
      </c>
      <c r="G2134" s="30" t="s">
        <v>335</v>
      </c>
      <c r="H2134" s="30"/>
      <c r="J2134" s="68">
        <v>100</v>
      </c>
      <c r="K2134" s="120">
        <f>D2145</f>
        <v>4834.5510000000004</v>
      </c>
      <c r="L2134" s="120">
        <f>D2146</f>
        <v>5720.8050000000003</v>
      </c>
      <c r="M2134" s="19">
        <f t="shared" si="253"/>
        <v>-0.15491770825958928</v>
      </c>
      <c r="N2134" s="74">
        <f>D2147</f>
        <v>3214.1379999999999</v>
      </c>
      <c r="O2134" s="19">
        <f t="shared" si="254"/>
        <v>0.50415165745839174</v>
      </c>
      <c r="P2134" s="74">
        <f>D2148</f>
        <v>10565.884</v>
      </c>
      <c r="Q2134" s="23">
        <f t="shared" si="255"/>
        <v>-0.54243762282455488</v>
      </c>
    </row>
    <row r="2135" spans="1:17" ht="20" thickBot="1" x14ac:dyDescent="0.3">
      <c r="A2135" s="30" t="s">
        <v>867</v>
      </c>
      <c r="B2135" s="30" t="s">
        <v>333</v>
      </c>
      <c r="C2135" s="30">
        <v>25</v>
      </c>
      <c r="D2135" s="190">
        <v>1646696.054</v>
      </c>
      <c r="E2135" s="30" t="s">
        <v>10</v>
      </c>
      <c r="F2135" s="190">
        <v>27565.803</v>
      </c>
      <c r="G2135" s="30" t="s">
        <v>335</v>
      </c>
      <c r="H2135" s="30"/>
    </row>
    <row r="2136" spans="1:17" x14ac:dyDescent="0.25">
      <c r="A2136" s="30" t="s">
        <v>868</v>
      </c>
      <c r="B2136" s="30" t="s">
        <v>333</v>
      </c>
      <c r="C2136" s="30">
        <v>25</v>
      </c>
      <c r="D2136" s="190">
        <v>5674064.6950000003</v>
      </c>
      <c r="E2136" s="30" t="s">
        <v>10</v>
      </c>
      <c r="F2136" s="190">
        <v>187722.67600000001</v>
      </c>
      <c r="G2136" s="30" t="s">
        <v>335</v>
      </c>
      <c r="H2136" s="30"/>
      <c r="J2136" s="70" t="s">
        <v>860</v>
      </c>
      <c r="K2136" s="72" t="s">
        <v>341</v>
      </c>
      <c r="L2136" s="72" t="s">
        <v>342</v>
      </c>
      <c r="M2136" s="17" t="s">
        <v>162</v>
      </c>
      <c r="N2136" s="72" t="s">
        <v>343</v>
      </c>
      <c r="O2136" s="21" t="s">
        <v>162</v>
      </c>
    </row>
    <row r="2137" spans="1:17" x14ac:dyDescent="0.25">
      <c r="A2137" s="30" t="s">
        <v>869</v>
      </c>
      <c r="B2137" s="30" t="s">
        <v>333</v>
      </c>
      <c r="C2137" s="30">
        <v>25</v>
      </c>
      <c r="D2137" s="190">
        <v>467980.66</v>
      </c>
      <c r="E2137" s="30" t="s">
        <v>10</v>
      </c>
      <c r="F2137" s="190">
        <v>2596.0189999999998</v>
      </c>
      <c r="G2137" s="30" t="s">
        <v>335</v>
      </c>
      <c r="H2137" s="30"/>
      <c r="J2137" s="6">
        <v>100000</v>
      </c>
      <c r="K2137" s="119">
        <f>D2130</f>
        <v>4629175.7869999995</v>
      </c>
      <c r="L2137" s="119">
        <f>D2132</f>
        <v>15652602.003</v>
      </c>
      <c r="M2137" s="18">
        <f>(K2137/L2137-1)</f>
        <v>-0.70425519117442814</v>
      </c>
      <c r="N2137" s="73">
        <f>D2131</f>
        <v>4031639.298</v>
      </c>
      <c r="O2137" s="22">
        <f>(K2137/N2137-1)</f>
        <v>0.1482117929787079</v>
      </c>
    </row>
    <row r="2138" spans="1:17" x14ac:dyDescent="0.25">
      <c r="A2138" s="30" t="s">
        <v>870</v>
      </c>
      <c r="B2138" s="30" t="s">
        <v>333</v>
      </c>
      <c r="C2138" s="30">
        <v>25</v>
      </c>
      <c r="D2138" s="190">
        <v>567437.40500000003</v>
      </c>
      <c r="E2138" s="30" t="s">
        <v>10</v>
      </c>
      <c r="F2138" s="190">
        <v>19004.874</v>
      </c>
      <c r="G2138" s="30" t="s">
        <v>335</v>
      </c>
      <c r="H2138" s="30"/>
      <c r="J2138" s="6">
        <v>50000</v>
      </c>
      <c r="K2138" s="119">
        <f>D2134</f>
        <v>2746838.2609999999</v>
      </c>
      <c r="L2138" s="119">
        <f>D2136</f>
        <v>5674064.6950000003</v>
      </c>
      <c r="M2138" s="18">
        <f t="shared" ref="M2138:M2141" si="256">(K2138/L2138-1)</f>
        <v>-0.5158958509196202</v>
      </c>
      <c r="N2138" s="73">
        <f>D2135</f>
        <v>1646696.054</v>
      </c>
      <c r="O2138" s="22">
        <f t="shared" ref="O2138:O2141" si="257">(K2138/N2138-1)</f>
        <v>0.66809063173962024</v>
      </c>
    </row>
    <row r="2139" spans="1:17" x14ac:dyDescent="0.25">
      <c r="A2139" s="30" t="s">
        <v>871</v>
      </c>
      <c r="B2139" s="30" t="s">
        <v>333</v>
      </c>
      <c r="C2139" s="30">
        <v>25</v>
      </c>
      <c r="D2139" s="190">
        <v>321534.42499999999</v>
      </c>
      <c r="E2139" s="30" t="s">
        <v>10</v>
      </c>
      <c r="F2139" s="190">
        <v>2681.49</v>
      </c>
      <c r="G2139" s="30" t="s">
        <v>335</v>
      </c>
      <c r="H2139" s="30"/>
      <c r="J2139" s="6">
        <v>10000</v>
      </c>
      <c r="K2139" s="119">
        <f>D2138</f>
        <v>567437.40500000003</v>
      </c>
      <c r="L2139" s="119">
        <f>D2140</f>
        <v>1196568.4669999999</v>
      </c>
      <c r="M2139" s="18">
        <f t="shared" si="256"/>
        <v>-0.52577940949533641</v>
      </c>
      <c r="N2139" s="73">
        <f>D2139</f>
        <v>321534.42499999999</v>
      </c>
      <c r="O2139" s="22">
        <f t="shared" si="257"/>
        <v>0.76477963440462116</v>
      </c>
    </row>
    <row r="2140" spans="1:17" x14ac:dyDescent="0.25">
      <c r="A2140" s="30" t="s">
        <v>872</v>
      </c>
      <c r="B2140" s="30" t="s">
        <v>333</v>
      </c>
      <c r="C2140" s="30">
        <v>25</v>
      </c>
      <c r="D2140" s="190">
        <v>1196568.4669999999</v>
      </c>
      <c r="E2140" s="30" t="s">
        <v>10</v>
      </c>
      <c r="F2140" s="190">
        <v>14944.561</v>
      </c>
      <c r="G2140" s="30" t="s">
        <v>335</v>
      </c>
      <c r="H2140" s="30"/>
      <c r="J2140" s="67">
        <v>1000</v>
      </c>
      <c r="K2140" s="119">
        <f>D2142</f>
        <v>57345.858999999997</v>
      </c>
      <c r="L2140" s="119">
        <f>D2144</f>
        <v>114531.736</v>
      </c>
      <c r="M2140" s="18">
        <f t="shared" si="256"/>
        <v>-0.49930158222695586</v>
      </c>
      <c r="N2140" s="73">
        <f>D2143</f>
        <v>33653.374000000003</v>
      </c>
      <c r="O2140" s="22">
        <f t="shared" si="257"/>
        <v>0.70401514570277524</v>
      </c>
    </row>
    <row r="2141" spans="1:17" ht="20" thickBot="1" x14ac:dyDescent="0.3">
      <c r="A2141" s="30" t="s">
        <v>873</v>
      </c>
      <c r="B2141" s="30" t="s">
        <v>333</v>
      </c>
      <c r="C2141" s="30">
        <v>25</v>
      </c>
      <c r="D2141" s="190">
        <v>48981.877</v>
      </c>
      <c r="E2141" s="30" t="s">
        <v>10</v>
      </c>
      <c r="F2141" s="190">
        <v>425.46899999999999</v>
      </c>
      <c r="G2141" s="30" t="s">
        <v>335</v>
      </c>
      <c r="H2141" s="30"/>
      <c r="J2141" s="68">
        <v>100</v>
      </c>
      <c r="K2141" s="120">
        <f>D2146</f>
        <v>5720.8050000000003</v>
      </c>
      <c r="L2141" s="120">
        <f>D2148</f>
        <v>10565.884</v>
      </c>
      <c r="M2141" s="19">
        <f t="shared" si="256"/>
        <v>-0.45855879167327596</v>
      </c>
      <c r="N2141" s="74">
        <f>D2147</f>
        <v>3214.1379999999999</v>
      </c>
      <c r="O2141" s="23">
        <f t="shared" si="257"/>
        <v>0.77988779573247968</v>
      </c>
    </row>
    <row r="2142" spans="1:17" x14ac:dyDescent="0.25">
      <c r="A2142" s="30" t="s">
        <v>874</v>
      </c>
      <c r="B2142" s="30" t="s">
        <v>333</v>
      </c>
      <c r="C2142" s="30">
        <v>25</v>
      </c>
      <c r="D2142" s="190">
        <v>57345.858999999997</v>
      </c>
      <c r="E2142" s="30" t="s">
        <v>10</v>
      </c>
      <c r="F2142" s="190">
        <v>246.97200000000001</v>
      </c>
      <c r="G2142" s="30" t="s">
        <v>335</v>
      </c>
      <c r="H2142" s="30"/>
    </row>
    <row r="2143" spans="1:17" x14ac:dyDescent="0.25">
      <c r="A2143" s="30" t="s">
        <v>875</v>
      </c>
      <c r="B2143" s="30" t="s">
        <v>333</v>
      </c>
      <c r="C2143" s="30">
        <v>25</v>
      </c>
      <c r="D2143" s="190">
        <v>33653.374000000003</v>
      </c>
      <c r="E2143" s="30" t="s">
        <v>10</v>
      </c>
      <c r="F2143" s="190">
        <v>236.428</v>
      </c>
      <c r="G2143" s="30" t="s">
        <v>335</v>
      </c>
      <c r="H2143" s="30"/>
    </row>
    <row r="2144" spans="1:17" x14ac:dyDescent="0.25">
      <c r="A2144" s="30" t="s">
        <v>876</v>
      </c>
      <c r="B2144" s="30" t="s">
        <v>333</v>
      </c>
      <c r="C2144" s="30">
        <v>25</v>
      </c>
      <c r="D2144" s="190">
        <v>114531.736</v>
      </c>
      <c r="E2144" s="30" t="s">
        <v>10</v>
      </c>
      <c r="F2144" s="190">
        <v>920.70600000000002</v>
      </c>
      <c r="G2144" s="30" t="s">
        <v>335</v>
      </c>
      <c r="H2144" s="30"/>
    </row>
    <row r="2145" spans="1:15" x14ac:dyDescent="0.25">
      <c r="A2145" s="30" t="s">
        <v>877</v>
      </c>
      <c r="B2145" s="30" t="s">
        <v>333</v>
      </c>
      <c r="C2145" s="30">
        <v>25</v>
      </c>
      <c r="D2145" s="190">
        <v>4834.5510000000004</v>
      </c>
      <c r="E2145" s="30" t="s">
        <v>10</v>
      </c>
      <c r="F2145" s="190">
        <v>19.942</v>
      </c>
      <c r="G2145" s="30" t="s">
        <v>335</v>
      </c>
      <c r="H2145" s="30"/>
    </row>
    <row r="2146" spans="1:15" x14ac:dyDescent="0.25">
      <c r="A2146" s="30" t="s">
        <v>878</v>
      </c>
      <c r="B2146" s="30" t="s">
        <v>333</v>
      </c>
      <c r="C2146" s="30">
        <v>25</v>
      </c>
      <c r="D2146" s="190">
        <v>5720.8050000000003</v>
      </c>
      <c r="E2146" s="30" t="s">
        <v>10</v>
      </c>
      <c r="F2146" s="190">
        <v>37.881</v>
      </c>
      <c r="G2146" s="30" t="s">
        <v>335</v>
      </c>
      <c r="H2146" s="30"/>
    </row>
    <row r="2147" spans="1:15" x14ac:dyDescent="0.25">
      <c r="A2147" s="30" t="s">
        <v>879</v>
      </c>
      <c r="B2147" s="30" t="s">
        <v>333</v>
      </c>
      <c r="C2147" s="30">
        <v>25</v>
      </c>
      <c r="D2147" s="190">
        <v>3214.1379999999999</v>
      </c>
      <c r="E2147" s="30" t="s">
        <v>10</v>
      </c>
      <c r="F2147" s="190">
        <v>8.548</v>
      </c>
      <c r="G2147" s="30" t="s">
        <v>335</v>
      </c>
      <c r="H2147" s="30"/>
    </row>
    <row r="2148" spans="1:15" x14ac:dyDescent="0.25">
      <c r="A2148" s="30" t="s">
        <v>880</v>
      </c>
      <c r="B2148" s="30" t="s">
        <v>333</v>
      </c>
      <c r="C2148" s="30">
        <v>25</v>
      </c>
      <c r="D2148" s="190">
        <v>10565.884</v>
      </c>
      <c r="E2148" s="30" t="s">
        <v>10</v>
      </c>
      <c r="F2148" s="190">
        <v>60.722000000000001</v>
      </c>
      <c r="G2148" s="30" t="s">
        <v>335</v>
      </c>
      <c r="H2148" s="30"/>
    </row>
    <row r="2149" spans="1:15" x14ac:dyDescent="0.25">
      <c r="A2149" s="30"/>
      <c r="B2149" s="30"/>
      <c r="C2149" s="30"/>
      <c r="D2149" s="190"/>
      <c r="E2149" s="30"/>
      <c r="F2149" s="190"/>
      <c r="G2149" s="30"/>
      <c r="H2149" s="30"/>
    </row>
    <row r="2150" spans="1:15" x14ac:dyDescent="0.25">
      <c r="A2150" s="30" t="s">
        <v>881</v>
      </c>
      <c r="B2150" s="30"/>
      <c r="C2150" s="30"/>
      <c r="D2150" s="190"/>
      <c r="E2150" s="30"/>
      <c r="F2150" s="190"/>
      <c r="G2150" s="30"/>
      <c r="H2150" s="30"/>
    </row>
    <row r="2151" spans="1:15" ht="20" thickBot="1" x14ac:dyDescent="0.3">
      <c r="A2151" s="30" t="s">
        <v>2</v>
      </c>
      <c r="B2151" s="30" t="s">
        <v>3</v>
      </c>
      <c r="C2151" s="30" t="s">
        <v>4</v>
      </c>
      <c r="D2151" s="190" t="s">
        <v>5</v>
      </c>
      <c r="E2151" s="30" t="s">
        <v>6</v>
      </c>
      <c r="F2151" s="190" t="s">
        <v>7</v>
      </c>
      <c r="G2151" s="30"/>
      <c r="H2151" s="30"/>
    </row>
    <row r="2152" spans="1:15" x14ac:dyDescent="0.25">
      <c r="A2152" s="30" t="s">
        <v>882</v>
      </c>
      <c r="B2152" s="30" t="s">
        <v>333</v>
      </c>
      <c r="C2152" s="30">
        <v>25</v>
      </c>
      <c r="D2152" s="190">
        <v>1939761.79</v>
      </c>
      <c r="E2152" s="30" t="s">
        <v>10</v>
      </c>
      <c r="F2152" s="190">
        <v>9691.1880000000001</v>
      </c>
      <c r="G2152" s="30" t="s">
        <v>335</v>
      </c>
      <c r="H2152" s="30"/>
      <c r="J2152" s="5" t="str">
        <f>A2150</f>
        <v>groupBy2_10</v>
      </c>
      <c r="K2152" s="72" t="s">
        <v>340</v>
      </c>
      <c r="L2152" s="72" t="s">
        <v>341</v>
      </c>
      <c r="M2152" s="17" t="s">
        <v>162</v>
      </c>
      <c r="N2152" s="72" t="s">
        <v>342</v>
      </c>
      <c r="O2152" s="21" t="s">
        <v>162</v>
      </c>
    </row>
    <row r="2153" spans="1:15" x14ac:dyDescent="0.25">
      <c r="A2153" s="30" t="s">
        <v>883</v>
      </c>
      <c r="B2153" s="30" t="s">
        <v>333</v>
      </c>
      <c r="C2153" s="30">
        <v>25</v>
      </c>
      <c r="D2153" s="190">
        <v>1649398.5349999999</v>
      </c>
      <c r="E2153" s="30" t="s">
        <v>10</v>
      </c>
      <c r="F2153" s="190">
        <v>122666.621</v>
      </c>
      <c r="G2153" s="30" t="s">
        <v>335</v>
      </c>
      <c r="H2153" s="30"/>
      <c r="J2153" s="6">
        <v>100000</v>
      </c>
      <c r="K2153" s="119">
        <f>D2152</f>
        <v>1939761.79</v>
      </c>
      <c r="L2153" s="119">
        <f>D2153</f>
        <v>1649398.5349999999</v>
      </c>
      <c r="M2153" s="18">
        <f>(K2153/L2153-1)</f>
        <v>0.17604190184393498</v>
      </c>
      <c r="N2153" s="73">
        <f>D2154</f>
        <v>2518618.5660000001</v>
      </c>
      <c r="O2153" s="22">
        <f>(K2153/N2153-1)</f>
        <v>-0.22983106049254787</v>
      </c>
    </row>
    <row r="2154" spans="1:15" x14ac:dyDescent="0.25">
      <c r="A2154" s="30" t="s">
        <v>884</v>
      </c>
      <c r="B2154" s="30" t="s">
        <v>333</v>
      </c>
      <c r="C2154" s="30">
        <v>25</v>
      </c>
      <c r="D2154" s="190">
        <v>2518618.5660000001</v>
      </c>
      <c r="E2154" s="30" t="s">
        <v>10</v>
      </c>
      <c r="F2154" s="190">
        <v>35136.347000000002</v>
      </c>
      <c r="G2154" s="30" t="s">
        <v>335</v>
      </c>
      <c r="H2154" s="30"/>
      <c r="J2154" s="6">
        <v>50000</v>
      </c>
      <c r="K2154" s="119">
        <f>D2155</f>
        <v>869747.29799999995</v>
      </c>
      <c r="L2154" s="119">
        <f>D2156</f>
        <v>885150.27099999995</v>
      </c>
      <c r="M2154" s="18">
        <f t="shared" ref="M2154:M2157" si="258">(K2154/L2154-1)</f>
        <v>-1.7401534524300044E-2</v>
      </c>
      <c r="N2154" s="73">
        <f>D2157</f>
        <v>1198841.9380000001</v>
      </c>
      <c r="O2154" s="22">
        <f t="shared" ref="O2154:O2157" si="259">(K2154/N2154-1)</f>
        <v>-0.2745104501007205</v>
      </c>
    </row>
    <row r="2155" spans="1:15" x14ac:dyDescent="0.25">
      <c r="A2155" s="30" t="s">
        <v>885</v>
      </c>
      <c r="B2155" s="30" t="s">
        <v>333</v>
      </c>
      <c r="C2155" s="30">
        <v>25</v>
      </c>
      <c r="D2155" s="190">
        <v>869747.29799999995</v>
      </c>
      <c r="E2155" s="30" t="s">
        <v>10</v>
      </c>
      <c r="F2155" s="190">
        <v>74725.014999999999</v>
      </c>
      <c r="G2155" s="30" t="s">
        <v>335</v>
      </c>
      <c r="H2155" s="30"/>
      <c r="J2155" s="6">
        <v>10000</v>
      </c>
      <c r="K2155" s="119">
        <f>D2158</f>
        <v>152478.603</v>
      </c>
      <c r="L2155" s="119">
        <f>D2159</f>
        <v>158931.79800000001</v>
      </c>
      <c r="M2155" s="18">
        <f t="shared" si="258"/>
        <v>-4.0603548699549741E-2</v>
      </c>
      <c r="N2155" s="73">
        <f>D2160</f>
        <v>275241.57799999998</v>
      </c>
      <c r="O2155" s="22">
        <f t="shared" si="259"/>
        <v>-0.44601900589307031</v>
      </c>
    </row>
    <row r="2156" spans="1:15" x14ac:dyDescent="0.25">
      <c r="A2156" s="30" t="s">
        <v>886</v>
      </c>
      <c r="B2156" s="30" t="s">
        <v>333</v>
      </c>
      <c r="C2156" s="30">
        <v>25</v>
      </c>
      <c r="D2156" s="190">
        <v>885150.27099999995</v>
      </c>
      <c r="E2156" s="30" t="s">
        <v>10</v>
      </c>
      <c r="F2156" s="190">
        <v>50998.875</v>
      </c>
      <c r="G2156" s="30" t="s">
        <v>335</v>
      </c>
      <c r="H2156" s="30"/>
      <c r="J2156" s="67">
        <v>1000</v>
      </c>
      <c r="K2156" s="119">
        <f>D2161</f>
        <v>12469.069</v>
      </c>
      <c r="L2156" s="119">
        <f>D2162</f>
        <v>12618.235000000001</v>
      </c>
      <c r="M2156" s="18">
        <f t="shared" si="258"/>
        <v>-1.1821463144409794E-2</v>
      </c>
      <c r="N2156" s="73">
        <f>D2163</f>
        <v>16393.794999999998</v>
      </c>
      <c r="O2156" s="22">
        <f t="shared" si="259"/>
        <v>-0.23940314002950502</v>
      </c>
    </row>
    <row r="2157" spans="1:15" ht="20" thickBot="1" x14ac:dyDescent="0.3">
      <c r="A2157" s="30" t="s">
        <v>887</v>
      </c>
      <c r="B2157" s="30" t="s">
        <v>333</v>
      </c>
      <c r="C2157" s="30">
        <v>25</v>
      </c>
      <c r="D2157" s="190">
        <v>1198841.9380000001</v>
      </c>
      <c r="E2157" s="30" t="s">
        <v>10</v>
      </c>
      <c r="F2157" s="190">
        <v>7668.0969999999998</v>
      </c>
      <c r="G2157" s="30" t="s">
        <v>335</v>
      </c>
      <c r="H2157" s="30"/>
      <c r="J2157" s="68">
        <v>100</v>
      </c>
      <c r="K2157" s="120">
        <f>D2164</f>
        <v>1195.692</v>
      </c>
      <c r="L2157" s="120">
        <f>D2165</f>
        <v>1308.239</v>
      </c>
      <c r="M2157" s="19">
        <f t="shared" si="258"/>
        <v>-8.6029387596608942E-2</v>
      </c>
      <c r="N2157" s="74">
        <f>D2166</f>
        <v>1682.0909999999999</v>
      </c>
      <c r="O2157" s="23">
        <f t="shared" si="259"/>
        <v>-0.28916330923832301</v>
      </c>
    </row>
    <row r="2158" spans="1:15" ht="20" thickBot="1" x14ac:dyDescent="0.3">
      <c r="A2158" s="30" t="s">
        <v>888</v>
      </c>
      <c r="B2158" s="30" t="s">
        <v>333</v>
      </c>
      <c r="C2158" s="30">
        <v>25</v>
      </c>
      <c r="D2158" s="190">
        <v>152478.603</v>
      </c>
      <c r="E2158" s="30" t="s">
        <v>10</v>
      </c>
      <c r="F2158" s="190">
        <v>389.42399999999998</v>
      </c>
      <c r="G2158" s="30" t="s">
        <v>335</v>
      </c>
      <c r="H2158" s="30"/>
    </row>
    <row r="2159" spans="1:15" x14ac:dyDescent="0.25">
      <c r="A2159" s="30" t="s">
        <v>889</v>
      </c>
      <c r="B2159" s="30" t="s">
        <v>333</v>
      </c>
      <c r="C2159" s="30">
        <v>25</v>
      </c>
      <c r="D2159" s="190">
        <v>158931.79800000001</v>
      </c>
      <c r="E2159" s="30" t="s">
        <v>10</v>
      </c>
      <c r="F2159" s="190">
        <v>961.85500000000002</v>
      </c>
      <c r="G2159" s="30" t="s">
        <v>335</v>
      </c>
      <c r="H2159" s="30"/>
      <c r="J2159" s="5" t="str">
        <f>A2150</f>
        <v>groupBy2_10</v>
      </c>
      <c r="K2159" s="72" t="s">
        <v>341</v>
      </c>
      <c r="L2159" s="72" t="s">
        <v>342</v>
      </c>
      <c r="M2159" s="21" t="s">
        <v>162</v>
      </c>
    </row>
    <row r="2160" spans="1:15" x14ac:dyDescent="0.25">
      <c r="A2160" s="30" t="s">
        <v>890</v>
      </c>
      <c r="B2160" s="30" t="s">
        <v>333</v>
      </c>
      <c r="C2160" s="30">
        <v>25</v>
      </c>
      <c r="D2160" s="190">
        <v>275241.57799999998</v>
      </c>
      <c r="E2160" s="30" t="s">
        <v>10</v>
      </c>
      <c r="F2160" s="190">
        <v>2119.665</v>
      </c>
      <c r="G2160" s="30" t="s">
        <v>335</v>
      </c>
      <c r="H2160" s="30"/>
      <c r="J2160" s="6">
        <v>100000</v>
      </c>
      <c r="K2160" s="119">
        <f>D2153</f>
        <v>1649398.5349999999</v>
      </c>
      <c r="L2160" s="119">
        <f>D2154</f>
        <v>2518618.5660000001</v>
      </c>
      <c r="M2160" s="22">
        <f>(K2160/L2160-1)</f>
        <v>-0.3451177731848738</v>
      </c>
    </row>
    <row r="2161" spans="1:15" x14ac:dyDescent="0.25">
      <c r="A2161" s="30" t="s">
        <v>891</v>
      </c>
      <c r="B2161" s="30" t="s">
        <v>333</v>
      </c>
      <c r="C2161" s="30">
        <v>25</v>
      </c>
      <c r="D2161" s="190">
        <v>12469.069</v>
      </c>
      <c r="E2161" s="30" t="s">
        <v>10</v>
      </c>
      <c r="F2161" s="190">
        <v>66.894000000000005</v>
      </c>
      <c r="G2161" s="30" t="s">
        <v>335</v>
      </c>
      <c r="H2161" s="30"/>
      <c r="J2161" s="6">
        <v>50000</v>
      </c>
      <c r="K2161" s="119">
        <f>D2156</f>
        <v>885150.27099999995</v>
      </c>
      <c r="L2161" s="119">
        <f>D2157</f>
        <v>1198841.9380000001</v>
      </c>
      <c r="M2161" s="22">
        <f t="shared" ref="M2161:M2164" si="260">(K2161/L2161-1)</f>
        <v>-0.26166224008089389</v>
      </c>
    </row>
    <row r="2162" spans="1:15" x14ac:dyDescent="0.25">
      <c r="A2162" s="30" t="s">
        <v>892</v>
      </c>
      <c r="B2162" s="30" t="s">
        <v>333</v>
      </c>
      <c r="C2162" s="30">
        <v>25</v>
      </c>
      <c r="D2162" s="190">
        <v>12618.235000000001</v>
      </c>
      <c r="E2162" s="30" t="s">
        <v>10</v>
      </c>
      <c r="F2162" s="190">
        <v>111.02200000000001</v>
      </c>
      <c r="G2162" s="30" t="s">
        <v>335</v>
      </c>
      <c r="H2162" s="30"/>
      <c r="J2162" s="6">
        <v>10000</v>
      </c>
      <c r="K2162" s="119">
        <f>D2159</f>
        <v>158931.79800000001</v>
      </c>
      <c r="L2162" s="119">
        <f>D2160</f>
        <v>275241.57799999998</v>
      </c>
      <c r="M2162" s="22">
        <f t="shared" si="260"/>
        <v>-0.42257343837783101</v>
      </c>
    </row>
    <row r="2163" spans="1:15" x14ac:dyDescent="0.25">
      <c r="A2163" s="30" t="s">
        <v>893</v>
      </c>
      <c r="B2163" s="30" t="s">
        <v>333</v>
      </c>
      <c r="C2163" s="30">
        <v>25</v>
      </c>
      <c r="D2163" s="190">
        <v>16393.794999999998</v>
      </c>
      <c r="E2163" s="30" t="s">
        <v>10</v>
      </c>
      <c r="F2163" s="190">
        <v>78.149000000000001</v>
      </c>
      <c r="G2163" s="30" t="s">
        <v>335</v>
      </c>
      <c r="H2163" s="30"/>
      <c r="J2163" s="67">
        <v>1000</v>
      </c>
      <c r="K2163" s="119">
        <f>D2162</f>
        <v>12618.235000000001</v>
      </c>
      <c r="L2163" s="119">
        <f>D2163</f>
        <v>16393.794999999998</v>
      </c>
      <c r="M2163" s="22">
        <f t="shared" si="260"/>
        <v>-0.23030420961101428</v>
      </c>
    </row>
    <row r="2164" spans="1:15" ht="20" thickBot="1" x14ac:dyDescent="0.3">
      <c r="A2164" s="30" t="s">
        <v>894</v>
      </c>
      <c r="B2164" s="30" t="s">
        <v>333</v>
      </c>
      <c r="C2164" s="30">
        <v>25</v>
      </c>
      <c r="D2164" s="190">
        <v>1195.692</v>
      </c>
      <c r="E2164" s="30" t="s">
        <v>10</v>
      </c>
      <c r="F2164" s="190">
        <v>4.4489999999999998</v>
      </c>
      <c r="G2164" s="30" t="s">
        <v>335</v>
      </c>
      <c r="H2164" s="30"/>
      <c r="J2164" s="68">
        <v>100</v>
      </c>
      <c r="K2164" s="120">
        <f>D2165</f>
        <v>1308.239</v>
      </c>
      <c r="L2164" s="120">
        <f>D2166</f>
        <v>1682.0909999999999</v>
      </c>
      <c r="M2164" s="23">
        <f t="shared" si="260"/>
        <v>-0.22225432512271925</v>
      </c>
    </row>
    <row r="2165" spans="1:15" x14ac:dyDescent="0.25">
      <c r="A2165" s="30" t="s">
        <v>895</v>
      </c>
      <c r="B2165" s="30" t="s">
        <v>333</v>
      </c>
      <c r="C2165" s="30">
        <v>25</v>
      </c>
      <c r="D2165" s="190">
        <v>1308.239</v>
      </c>
      <c r="E2165" s="30" t="s">
        <v>10</v>
      </c>
      <c r="F2165" s="190">
        <v>10.782999999999999</v>
      </c>
      <c r="G2165" s="30" t="s">
        <v>335</v>
      </c>
      <c r="H2165" s="30"/>
    </row>
    <row r="2166" spans="1:15" x14ac:dyDescent="0.25">
      <c r="A2166" s="30" t="s">
        <v>896</v>
      </c>
      <c r="B2166" s="30" t="s">
        <v>333</v>
      </c>
      <c r="C2166" s="30">
        <v>25</v>
      </c>
      <c r="D2166" s="190">
        <v>1682.0909999999999</v>
      </c>
      <c r="E2166" s="30" t="s">
        <v>10</v>
      </c>
      <c r="F2166" s="190">
        <v>11.295</v>
      </c>
      <c r="G2166" s="30" t="s">
        <v>335</v>
      </c>
      <c r="H2166" s="30"/>
    </row>
    <row r="2167" spans="1:15" x14ac:dyDescent="0.25">
      <c r="A2167" s="30"/>
      <c r="B2167" s="30"/>
      <c r="C2167" s="30"/>
      <c r="D2167" s="190"/>
      <c r="E2167" s="30"/>
      <c r="F2167" s="190"/>
      <c r="G2167" s="30"/>
      <c r="H2167" s="30"/>
    </row>
    <row r="2168" spans="1:15" x14ac:dyDescent="0.25">
      <c r="A2168" s="30" t="s">
        <v>897</v>
      </c>
      <c r="B2168" s="30"/>
      <c r="C2168" s="30"/>
      <c r="D2168" s="190"/>
      <c r="E2168" s="30"/>
      <c r="F2168" s="190"/>
      <c r="G2168" s="30"/>
      <c r="H2168" s="30"/>
    </row>
    <row r="2169" spans="1:15" ht="20" thickBot="1" x14ac:dyDescent="0.3">
      <c r="A2169" s="30" t="s">
        <v>2</v>
      </c>
      <c r="B2169" s="30" t="s">
        <v>3</v>
      </c>
      <c r="C2169" s="30" t="s">
        <v>4</v>
      </c>
      <c r="D2169" s="190" t="s">
        <v>5</v>
      </c>
      <c r="E2169" s="30" t="s">
        <v>6</v>
      </c>
      <c r="F2169" s="190" t="s">
        <v>7</v>
      </c>
      <c r="G2169" s="30"/>
      <c r="H2169" s="30"/>
    </row>
    <row r="2170" spans="1:15" x14ac:dyDescent="0.25">
      <c r="A2170" s="30" t="s">
        <v>898</v>
      </c>
      <c r="B2170" s="30" t="s">
        <v>333</v>
      </c>
      <c r="C2170" s="30">
        <v>25</v>
      </c>
      <c r="D2170" s="190">
        <v>4228710.9689999996</v>
      </c>
      <c r="E2170" s="30" t="s">
        <v>10</v>
      </c>
      <c r="F2170" s="190">
        <v>42728.999000000003</v>
      </c>
      <c r="G2170" s="30" t="s">
        <v>335</v>
      </c>
      <c r="H2170" s="30"/>
      <c r="J2170" s="5" t="str">
        <f>A2168</f>
        <v>groupBy2_90</v>
      </c>
      <c r="K2170" s="72" t="s">
        <v>340</v>
      </c>
      <c r="L2170" s="72" t="s">
        <v>341</v>
      </c>
      <c r="M2170" s="17" t="s">
        <v>162</v>
      </c>
      <c r="N2170" s="72" t="s">
        <v>342</v>
      </c>
      <c r="O2170" s="21" t="s">
        <v>162</v>
      </c>
    </row>
    <row r="2171" spans="1:15" x14ac:dyDescent="0.25">
      <c r="A2171" s="30" t="s">
        <v>899</v>
      </c>
      <c r="B2171" s="30" t="s">
        <v>333</v>
      </c>
      <c r="C2171" s="30">
        <v>25</v>
      </c>
      <c r="D2171" s="190">
        <v>4217993.773</v>
      </c>
      <c r="E2171" s="30" t="s">
        <v>10</v>
      </c>
      <c r="F2171" s="190">
        <v>9934.5409999999993</v>
      </c>
      <c r="G2171" s="30" t="s">
        <v>335</v>
      </c>
      <c r="H2171" s="30"/>
      <c r="J2171" s="6">
        <v>100000</v>
      </c>
      <c r="K2171" s="119">
        <f>D2170</f>
        <v>4228710.9689999996</v>
      </c>
      <c r="L2171" s="119">
        <f>D2171</f>
        <v>4217993.773</v>
      </c>
      <c r="M2171" s="18">
        <f>(K2171/L2171-1)</f>
        <v>2.540827838249049E-3</v>
      </c>
      <c r="N2171" s="73">
        <f>D2172</f>
        <v>4528837.4859999996</v>
      </c>
      <c r="O2171" s="22">
        <f>(K2171/N2171-1)</f>
        <v>-6.6270100865350456E-2</v>
      </c>
    </row>
    <row r="2172" spans="1:15" x14ac:dyDescent="0.25">
      <c r="A2172" s="30" t="s">
        <v>900</v>
      </c>
      <c r="B2172" s="30" t="s">
        <v>333</v>
      </c>
      <c r="C2172" s="30">
        <v>25</v>
      </c>
      <c r="D2172" s="190">
        <v>4528837.4859999996</v>
      </c>
      <c r="E2172" s="30" t="s">
        <v>10</v>
      </c>
      <c r="F2172" s="190">
        <v>45353.555999999997</v>
      </c>
      <c r="G2172" s="30" t="s">
        <v>335</v>
      </c>
      <c r="H2172" s="30"/>
      <c r="J2172" s="6">
        <v>50000</v>
      </c>
      <c r="K2172" s="119">
        <f>D2173</f>
        <v>2039409.0330000001</v>
      </c>
      <c r="L2172" s="119">
        <f>D2174</f>
        <v>2064538.848</v>
      </c>
      <c r="M2172" s="18">
        <f t="shared" ref="M2172:M2175" si="261">(K2172/L2172-1)</f>
        <v>-1.2172120192528335E-2</v>
      </c>
      <c r="N2172" s="73">
        <f>D2175</f>
        <v>2138740.1239999998</v>
      </c>
      <c r="O2172" s="22">
        <f t="shared" ref="O2172:O2175" si="262">(K2172/N2172-1)</f>
        <v>-4.6443740352252294E-2</v>
      </c>
    </row>
    <row r="2173" spans="1:15" x14ac:dyDescent="0.25">
      <c r="A2173" s="30" t="s">
        <v>901</v>
      </c>
      <c r="B2173" s="30" t="s">
        <v>333</v>
      </c>
      <c r="C2173" s="30">
        <v>25</v>
      </c>
      <c r="D2173" s="190">
        <v>2039409.0330000001</v>
      </c>
      <c r="E2173" s="30" t="s">
        <v>10</v>
      </c>
      <c r="F2173" s="190">
        <v>25931.998</v>
      </c>
      <c r="G2173" s="30" t="s">
        <v>335</v>
      </c>
      <c r="H2173" s="30"/>
      <c r="J2173" s="6">
        <v>10000</v>
      </c>
      <c r="K2173" s="119">
        <f>D2176</f>
        <v>336783.10800000001</v>
      </c>
      <c r="L2173" s="119">
        <f>D2177</f>
        <v>349206.63400000002</v>
      </c>
      <c r="M2173" s="18">
        <f t="shared" si="261"/>
        <v>-3.5576431803984621E-2</v>
      </c>
      <c r="N2173" s="73">
        <f>D2178</f>
        <v>325345.99900000001</v>
      </c>
      <c r="O2173" s="22">
        <f t="shared" si="262"/>
        <v>3.5153679575447905E-2</v>
      </c>
    </row>
    <row r="2174" spans="1:15" x14ac:dyDescent="0.25">
      <c r="A2174" s="30" t="s">
        <v>902</v>
      </c>
      <c r="B2174" s="30" t="s">
        <v>333</v>
      </c>
      <c r="C2174" s="30">
        <v>25</v>
      </c>
      <c r="D2174" s="190">
        <v>2064538.848</v>
      </c>
      <c r="E2174" s="30" t="s">
        <v>10</v>
      </c>
      <c r="F2174" s="190">
        <v>38490.218999999997</v>
      </c>
      <c r="G2174" s="30" t="s">
        <v>335</v>
      </c>
      <c r="H2174" s="30"/>
      <c r="J2174" s="67">
        <v>1000</v>
      </c>
      <c r="K2174" s="119">
        <f>D2179</f>
        <v>26836.947</v>
      </c>
      <c r="L2174" s="119">
        <f>D2180</f>
        <v>26744.466</v>
      </c>
      <c r="M2174" s="18">
        <f t="shared" si="261"/>
        <v>3.4579490201822605E-3</v>
      </c>
      <c r="N2174" s="73">
        <f>D2181</f>
        <v>26771.245999999999</v>
      </c>
      <c r="O2174" s="22">
        <f t="shared" si="262"/>
        <v>2.4541629478134208E-3</v>
      </c>
    </row>
    <row r="2175" spans="1:15" ht="20" thickBot="1" x14ac:dyDescent="0.3">
      <c r="A2175" s="30" t="s">
        <v>903</v>
      </c>
      <c r="B2175" s="30" t="s">
        <v>333</v>
      </c>
      <c r="C2175" s="30">
        <v>25</v>
      </c>
      <c r="D2175" s="190">
        <v>2138740.1239999998</v>
      </c>
      <c r="E2175" s="30" t="s">
        <v>10</v>
      </c>
      <c r="F2175" s="190">
        <v>24717.312999999998</v>
      </c>
      <c r="G2175" s="30" t="s">
        <v>335</v>
      </c>
      <c r="H2175" s="30"/>
      <c r="J2175" s="68">
        <v>100</v>
      </c>
      <c r="K2175" s="120">
        <f>D2182</f>
        <v>2305.7069999999999</v>
      </c>
      <c r="L2175" s="120">
        <f>D2183</f>
        <v>2227.31</v>
      </c>
      <c r="M2175" s="19">
        <f t="shared" si="261"/>
        <v>3.5198064032397891E-2</v>
      </c>
      <c r="N2175" s="74">
        <f>D2184</f>
        <v>2528.3040000000001</v>
      </c>
      <c r="O2175" s="23">
        <f t="shared" si="262"/>
        <v>-8.8042023427562621E-2</v>
      </c>
    </row>
    <row r="2176" spans="1:15" ht="20" thickBot="1" x14ac:dyDescent="0.3">
      <c r="A2176" s="30" t="s">
        <v>904</v>
      </c>
      <c r="B2176" s="30" t="s">
        <v>333</v>
      </c>
      <c r="C2176" s="30">
        <v>25</v>
      </c>
      <c r="D2176" s="190">
        <v>336783.10800000001</v>
      </c>
      <c r="E2176" s="30" t="s">
        <v>10</v>
      </c>
      <c r="F2176" s="190">
        <v>2109.8380000000002</v>
      </c>
      <c r="G2176" s="30" t="s">
        <v>335</v>
      </c>
      <c r="H2176" s="30"/>
    </row>
    <row r="2177" spans="1:15" x14ac:dyDescent="0.25">
      <c r="A2177" s="30" t="s">
        <v>905</v>
      </c>
      <c r="B2177" s="30" t="s">
        <v>333</v>
      </c>
      <c r="C2177" s="30">
        <v>25</v>
      </c>
      <c r="D2177" s="190">
        <v>349206.63400000002</v>
      </c>
      <c r="E2177" s="30" t="s">
        <v>10</v>
      </c>
      <c r="F2177" s="190">
        <v>2903.2350000000001</v>
      </c>
      <c r="G2177" s="30" t="s">
        <v>335</v>
      </c>
      <c r="H2177" s="30"/>
      <c r="J2177" s="5" t="str">
        <f>A2168</f>
        <v>groupBy2_90</v>
      </c>
      <c r="K2177" s="72" t="s">
        <v>341</v>
      </c>
      <c r="L2177" s="72" t="s">
        <v>342</v>
      </c>
      <c r="M2177" s="21" t="s">
        <v>162</v>
      </c>
    </row>
    <row r="2178" spans="1:15" x14ac:dyDescent="0.25">
      <c r="A2178" s="30" t="s">
        <v>906</v>
      </c>
      <c r="B2178" s="30" t="s">
        <v>333</v>
      </c>
      <c r="C2178" s="30">
        <v>25</v>
      </c>
      <c r="D2178" s="190">
        <v>325345.99900000001</v>
      </c>
      <c r="E2178" s="30" t="s">
        <v>10</v>
      </c>
      <c r="F2178" s="190">
        <v>3672.1840000000002</v>
      </c>
      <c r="G2178" s="30" t="s">
        <v>335</v>
      </c>
      <c r="H2178" s="30"/>
      <c r="J2178" s="6">
        <v>100000</v>
      </c>
      <c r="K2178" s="119">
        <f>D2171</f>
        <v>4217993.773</v>
      </c>
      <c r="L2178" s="119">
        <f>D2172</f>
        <v>4528837.4859999996</v>
      </c>
      <c r="M2178" s="22">
        <f>(K2178/L2178-1)</f>
        <v>-6.863653508453571E-2</v>
      </c>
    </row>
    <row r="2179" spans="1:15" x14ac:dyDescent="0.25">
      <c r="A2179" s="30" t="s">
        <v>907</v>
      </c>
      <c r="B2179" s="30" t="s">
        <v>333</v>
      </c>
      <c r="C2179" s="30">
        <v>25</v>
      </c>
      <c r="D2179" s="190">
        <v>26836.947</v>
      </c>
      <c r="E2179" s="30" t="s">
        <v>10</v>
      </c>
      <c r="F2179" s="190">
        <v>164.41300000000001</v>
      </c>
      <c r="G2179" s="30" t="s">
        <v>335</v>
      </c>
      <c r="H2179" s="30"/>
      <c r="J2179" s="6">
        <v>50000</v>
      </c>
      <c r="K2179" s="119">
        <f>D2174</f>
        <v>2064538.848</v>
      </c>
      <c r="L2179" s="119">
        <f>D2175</f>
        <v>2138740.1239999998</v>
      </c>
      <c r="M2179" s="22">
        <f t="shared" ref="M2179:M2182" si="263">(K2179/L2179-1)</f>
        <v>-3.469391870818983E-2</v>
      </c>
    </row>
    <row r="2180" spans="1:15" x14ac:dyDescent="0.25">
      <c r="A2180" s="30" t="s">
        <v>908</v>
      </c>
      <c r="B2180" s="30" t="s">
        <v>333</v>
      </c>
      <c r="C2180" s="30">
        <v>25</v>
      </c>
      <c r="D2180" s="190">
        <v>26744.466</v>
      </c>
      <c r="E2180" s="30" t="s">
        <v>10</v>
      </c>
      <c r="F2180" s="190">
        <v>128.41399999999999</v>
      </c>
      <c r="G2180" s="30" t="s">
        <v>335</v>
      </c>
      <c r="H2180" s="30"/>
      <c r="J2180" s="6">
        <v>10000</v>
      </c>
      <c r="K2180" s="119">
        <f>D2177</f>
        <v>349206.63400000002</v>
      </c>
      <c r="L2180" s="119">
        <f>D2178</f>
        <v>325345.99900000001</v>
      </c>
      <c r="M2180" s="22">
        <f t="shared" si="263"/>
        <v>7.333926058208573E-2</v>
      </c>
    </row>
    <row r="2181" spans="1:15" x14ac:dyDescent="0.25">
      <c r="A2181" s="30" t="s">
        <v>909</v>
      </c>
      <c r="B2181" s="30" t="s">
        <v>333</v>
      </c>
      <c r="C2181" s="30">
        <v>25</v>
      </c>
      <c r="D2181" s="190">
        <v>26771.245999999999</v>
      </c>
      <c r="E2181" s="30" t="s">
        <v>10</v>
      </c>
      <c r="F2181" s="190">
        <v>248.065</v>
      </c>
      <c r="G2181" s="30" t="s">
        <v>335</v>
      </c>
      <c r="H2181" s="30"/>
      <c r="J2181" s="67">
        <v>1000</v>
      </c>
      <c r="K2181" s="119">
        <f>D2180</f>
        <v>26744.466</v>
      </c>
      <c r="L2181" s="119">
        <f>D2181</f>
        <v>26771.245999999999</v>
      </c>
      <c r="M2181" s="22">
        <f t="shared" si="263"/>
        <v>-1.000326992624756E-3</v>
      </c>
    </row>
    <row r="2182" spans="1:15" ht="20" thickBot="1" x14ac:dyDescent="0.3">
      <c r="A2182" s="30" t="s">
        <v>910</v>
      </c>
      <c r="B2182" s="30" t="s">
        <v>333</v>
      </c>
      <c r="C2182" s="30">
        <v>25</v>
      </c>
      <c r="D2182" s="190">
        <v>2305.7069999999999</v>
      </c>
      <c r="E2182" s="30" t="s">
        <v>10</v>
      </c>
      <c r="F2182" s="190">
        <v>12.948</v>
      </c>
      <c r="G2182" s="30" t="s">
        <v>335</v>
      </c>
      <c r="H2182" s="30"/>
      <c r="J2182" s="68">
        <v>100</v>
      </c>
      <c r="K2182" s="120">
        <f>D2183</f>
        <v>2227.31</v>
      </c>
      <c r="L2182" s="120">
        <f>D2184</f>
        <v>2528.3040000000001</v>
      </c>
      <c r="M2182" s="23">
        <f t="shared" si="263"/>
        <v>-0.11904976616735963</v>
      </c>
    </row>
    <row r="2183" spans="1:15" x14ac:dyDescent="0.25">
      <c r="A2183" s="30" t="s">
        <v>911</v>
      </c>
      <c r="B2183" s="30" t="s">
        <v>333</v>
      </c>
      <c r="C2183" s="30">
        <v>25</v>
      </c>
      <c r="D2183" s="190">
        <v>2227.31</v>
      </c>
      <c r="E2183" s="30" t="s">
        <v>10</v>
      </c>
      <c r="F2183" s="190">
        <v>9.3170000000000002</v>
      </c>
      <c r="G2183" s="30" t="s">
        <v>335</v>
      </c>
      <c r="H2183" s="30"/>
    </row>
    <row r="2184" spans="1:15" x14ac:dyDescent="0.25">
      <c r="A2184" s="30" t="s">
        <v>912</v>
      </c>
      <c r="B2184" s="30" t="s">
        <v>333</v>
      </c>
      <c r="C2184" s="30">
        <v>25</v>
      </c>
      <c r="D2184" s="190">
        <v>2528.3040000000001</v>
      </c>
      <c r="E2184" s="30" t="s">
        <v>10</v>
      </c>
      <c r="F2184" s="190">
        <v>24.141999999999999</v>
      </c>
      <c r="G2184" s="30" t="s">
        <v>335</v>
      </c>
      <c r="H2184" s="30"/>
    </row>
    <row r="2185" spans="1:15" x14ac:dyDescent="0.25">
      <c r="A2185" s="30"/>
      <c r="B2185" s="30"/>
      <c r="C2185" s="30"/>
      <c r="D2185" s="190"/>
      <c r="E2185" s="30"/>
      <c r="F2185" s="190"/>
      <c r="G2185" s="30"/>
      <c r="H2185" s="30"/>
    </row>
    <row r="2186" spans="1:15" x14ac:dyDescent="0.25">
      <c r="A2186" s="30" t="s">
        <v>1012</v>
      </c>
      <c r="B2186" s="30"/>
      <c r="C2186" s="30"/>
      <c r="D2186" s="190"/>
      <c r="E2186" s="30"/>
      <c r="F2186" s="190"/>
      <c r="G2186" s="30"/>
      <c r="H2186" s="30"/>
    </row>
    <row r="2187" spans="1:15" ht="20" thickBot="1" x14ac:dyDescent="0.3">
      <c r="A2187" s="30" t="s">
        <v>2</v>
      </c>
      <c r="B2187" s="30" t="s">
        <v>3</v>
      </c>
      <c r="C2187" s="30" t="s">
        <v>4</v>
      </c>
      <c r="D2187" s="190" t="s">
        <v>5</v>
      </c>
      <c r="E2187" s="30" t="s">
        <v>6</v>
      </c>
      <c r="F2187" s="190" t="s">
        <v>7</v>
      </c>
      <c r="G2187" s="30"/>
      <c r="H2187" s="30"/>
    </row>
    <row r="2188" spans="1:15" x14ac:dyDescent="0.25">
      <c r="A2188" s="30" t="s">
        <v>1015</v>
      </c>
      <c r="B2188" s="30" t="s">
        <v>333</v>
      </c>
      <c r="C2188" s="30">
        <v>25</v>
      </c>
      <c r="D2188" s="190">
        <v>1712486.209</v>
      </c>
      <c r="E2188" s="30" t="s">
        <v>10</v>
      </c>
      <c r="F2188" s="190">
        <v>51936.843999999997</v>
      </c>
      <c r="G2188" s="30" t="s">
        <v>335</v>
      </c>
      <c r="H2188" s="30"/>
      <c r="J2188" s="5" t="str">
        <f>A2186</f>
        <v>minus2_10</v>
      </c>
      <c r="K2188" s="72" t="s">
        <v>340</v>
      </c>
      <c r="L2188" s="72" t="s">
        <v>341</v>
      </c>
      <c r="M2188" s="17" t="s">
        <v>162</v>
      </c>
      <c r="N2188" s="72" t="s">
        <v>342</v>
      </c>
      <c r="O2188" s="21" t="s">
        <v>162</v>
      </c>
    </row>
    <row r="2189" spans="1:15" x14ac:dyDescent="0.25">
      <c r="A2189" s="30" t="s">
        <v>1016</v>
      </c>
      <c r="B2189" s="30" t="s">
        <v>333</v>
      </c>
      <c r="C2189" s="30">
        <v>25</v>
      </c>
      <c r="D2189" s="190">
        <v>1822163.996</v>
      </c>
      <c r="E2189" s="30" t="s">
        <v>10</v>
      </c>
      <c r="F2189" s="190">
        <v>21393.553</v>
      </c>
      <c r="G2189" s="30" t="s">
        <v>335</v>
      </c>
      <c r="H2189" s="30"/>
      <c r="J2189" s="6">
        <v>100000</v>
      </c>
      <c r="K2189" s="119">
        <f>D2188</f>
        <v>1712486.209</v>
      </c>
      <c r="L2189" s="119">
        <f>D2189</f>
        <v>1822163.996</v>
      </c>
      <c r="M2189" s="18">
        <f>(K2189/L2189-1)</f>
        <v>-6.0190952757690153E-2</v>
      </c>
      <c r="N2189" s="73">
        <f>D2190</f>
        <v>1636275.8019999999</v>
      </c>
      <c r="O2189" s="22">
        <f>(K2189/N2189-1)</f>
        <v>4.6575526513836563E-2</v>
      </c>
    </row>
    <row r="2190" spans="1:15" x14ac:dyDescent="0.25">
      <c r="A2190" s="30" t="s">
        <v>1017</v>
      </c>
      <c r="B2190" s="30" t="s">
        <v>333</v>
      </c>
      <c r="C2190" s="30">
        <v>25</v>
      </c>
      <c r="D2190" s="190">
        <v>1636275.8019999999</v>
      </c>
      <c r="E2190" s="30" t="s">
        <v>10</v>
      </c>
      <c r="F2190" s="190">
        <v>10625.85</v>
      </c>
      <c r="G2190" s="30" t="s">
        <v>335</v>
      </c>
      <c r="H2190" s="30"/>
      <c r="J2190" s="6">
        <v>50000</v>
      </c>
      <c r="K2190" s="119">
        <f>D2191</f>
        <v>808512.51300000004</v>
      </c>
      <c r="L2190" s="119">
        <f>D2192</f>
        <v>859438.99600000004</v>
      </c>
      <c r="M2190" s="18">
        <f t="shared" ref="M2190:M2193" si="264">(K2190/L2190-1)</f>
        <v>-5.9255494848409196E-2</v>
      </c>
      <c r="N2190" s="73">
        <f>D2193</f>
        <v>766773.89399999997</v>
      </c>
      <c r="O2190" s="22">
        <f t="shared" ref="O2190:O2193" si="265">(K2190/N2190-1)</f>
        <v>5.4434063713702852E-2</v>
      </c>
    </row>
    <row r="2191" spans="1:15" x14ac:dyDescent="0.25">
      <c r="A2191" s="30" t="s">
        <v>1018</v>
      </c>
      <c r="B2191" s="30" t="s">
        <v>333</v>
      </c>
      <c r="C2191" s="30">
        <v>25</v>
      </c>
      <c r="D2191" s="190">
        <v>808512.51300000004</v>
      </c>
      <c r="E2191" s="30" t="s">
        <v>10</v>
      </c>
      <c r="F2191" s="190">
        <v>29356.151000000002</v>
      </c>
      <c r="G2191" s="30" t="s">
        <v>335</v>
      </c>
      <c r="H2191" s="30"/>
      <c r="J2191" s="6">
        <v>10000</v>
      </c>
      <c r="K2191" s="119">
        <f>D2194</f>
        <v>158850.56099999999</v>
      </c>
      <c r="L2191" s="119">
        <f>D2195</f>
        <v>159031.43599999999</v>
      </c>
      <c r="M2191" s="18">
        <f t="shared" si="264"/>
        <v>-1.1373537493555297E-3</v>
      </c>
      <c r="N2191" s="73">
        <f>D2196</f>
        <v>124661.68799999999</v>
      </c>
      <c r="O2191" s="22">
        <f t="shared" si="265"/>
        <v>0.27425324932227779</v>
      </c>
    </row>
    <row r="2192" spans="1:15" x14ac:dyDescent="0.25">
      <c r="A2192" s="30" t="s">
        <v>1019</v>
      </c>
      <c r="B2192" s="30" t="s">
        <v>333</v>
      </c>
      <c r="C2192" s="30">
        <v>25</v>
      </c>
      <c r="D2192" s="190">
        <v>859438.99600000004</v>
      </c>
      <c r="E2192" s="30" t="s">
        <v>10</v>
      </c>
      <c r="F2192" s="190">
        <v>3569.114</v>
      </c>
      <c r="G2192" s="30" t="s">
        <v>335</v>
      </c>
      <c r="H2192" s="30"/>
      <c r="J2192" s="67">
        <v>1000</v>
      </c>
      <c r="K2192" s="119">
        <f>D2197</f>
        <v>8556.4689999999991</v>
      </c>
      <c r="L2192" s="119">
        <f>D2198</f>
        <v>8876.8919999999998</v>
      </c>
      <c r="M2192" s="18">
        <f t="shared" si="264"/>
        <v>-3.6096304877878516E-2</v>
      </c>
      <c r="N2192" s="73">
        <f>D2199</f>
        <v>7211.6890000000003</v>
      </c>
      <c r="O2192" s="22">
        <f t="shared" si="265"/>
        <v>0.18647226745357415</v>
      </c>
    </row>
    <row r="2193" spans="1:15" ht="20" thickBot="1" x14ac:dyDescent="0.3">
      <c r="A2193" s="30" t="s">
        <v>1020</v>
      </c>
      <c r="B2193" s="30" t="s">
        <v>333</v>
      </c>
      <c r="C2193" s="30">
        <v>25</v>
      </c>
      <c r="D2193" s="190">
        <v>766773.89399999997</v>
      </c>
      <c r="E2193" s="30" t="s">
        <v>10</v>
      </c>
      <c r="F2193" s="190">
        <v>7273.1419999999998</v>
      </c>
      <c r="G2193" s="30" t="s">
        <v>335</v>
      </c>
      <c r="H2193" s="30"/>
      <c r="J2193" s="68">
        <v>100</v>
      </c>
      <c r="K2193" s="120">
        <f>D2200</f>
        <v>838.654</v>
      </c>
      <c r="L2193" s="120">
        <f>D2201</f>
        <v>771.649</v>
      </c>
      <c r="M2193" s="19">
        <f t="shared" si="264"/>
        <v>8.683352145859069E-2</v>
      </c>
      <c r="N2193" s="74">
        <f>D2202</f>
        <v>741.76199999999994</v>
      </c>
      <c r="O2193" s="23">
        <f t="shared" si="265"/>
        <v>0.13062410854155382</v>
      </c>
    </row>
    <row r="2194" spans="1:15" ht="20" thickBot="1" x14ac:dyDescent="0.3">
      <c r="A2194" s="30" t="s">
        <v>1021</v>
      </c>
      <c r="B2194" s="30" t="s">
        <v>333</v>
      </c>
      <c r="C2194" s="30">
        <v>25</v>
      </c>
      <c r="D2194" s="190">
        <v>158850.56099999999</v>
      </c>
      <c r="E2194" s="30" t="s">
        <v>10</v>
      </c>
      <c r="F2194" s="190">
        <v>1345.8530000000001</v>
      </c>
      <c r="G2194" s="30" t="s">
        <v>335</v>
      </c>
      <c r="H2194" s="30"/>
    </row>
    <row r="2195" spans="1:15" x14ac:dyDescent="0.25">
      <c r="A2195" s="30" t="s">
        <v>1022</v>
      </c>
      <c r="B2195" s="30" t="s">
        <v>333</v>
      </c>
      <c r="C2195" s="30">
        <v>25</v>
      </c>
      <c r="D2195" s="190">
        <v>159031.43599999999</v>
      </c>
      <c r="E2195" s="30" t="s">
        <v>10</v>
      </c>
      <c r="F2195" s="190">
        <v>883.005</v>
      </c>
      <c r="G2195" s="30" t="s">
        <v>335</v>
      </c>
      <c r="H2195" s="30"/>
      <c r="J2195" s="5" t="str">
        <f>A2186</f>
        <v>minus2_10</v>
      </c>
      <c r="K2195" s="72" t="s">
        <v>341</v>
      </c>
      <c r="L2195" s="72" t="s">
        <v>342</v>
      </c>
      <c r="M2195" s="21" t="s">
        <v>162</v>
      </c>
    </row>
    <row r="2196" spans="1:15" x14ac:dyDescent="0.25">
      <c r="A2196" s="30" t="s">
        <v>1023</v>
      </c>
      <c r="B2196" s="30" t="s">
        <v>333</v>
      </c>
      <c r="C2196" s="30">
        <v>25</v>
      </c>
      <c r="D2196" s="190">
        <v>124661.68799999999</v>
      </c>
      <c r="E2196" s="30" t="s">
        <v>10</v>
      </c>
      <c r="F2196" s="190">
        <v>1933.165</v>
      </c>
      <c r="G2196" s="30" t="s">
        <v>335</v>
      </c>
      <c r="H2196" s="30"/>
      <c r="J2196" s="6">
        <v>100000</v>
      </c>
      <c r="K2196" s="119">
        <f>D2189</f>
        <v>1822163.996</v>
      </c>
      <c r="L2196" s="119">
        <f>D2190</f>
        <v>1636275.8019999999</v>
      </c>
      <c r="M2196" s="22">
        <f>(K2196/L2196-1)</f>
        <v>0.11360443867274173</v>
      </c>
    </row>
    <row r="2197" spans="1:15" x14ac:dyDescent="0.25">
      <c r="A2197" s="30" t="s">
        <v>1024</v>
      </c>
      <c r="B2197" s="30" t="s">
        <v>333</v>
      </c>
      <c r="C2197" s="30">
        <v>25</v>
      </c>
      <c r="D2197" s="190">
        <v>8556.4689999999991</v>
      </c>
      <c r="E2197" s="30" t="s">
        <v>10</v>
      </c>
      <c r="F2197" s="190">
        <v>56.307000000000002</v>
      </c>
      <c r="G2197" s="30" t="s">
        <v>335</v>
      </c>
      <c r="H2197" s="30"/>
      <c r="J2197" s="6">
        <v>50000</v>
      </c>
      <c r="K2197" s="119">
        <f>D2192</f>
        <v>859438.99600000004</v>
      </c>
      <c r="L2197" s="119">
        <f>D2193</f>
        <v>766773.89399999997</v>
      </c>
      <c r="M2197" s="22">
        <f t="shared" ref="M2197:M2200" si="266">(K2197/L2197-1)</f>
        <v>0.12085062196966256</v>
      </c>
    </row>
    <row r="2198" spans="1:15" x14ac:dyDescent="0.25">
      <c r="A2198" s="30" t="s">
        <v>1025</v>
      </c>
      <c r="B2198" s="30" t="s">
        <v>333</v>
      </c>
      <c r="C2198" s="30">
        <v>25</v>
      </c>
      <c r="D2198" s="190">
        <v>8876.8919999999998</v>
      </c>
      <c r="E2198" s="30" t="s">
        <v>10</v>
      </c>
      <c r="F2198" s="190">
        <v>66.572000000000003</v>
      </c>
      <c r="G2198" s="30" t="s">
        <v>335</v>
      </c>
      <c r="H2198" s="30"/>
      <c r="J2198" s="6">
        <v>10000</v>
      </c>
      <c r="K2198" s="119">
        <f>D2195</f>
        <v>159031.43599999999</v>
      </c>
      <c r="L2198" s="119">
        <f>D2196</f>
        <v>124661.68799999999</v>
      </c>
      <c r="M2198" s="22">
        <f t="shared" si="266"/>
        <v>0.27570417625020438</v>
      </c>
    </row>
    <row r="2199" spans="1:15" x14ac:dyDescent="0.25">
      <c r="A2199" s="30" t="s">
        <v>1026</v>
      </c>
      <c r="B2199" s="30" t="s">
        <v>333</v>
      </c>
      <c r="C2199" s="30">
        <v>25</v>
      </c>
      <c r="D2199" s="190">
        <v>7211.6890000000003</v>
      </c>
      <c r="E2199" s="30" t="s">
        <v>10</v>
      </c>
      <c r="F2199" s="190">
        <v>60.555</v>
      </c>
      <c r="G2199" s="30" t="s">
        <v>335</v>
      </c>
      <c r="H2199" s="30"/>
      <c r="J2199" s="67">
        <v>1000</v>
      </c>
      <c r="K2199" s="119">
        <f>D2198</f>
        <v>8876.8919999999998</v>
      </c>
      <c r="L2199" s="119">
        <f>D2199</f>
        <v>7211.6890000000003</v>
      </c>
      <c r="M2199" s="22">
        <f t="shared" si="266"/>
        <v>0.23090332930330182</v>
      </c>
    </row>
    <row r="2200" spans="1:15" ht="20" thickBot="1" x14ac:dyDescent="0.3">
      <c r="A2200" s="30" t="s">
        <v>1027</v>
      </c>
      <c r="B2200" s="30" t="s">
        <v>333</v>
      </c>
      <c r="C2200" s="30">
        <v>25</v>
      </c>
      <c r="D2200" s="190">
        <v>838.654</v>
      </c>
      <c r="E2200" s="30" t="s">
        <v>10</v>
      </c>
      <c r="F2200" s="190">
        <v>5.2089999999999996</v>
      </c>
      <c r="G2200" s="30" t="s">
        <v>335</v>
      </c>
      <c r="H2200" s="30"/>
      <c r="J2200" s="68">
        <v>100</v>
      </c>
      <c r="K2200" s="120">
        <f>D2201</f>
        <v>771.649</v>
      </c>
      <c r="L2200" s="120">
        <f>D2202</f>
        <v>741.76199999999994</v>
      </c>
      <c r="M2200" s="23">
        <f t="shared" si="266"/>
        <v>4.0291899558079436E-2</v>
      </c>
    </row>
    <row r="2201" spans="1:15" x14ac:dyDescent="0.25">
      <c r="A2201" s="30" t="s">
        <v>1028</v>
      </c>
      <c r="B2201" s="30" t="s">
        <v>333</v>
      </c>
      <c r="C2201" s="30">
        <v>25</v>
      </c>
      <c r="D2201" s="190">
        <v>771.649</v>
      </c>
      <c r="E2201" s="30" t="s">
        <v>10</v>
      </c>
      <c r="F2201" s="190">
        <v>4.6870000000000003</v>
      </c>
      <c r="G2201" s="30" t="s">
        <v>335</v>
      </c>
      <c r="H2201" s="30"/>
    </row>
    <row r="2202" spans="1:15" x14ac:dyDescent="0.25">
      <c r="A2202" s="30" t="s">
        <v>1029</v>
      </c>
      <c r="B2202" s="30" t="s">
        <v>333</v>
      </c>
      <c r="C2202" s="30">
        <v>25</v>
      </c>
      <c r="D2202" s="190">
        <v>741.76199999999994</v>
      </c>
      <c r="E2202" s="30" t="s">
        <v>10</v>
      </c>
      <c r="F2202" s="190">
        <v>2.6230000000000002</v>
      </c>
      <c r="G2202" s="30" t="s">
        <v>335</v>
      </c>
      <c r="H2202" s="30"/>
    </row>
    <row r="2203" spans="1:15" x14ac:dyDescent="0.25">
      <c r="A2203" s="30"/>
      <c r="B2203" s="30"/>
      <c r="C2203" s="30"/>
      <c r="D2203" s="190"/>
      <c r="E2203" s="30"/>
      <c r="F2203" s="190"/>
      <c r="G2203" s="30"/>
      <c r="H2203" s="30"/>
    </row>
    <row r="2204" spans="1:15" x14ac:dyDescent="0.25">
      <c r="A2204" s="30" t="s">
        <v>1013</v>
      </c>
      <c r="B2204" s="30"/>
      <c r="C2204" s="30"/>
      <c r="D2204" s="190"/>
      <c r="E2204" s="30"/>
      <c r="F2204" s="190"/>
      <c r="G2204" s="30"/>
      <c r="H2204" s="30"/>
    </row>
    <row r="2205" spans="1:15" ht="20" thickBot="1" x14ac:dyDescent="0.3">
      <c r="A2205" s="30" t="s">
        <v>2</v>
      </c>
      <c r="B2205" s="30" t="s">
        <v>3</v>
      </c>
      <c r="C2205" s="30" t="s">
        <v>4</v>
      </c>
      <c r="D2205" s="190" t="s">
        <v>5</v>
      </c>
      <c r="E2205" s="30" t="s">
        <v>6</v>
      </c>
      <c r="F2205" s="190" t="s">
        <v>7</v>
      </c>
      <c r="G2205" s="30"/>
      <c r="H2205" s="30"/>
    </row>
    <row r="2206" spans="1:15" x14ac:dyDescent="0.25">
      <c r="A2206" s="30" t="s">
        <v>1030</v>
      </c>
      <c r="B2206" s="30" t="s">
        <v>333</v>
      </c>
      <c r="C2206" s="30">
        <v>25</v>
      </c>
      <c r="D2206" s="190">
        <v>975393.10800000001</v>
      </c>
      <c r="E2206" s="30" t="s">
        <v>10</v>
      </c>
      <c r="F2206" s="190">
        <v>18628.296999999999</v>
      </c>
      <c r="G2206" s="30" t="s">
        <v>335</v>
      </c>
      <c r="H2206" s="30"/>
      <c r="J2206" s="5" t="str">
        <f>A2204</f>
        <v>minus2_90</v>
      </c>
      <c r="K2206" s="72" t="s">
        <v>340</v>
      </c>
      <c r="L2206" s="72" t="s">
        <v>341</v>
      </c>
      <c r="M2206" s="17" t="s">
        <v>162</v>
      </c>
      <c r="N2206" s="72" t="s">
        <v>342</v>
      </c>
      <c r="O2206" s="21" t="s">
        <v>162</v>
      </c>
    </row>
    <row r="2207" spans="1:15" x14ac:dyDescent="0.25">
      <c r="A2207" s="30" t="s">
        <v>1031</v>
      </c>
      <c r="B2207" s="30" t="s">
        <v>333</v>
      </c>
      <c r="C2207" s="30">
        <v>25</v>
      </c>
      <c r="D2207" s="190">
        <v>1225380.28</v>
      </c>
      <c r="E2207" s="30" t="s">
        <v>10</v>
      </c>
      <c r="F2207" s="190">
        <v>24642.741999999998</v>
      </c>
      <c r="G2207" s="30" t="s">
        <v>335</v>
      </c>
      <c r="H2207" s="30"/>
      <c r="J2207" s="6">
        <v>100000</v>
      </c>
      <c r="K2207" s="119">
        <f>D2206</f>
        <v>975393.10800000001</v>
      </c>
      <c r="L2207" s="119">
        <f>D2207</f>
        <v>1225380.28</v>
      </c>
      <c r="M2207" s="18">
        <f>(K2207/L2207-1)</f>
        <v>-0.20400783012437573</v>
      </c>
      <c r="N2207" s="73">
        <f>D2208</f>
        <v>696704.772</v>
      </c>
      <c r="O2207" s="22">
        <f>(K2207/N2207-1)</f>
        <v>0.40000922514134873</v>
      </c>
    </row>
    <row r="2208" spans="1:15" x14ac:dyDescent="0.25">
      <c r="A2208" s="30" t="s">
        <v>1032</v>
      </c>
      <c r="B2208" s="30" t="s">
        <v>333</v>
      </c>
      <c r="C2208" s="30">
        <v>25</v>
      </c>
      <c r="D2208" s="190">
        <v>696704.772</v>
      </c>
      <c r="E2208" s="30" t="s">
        <v>10</v>
      </c>
      <c r="F2208" s="190">
        <v>15135.371999999999</v>
      </c>
      <c r="G2208" s="30" t="s">
        <v>335</v>
      </c>
      <c r="H2208" s="30"/>
      <c r="J2208" s="6">
        <v>50000</v>
      </c>
      <c r="K2208" s="119">
        <f>D2209</f>
        <v>433363.04599999997</v>
      </c>
      <c r="L2208" s="119">
        <f>D2210</f>
        <v>562239.80599999998</v>
      </c>
      <c r="M2208" s="18">
        <f t="shared" ref="M2208:M2211" si="267">(K2208/L2208-1)</f>
        <v>-0.22922026975799004</v>
      </c>
      <c r="N2208" s="73">
        <f>D2211</f>
        <v>460221.81099999999</v>
      </c>
      <c r="O2208" s="22">
        <f t="shared" ref="O2208:O2211" si="268">(K2208/N2208-1)</f>
        <v>-5.8360478269466443E-2</v>
      </c>
    </row>
    <row r="2209" spans="1:15" x14ac:dyDescent="0.25">
      <c r="A2209" s="30" t="s">
        <v>1033</v>
      </c>
      <c r="B2209" s="30" t="s">
        <v>333</v>
      </c>
      <c r="C2209" s="30">
        <v>25</v>
      </c>
      <c r="D2209" s="190">
        <v>433363.04599999997</v>
      </c>
      <c r="E2209" s="30" t="s">
        <v>10</v>
      </c>
      <c r="F2209" s="190">
        <v>19956.215</v>
      </c>
      <c r="G2209" s="30" t="s">
        <v>335</v>
      </c>
      <c r="H2209" s="30"/>
      <c r="J2209" s="6">
        <v>10000</v>
      </c>
      <c r="K2209" s="119">
        <f>D2212</f>
        <v>79440.922000000006</v>
      </c>
      <c r="L2209" s="119">
        <f>D2213</f>
        <v>99322.008000000002</v>
      </c>
      <c r="M2209" s="18">
        <f t="shared" si="267"/>
        <v>-0.20016798291069582</v>
      </c>
      <c r="N2209" s="73">
        <f>D2214</f>
        <v>79740.675000000003</v>
      </c>
      <c r="O2209" s="22">
        <f t="shared" si="268"/>
        <v>-3.7590978506263362E-3</v>
      </c>
    </row>
    <row r="2210" spans="1:15" x14ac:dyDescent="0.25">
      <c r="A2210" s="30" t="s">
        <v>1034</v>
      </c>
      <c r="B2210" s="30" t="s">
        <v>333</v>
      </c>
      <c r="C2210" s="30">
        <v>25</v>
      </c>
      <c r="D2210" s="190">
        <v>562239.80599999998</v>
      </c>
      <c r="E2210" s="30" t="s">
        <v>10</v>
      </c>
      <c r="F2210" s="190">
        <v>26636.473000000002</v>
      </c>
      <c r="G2210" s="30" t="s">
        <v>335</v>
      </c>
      <c r="H2210" s="30"/>
      <c r="J2210" s="67">
        <v>1000</v>
      </c>
      <c r="K2210" s="119">
        <f>D2215</f>
        <v>7188.7780000000002</v>
      </c>
      <c r="L2210" s="119">
        <f>D2216</f>
        <v>7025.33</v>
      </c>
      <c r="M2210" s="18">
        <f t="shared" si="267"/>
        <v>2.3265526316913254E-2</v>
      </c>
      <c r="N2210" s="73">
        <f>D2217</f>
        <v>3363.799</v>
      </c>
      <c r="O2210" s="22">
        <f t="shared" si="268"/>
        <v>1.1371009385519173</v>
      </c>
    </row>
    <row r="2211" spans="1:15" ht="20" thickBot="1" x14ac:dyDescent="0.3">
      <c r="A2211" s="30" t="s">
        <v>1035</v>
      </c>
      <c r="B2211" s="30" t="s">
        <v>333</v>
      </c>
      <c r="C2211" s="30">
        <v>25</v>
      </c>
      <c r="D2211" s="190">
        <v>460221.81099999999</v>
      </c>
      <c r="E2211" s="30" t="s">
        <v>10</v>
      </c>
      <c r="F2211" s="190">
        <v>13608.757</v>
      </c>
      <c r="G2211" s="30" t="s">
        <v>335</v>
      </c>
      <c r="H2211" s="30"/>
      <c r="J2211" s="68">
        <v>100</v>
      </c>
      <c r="K2211" s="120">
        <f>D2218</f>
        <v>510.976</v>
      </c>
      <c r="L2211" s="120">
        <f>D2219</f>
        <v>576.62300000000005</v>
      </c>
      <c r="M2211" s="19">
        <f t="shared" si="267"/>
        <v>-0.11384734913452987</v>
      </c>
      <c r="N2211" s="74">
        <f>D2220</f>
        <v>578.87400000000002</v>
      </c>
      <c r="O2211" s="23">
        <f t="shared" si="268"/>
        <v>-0.11729322788724317</v>
      </c>
    </row>
    <row r="2212" spans="1:15" ht="20" thickBot="1" x14ac:dyDescent="0.3">
      <c r="A2212" s="30" t="s">
        <v>1036</v>
      </c>
      <c r="B2212" s="30" t="s">
        <v>333</v>
      </c>
      <c r="C2212" s="30">
        <v>25</v>
      </c>
      <c r="D2212" s="190">
        <v>79440.922000000006</v>
      </c>
      <c r="E2212" s="30" t="s">
        <v>10</v>
      </c>
      <c r="F2212" s="190">
        <v>803.17899999999997</v>
      </c>
      <c r="G2212" s="30" t="s">
        <v>335</v>
      </c>
      <c r="H2212" s="30"/>
    </row>
    <row r="2213" spans="1:15" x14ac:dyDescent="0.25">
      <c r="A2213" s="30" t="s">
        <v>1037</v>
      </c>
      <c r="B2213" s="30" t="s">
        <v>333</v>
      </c>
      <c r="C2213" s="30">
        <v>25</v>
      </c>
      <c r="D2213" s="190">
        <v>99322.008000000002</v>
      </c>
      <c r="E2213" s="30" t="s">
        <v>10</v>
      </c>
      <c r="F2213" s="190">
        <v>320.16399999999999</v>
      </c>
      <c r="G2213" s="30" t="s">
        <v>335</v>
      </c>
      <c r="H2213" s="30"/>
      <c r="J2213" s="5" t="str">
        <f>A2204</f>
        <v>minus2_90</v>
      </c>
      <c r="K2213" s="72" t="s">
        <v>341</v>
      </c>
      <c r="L2213" s="72" t="s">
        <v>342</v>
      </c>
      <c r="M2213" s="21" t="s">
        <v>162</v>
      </c>
    </row>
    <row r="2214" spans="1:15" x14ac:dyDescent="0.25">
      <c r="A2214" s="30" t="s">
        <v>1038</v>
      </c>
      <c r="B2214" s="30" t="s">
        <v>333</v>
      </c>
      <c r="C2214" s="30">
        <v>25</v>
      </c>
      <c r="D2214" s="190">
        <v>79740.675000000003</v>
      </c>
      <c r="E2214" s="30" t="s">
        <v>10</v>
      </c>
      <c r="F2214" s="190">
        <v>457.72800000000001</v>
      </c>
      <c r="G2214" s="30" t="s">
        <v>335</v>
      </c>
      <c r="H2214" s="30"/>
      <c r="J2214" s="6">
        <v>100000</v>
      </c>
      <c r="K2214" s="119">
        <f>D2207</f>
        <v>1225380.28</v>
      </c>
      <c r="L2214" s="119">
        <f>D2208</f>
        <v>696704.772</v>
      </c>
      <c r="M2214" s="22">
        <f>(K2214/L2214-1)</f>
        <v>0.758822860481283</v>
      </c>
    </row>
    <row r="2215" spans="1:15" x14ac:dyDescent="0.25">
      <c r="A2215" s="30" t="s">
        <v>1039</v>
      </c>
      <c r="B2215" s="30" t="s">
        <v>333</v>
      </c>
      <c r="C2215" s="30">
        <v>25</v>
      </c>
      <c r="D2215" s="190">
        <v>7188.7780000000002</v>
      </c>
      <c r="E2215" s="30" t="s">
        <v>10</v>
      </c>
      <c r="F2215" s="190">
        <v>16.065999999999999</v>
      </c>
      <c r="G2215" s="30" t="s">
        <v>335</v>
      </c>
      <c r="H2215" s="30"/>
      <c r="J2215" s="6">
        <v>50000</v>
      </c>
      <c r="K2215" s="119">
        <f>D2210</f>
        <v>562239.80599999998</v>
      </c>
      <c r="L2215" s="119">
        <f>D2211</f>
        <v>460221.81099999999</v>
      </c>
      <c r="M2215" s="22">
        <f t="shared" ref="M2215:M2218" si="269">(K2215/L2215-1)</f>
        <v>0.22167136055183612</v>
      </c>
    </row>
    <row r="2216" spans="1:15" x14ac:dyDescent="0.25">
      <c r="A2216" s="30" t="s">
        <v>1040</v>
      </c>
      <c r="B2216" s="30" t="s">
        <v>333</v>
      </c>
      <c r="C2216" s="30">
        <v>25</v>
      </c>
      <c r="D2216" s="190">
        <v>7025.33</v>
      </c>
      <c r="E2216" s="30" t="s">
        <v>10</v>
      </c>
      <c r="F2216" s="190">
        <v>16.681999999999999</v>
      </c>
      <c r="G2216" s="30" t="s">
        <v>335</v>
      </c>
      <c r="H2216" s="30"/>
      <c r="J2216" s="6">
        <v>10000</v>
      </c>
      <c r="K2216" s="119">
        <f>D2213</f>
        <v>99322.008000000002</v>
      </c>
      <c r="L2216" s="119">
        <f>D2214</f>
        <v>79740.675000000003</v>
      </c>
      <c r="M2216" s="22">
        <f t="shared" si="269"/>
        <v>0.24556266924000836</v>
      </c>
    </row>
    <row r="2217" spans="1:15" x14ac:dyDescent="0.25">
      <c r="A2217" s="30" t="s">
        <v>1041</v>
      </c>
      <c r="B2217" s="30" t="s">
        <v>333</v>
      </c>
      <c r="C2217" s="30">
        <v>25</v>
      </c>
      <c r="D2217" s="190">
        <v>3363.799</v>
      </c>
      <c r="E2217" s="30" t="s">
        <v>10</v>
      </c>
      <c r="F2217" s="190">
        <v>12.23</v>
      </c>
      <c r="G2217" s="30" t="s">
        <v>335</v>
      </c>
      <c r="H2217" s="30"/>
      <c r="J2217" s="67">
        <v>1000</v>
      </c>
      <c r="K2217" s="119">
        <f>D2216</f>
        <v>7025.33</v>
      </c>
      <c r="L2217" s="119">
        <f>D2217</f>
        <v>3363.799</v>
      </c>
      <c r="M2217" s="22">
        <f t="shared" si="269"/>
        <v>1.0885106393098991</v>
      </c>
    </row>
    <row r="2218" spans="1:15" ht="20" thickBot="1" x14ac:dyDescent="0.3">
      <c r="A2218" s="30" t="s">
        <v>1042</v>
      </c>
      <c r="B2218" s="30" t="s">
        <v>333</v>
      </c>
      <c r="C2218" s="30">
        <v>25</v>
      </c>
      <c r="D2218" s="190">
        <v>510.976</v>
      </c>
      <c r="E2218" s="30" t="s">
        <v>10</v>
      </c>
      <c r="F2218" s="190">
        <v>2.4079999999999999</v>
      </c>
      <c r="G2218" s="30" t="s">
        <v>335</v>
      </c>
      <c r="H2218" s="30"/>
      <c r="J2218" s="68">
        <v>100</v>
      </c>
      <c r="K2218" s="120">
        <f>D2219</f>
        <v>576.62300000000005</v>
      </c>
      <c r="L2218" s="120">
        <f>D2220</f>
        <v>578.87400000000002</v>
      </c>
      <c r="M2218" s="23">
        <f t="shared" si="269"/>
        <v>-3.8885836986978228E-3</v>
      </c>
    </row>
    <row r="2219" spans="1:15" x14ac:dyDescent="0.25">
      <c r="A2219" s="30" t="s">
        <v>1043</v>
      </c>
      <c r="B2219" s="30" t="s">
        <v>333</v>
      </c>
      <c r="C2219" s="30">
        <v>25</v>
      </c>
      <c r="D2219" s="190">
        <v>576.62300000000005</v>
      </c>
      <c r="E2219" s="30" t="s">
        <v>10</v>
      </c>
      <c r="F2219" s="190">
        <v>3.3650000000000002</v>
      </c>
      <c r="G2219" s="30" t="s">
        <v>335</v>
      </c>
      <c r="H2219" s="30"/>
    </row>
    <row r="2220" spans="1:15" x14ac:dyDescent="0.25">
      <c r="A2220" s="30" t="s">
        <v>1044</v>
      </c>
      <c r="B2220" s="30" t="s">
        <v>333</v>
      </c>
      <c r="C2220" s="30">
        <v>25</v>
      </c>
      <c r="D2220" s="190">
        <v>578.87400000000002</v>
      </c>
      <c r="E2220" s="30" t="s">
        <v>10</v>
      </c>
      <c r="F2220" s="190">
        <v>15.581</v>
      </c>
      <c r="G2220" s="30" t="s">
        <v>335</v>
      </c>
      <c r="H2220" s="30"/>
    </row>
    <row r="2221" spans="1:15" x14ac:dyDescent="0.25">
      <c r="A2221" s="30"/>
      <c r="B2221" s="30"/>
      <c r="C2221" s="30"/>
      <c r="D2221" s="190"/>
      <c r="E2221" s="30"/>
      <c r="F2221" s="190"/>
      <c r="G2221" s="30"/>
      <c r="H2221" s="30"/>
    </row>
    <row r="2222" spans="1:15" x14ac:dyDescent="0.25">
      <c r="A2222" s="30" t="s">
        <v>964</v>
      </c>
      <c r="B2222" s="30"/>
      <c r="C2222" s="30"/>
      <c r="D2222" s="190"/>
      <c r="E2222" s="30"/>
      <c r="F2222" s="190"/>
      <c r="G2222" s="30"/>
      <c r="H2222" s="30"/>
    </row>
    <row r="2223" spans="1:15" ht="20" thickBot="1" x14ac:dyDescent="0.3">
      <c r="A2223" s="30" t="s">
        <v>2</v>
      </c>
      <c r="B2223" s="30" t="s">
        <v>3</v>
      </c>
      <c r="C2223" s="30" t="s">
        <v>4</v>
      </c>
      <c r="D2223" s="190" t="s">
        <v>5</v>
      </c>
      <c r="E2223" s="30" t="s">
        <v>6</v>
      </c>
      <c r="F2223" s="190" t="s">
        <v>7</v>
      </c>
      <c r="G2223" s="30"/>
      <c r="H2223" s="30"/>
    </row>
    <row r="2224" spans="1:15" x14ac:dyDescent="0.25">
      <c r="A2224" s="30" t="s">
        <v>965</v>
      </c>
      <c r="B2224" s="30" t="s">
        <v>333</v>
      </c>
      <c r="C2224" s="30">
        <v>25</v>
      </c>
      <c r="D2224" s="190">
        <v>12978517.098999999</v>
      </c>
      <c r="E2224" s="30" t="s">
        <v>10</v>
      </c>
      <c r="F2224" s="190">
        <v>65698.240999999995</v>
      </c>
      <c r="G2224" s="30" t="s">
        <v>335</v>
      </c>
      <c r="H2224" s="30"/>
      <c r="J2224" s="5" t="str">
        <f>A2222</f>
        <v>sort2</v>
      </c>
      <c r="K2224" s="72" t="s">
        <v>340</v>
      </c>
      <c r="L2224" s="72" t="s">
        <v>341</v>
      </c>
      <c r="M2224" s="17" t="s">
        <v>162</v>
      </c>
      <c r="N2224" s="72" t="s">
        <v>342</v>
      </c>
      <c r="O2224" s="21" t="s">
        <v>162</v>
      </c>
    </row>
    <row r="2225" spans="1:15" x14ac:dyDescent="0.25">
      <c r="A2225" s="30" t="s">
        <v>966</v>
      </c>
      <c r="B2225" s="30" t="s">
        <v>333</v>
      </c>
      <c r="C2225" s="30">
        <v>25</v>
      </c>
      <c r="D2225" s="190">
        <v>13475811.132999999</v>
      </c>
      <c r="E2225" s="30" t="s">
        <v>10</v>
      </c>
      <c r="F2225" s="190">
        <v>14139.455</v>
      </c>
      <c r="G2225" s="30" t="s">
        <v>335</v>
      </c>
      <c r="H2225" s="30"/>
      <c r="J2225" s="6">
        <v>100000</v>
      </c>
      <c r="K2225" s="119">
        <f>D2224</f>
        <v>12978517.098999999</v>
      </c>
      <c r="L2225" s="119">
        <f>D2225</f>
        <v>13475811.132999999</v>
      </c>
      <c r="M2225" s="18">
        <f>(K2225/L2225-1)</f>
        <v>-3.6902716214403664E-2</v>
      </c>
      <c r="N2225" s="73">
        <f>D2226</f>
        <v>13337584.823000001</v>
      </c>
      <c r="O2225" s="22">
        <f>(K2225/N2225-1)</f>
        <v>-2.6921495065643897E-2</v>
      </c>
    </row>
    <row r="2226" spans="1:15" x14ac:dyDescent="0.25">
      <c r="A2226" s="30" t="s">
        <v>967</v>
      </c>
      <c r="B2226" s="30" t="s">
        <v>333</v>
      </c>
      <c r="C2226" s="30">
        <v>25</v>
      </c>
      <c r="D2226" s="190">
        <v>13337584.823000001</v>
      </c>
      <c r="E2226" s="30" t="s">
        <v>10</v>
      </c>
      <c r="F2226" s="190">
        <v>18673.992999999999</v>
      </c>
      <c r="G2226" s="30" t="s">
        <v>335</v>
      </c>
      <c r="H2226" s="30"/>
      <c r="J2226" s="6">
        <v>50000</v>
      </c>
      <c r="K2226" s="119">
        <f>D2227</f>
        <v>6111910.108</v>
      </c>
      <c r="L2226" s="119">
        <f>D2228</f>
        <v>6229627.1720000003</v>
      </c>
      <c r="M2226" s="18">
        <f t="shared" ref="M2226:M2229" si="270">(K2226/L2226-1)</f>
        <v>-1.8896325694914395E-2</v>
      </c>
      <c r="N2226" s="73">
        <f>D2229</f>
        <v>6144594.2280000001</v>
      </c>
      <c r="O2226" s="22">
        <f t="shared" ref="O2226:O2229" si="271">(K2226/N2226-1)</f>
        <v>-5.3191665368338414E-3</v>
      </c>
    </row>
    <row r="2227" spans="1:15" x14ac:dyDescent="0.25">
      <c r="A2227" s="30" t="s">
        <v>968</v>
      </c>
      <c r="B2227" s="30" t="s">
        <v>333</v>
      </c>
      <c r="C2227" s="30">
        <v>25</v>
      </c>
      <c r="D2227" s="190">
        <v>6111910.108</v>
      </c>
      <c r="E2227" s="30" t="s">
        <v>10</v>
      </c>
      <c r="F2227" s="190">
        <v>44520.506000000001</v>
      </c>
      <c r="G2227" s="30" t="s">
        <v>335</v>
      </c>
      <c r="H2227" s="30"/>
      <c r="J2227" s="6">
        <v>10000</v>
      </c>
      <c r="K2227" s="119">
        <f>D2230</f>
        <v>986200.43599999999</v>
      </c>
      <c r="L2227" s="119">
        <f>D2231</f>
        <v>984542.99100000004</v>
      </c>
      <c r="M2227" s="18">
        <f t="shared" si="270"/>
        <v>1.6834663545941542E-3</v>
      </c>
      <c r="N2227" s="73">
        <f>D2232</f>
        <v>935957.88899999997</v>
      </c>
      <c r="O2227" s="22">
        <f t="shared" si="271"/>
        <v>5.368034992864934E-2</v>
      </c>
    </row>
    <row r="2228" spans="1:15" x14ac:dyDescent="0.25">
      <c r="A2228" s="30" t="s">
        <v>969</v>
      </c>
      <c r="B2228" s="30" t="s">
        <v>333</v>
      </c>
      <c r="C2228" s="30">
        <v>25</v>
      </c>
      <c r="D2228" s="190">
        <v>6229627.1720000003</v>
      </c>
      <c r="E2228" s="30" t="s">
        <v>10</v>
      </c>
      <c r="F2228" s="190">
        <v>36022.036999999997</v>
      </c>
      <c r="G2228" s="30" t="s">
        <v>335</v>
      </c>
      <c r="H2228" s="30"/>
      <c r="J2228" s="67">
        <v>1000</v>
      </c>
      <c r="K2228" s="119">
        <f>D2233</f>
        <v>41612.131999999998</v>
      </c>
      <c r="L2228" s="119">
        <f>D2234</f>
        <v>43139.093999999997</v>
      </c>
      <c r="M2228" s="18">
        <f t="shared" si="270"/>
        <v>-3.5396246383848529E-2</v>
      </c>
      <c r="N2228" s="73">
        <f>D2235</f>
        <v>39225.375</v>
      </c>
      <c r="O2228" s="22">
        <f t="shared" si="271"/>
        <v>6.0847270421251487E-2</v>
      </c>
    </row>
    <row r="2229" spans="1:15" ht="20" thickBot="1" x14ac:dyDescent="0.3">
      <c r="A2229" s="30" t="s">
        <v>970</v>
      </c>
      <c r="B2229" s="30" t="s">
        <v>333</v>
      </c>
      <c r="C2229" s="30">
        <v>25</v>
      </c>
      <c r="D2229" s="190">
        <v>6144594.2280000001</v>
      </c>
      <c r="E2229" s="30" t="s">
        <v>10</v>
      </c>
      <c r="F2229" s="190">
        <v>44496.902999999998</v>
      </c>
      <c r="G2229" s="30" t="s">
        <v>335</v>
      </c>
      <c r="H2229" s="30"/>
      <c r="J2229" s="68">
        <v>100</v>
      </c>
      <c r="K2229" s="120">
        <f>D2236</f>
        <v>2201.7330000000002</v>
      </c>
      <c r="L2229" s="120">
        <f>D2237</f>
        <v>3530.0970000000002</v>
      </c>
      <c r="M2229" s="19">
        <f t="shared" si="270"/>
        <v>-0.37629674198754315</v>
      </c>
      <c r="N2229" s="74">
        <f>D2238</f>
        <v>2363.306</v>
      </c>
      <c r="O2229" s="23">
        <f t="shared" si="271"/>
        <v>-6.836736334609228E-2</v>
      </c>
    </row>
    <row r="2230" spans="1:15" ht="20" thickBot="1" x14ac:dyDescent="0.3">
      <c r="A2230" s="30" t="s">
        <v>971</v>
      </c>
      <c r="B2230" s="30" t="s">
        <v>333</v>
      </c>
      <c r="C2230" s="30">
        <v>25</v>
      </c>
      <c r="D2230" s="190">
        <v>986200.43599999999</v>
      </c>
      <c r="E2230" s="30" t="s">
        <v>10</v>
      </c>
      <c r="F2230" s="190">
        <v>5788.77</v>
      </c>
      <c r="G2230" s="30" t="s">
        <v>335</v>
      </c>
      <c r="H2230" s="30"/>
    </row>
    <row r="2231" spans="1:15" x14ac:dyDescent="0.25">
      <c r="A2231" s="30" t="s">
        <v>972</v>
      </c>
      <c r="B2231" s="30" t="s">
        <v>333</v>
      </c>
      <c r="C2231" s="30">
        <v>25</v>
      </c>
      <c r="D2231" s="190">
        <v>984542.99100000004</v>
      </c>
      <c r="E2231" s="30" t="s">
        <v>10</v>
      </c>
      <c r="F2231" s="190">
        <v>7846.924</v>
      </c>
      <c r="G2231" s="30" t="s">
        <v>335</v>
      </c>
      <c r="H2231" s="30"/>
      <c r="J2231" s="5" t="str">
        <f>A2222</f>
        <v>sort2</v>
      </c>
      <c r="K2231" s="72" t="s">
        <v>341</v>
      </c>
      <c r="L2231" s="72" t="s">
        <v>342</v>
      </c>
      <c r="M2231" s="21" t="s">
        <v>162</v>
      </c>
    </row>
    <row r="2232" spans="1:15" x14ac:dyDescent="0.25">
      <c r="A2232" s="30" t="s">
        <v>973</v>
      </c>
      <c r="B2232" s="30" t="s">
        <v>333</v>
      </c>
      <c r="C2232" s="30">
        <v>25</v>
      </c>
      <c r="D2232" s="190">
        <v>935957.88899999997</v>
      </c>
      <c r="E2232" s="30" t="s">
        <v>10</v>
      </c>
      <c r="F2232" s="190">
        <v>8239.6409999999996</v>
      </c>
      <c r="G2232" s="30" t="s">
        <v>335</v>
      </c>
      <c r="H2232" s="30"/>
      <c r="J2232" s="6">
        <v>100000</v>
      </c>
      <c r="K2232" s="119">
        <f>D2225</f>
        <v>13475811.132999999</v>
      </c>
      <c r="L2232" s="119">
        <f>D2226</f>
        <v>13337584.823000001</v>
      </c>
      <c r="M2232" s="22">
        <f>(K2232/L2232-1)</f>
        <v>1.0363668672729531E-2</v>
      </c>
    </row>
    <row r="2233" spans="1:15" x14ac:dyDescent="0.25">
      <c r="A2233" s="30" t="s">
        <v>974</v>
      </c>
      <c r="B2233" s="30" t="s">
        <v>333</v>
      </c>
      <c r="C2233" s="30">
        <v>25</v>
      </c>
      <c r="D2233" s="190">
        <v>41612.131999999998</v>
      </c>
      <c r="E2233" s="30" t="s">
        <v>10</v>
      </c>
      <c r="F2233" s="190">
        <v>985.29</v>
      </c>
      <c r="G2233" s="30" t="s">
        <v>335</v>
      </c>
      <c r="H2233" s="30"/>
      <c r="J2233" s="6">
        <v>50000</v>
      </c>
      <c r="K2233" s="119">
        <f>D2228</f>
        <v>6229627.1720000003</v>
      </c>
      <c r="L2233" s="119">
        <f>D2229</f>
        <v>6144594.2280000001</v>
      </c>
      <c r="M2233" s="22">
        <f t="shared" ref="M2233:M2236" si="272">(K2233/L2233-1)</f>
        <v>1.3838658965065198E-2</v>
      </c>
    </row>
    <row r="2234" spans="1:15" x14ac:dyDescent="0.25">
      <c r="A2234" s="30" t="s">
        <v>975</v>
      </c>
      <c r="B2234" s="30" t="s">
        <v>333</v>
      </c>
      <c r="C2234" s="30">
        <v>25</v>
      </c>
      <c r="D2234" s="190">
        <v>43139.093999999997</v>
      </c>
      <c r="E2234" s="30" t="s">
        <v>10</v>
      </c>
      <c r="F2234" s="190">
        <v>618.41200000000003</v>
      </c>
      <c r="G2234" s="30" t="s">
        <v>335</v>
      </c>
      <c r="H2234" s="30"/>
      <c r="J2234" s="6">
        <v>10000</v>
      </c>
      <c r="K2234" s="119">
        <f>D2231</f>
        <v>984542.99100000004</v>
      </c>
      <c r="L2234" s="119">
        <f>D2232</f>
        <v>935957.88899999997</v>
      </c>
      <c r="M2234" s="22">
        <f t="shared" si="272"/>
        <v>5.1909495684586471E-2</v>
      </c>
    </row>
    <row r="2235" spans="1:15" x14ac:dyDescent="0.25">
      <c r="A2235" s="30" t="s">
        <v>976</v>
      </c>
      <c r="B2235" s="30" t="s">
        <v>333</v>
      </c>
      <c r="C2235" s="30">
        <v>25</v>
      </c>
      <c r="D2235" s="190">
        <v>39225.375</v>
      </c>
      <c r="E2235" s="30" t="s">
        <v>10</v>
      </c>
      <c r="F2235" s="190">
        <v>407.23500000000001</v>
      </c>
      <c r="G2235" s="30" t="s">
        <v>335</v>
      </c>
      <c r="H2235" s="30"/>
      <c r="J2235" s="67">
        <v>1000</v>
      </c>
      <c r="K2235" s="119">
        <f>D2234</f>
        <v>43139.093999999997</v>
      </c>
      <c r="L2235" s="119">
        <f>D2235</f>
        <v>39225.375</v>
      </c>
      <c r="M2235" s="22">
        <f t="shared" si="272"/>
        <v>9.9775183793654021E-2</v>
      </c>
    </row>
    <row r="2236" spans="1:15" ht="20" thickBot="1" x14ac:dyDescent="0.3">
      <c r="A2236" s="30" t="s">
        <v>977</v>
      </c>
      <c r="B2236" s="30" t="s">
        <v>333</v>
      </c>
      <c r="C2236" s="30">
        <v>25</v>
      </c>
      <c r="D2236" s="190">
        <v>2201.7330000000002</v>
      </c>
      <c r="E2236" s="30" t="s">
        <v>10</v>
      </c>
      <c r="F2236" s="190">
        <v>8.5649999999999995</v>
      </c>
      <c r="G2236" s="30" t="s">
        <v>335</v>
      </c>
      <c r="H2236" s="30"/>
      <c r="J2236" s="68">
        <v>100</v>
      </c>
      <c r="K2236" s="120">
        <f>D2237</f>
        <v>3530.0970000000002</v>
      </c>
      <c r="L2236" s="120">
        <f>D2238</f>
        <v>2363.306</v>
      </c>
      <c r="M2236" s="23">
        <f t="shared" si="272"/>
        <v>0.49371135180971071</v>
      </c>
    </row>
    <row r="2237" spans="1:15" x14ac:dyDescent="0.25">
      <c r="A2237" s="30" t="s">
        <v>978</v>
      </c>
      <c r="B2237" s="30" t="s">
        <v>333</v>
      </c>
      <c r="C2237" s="30">
        <v>25</v>
      </c>
      <c r="D2237" s="190">
        <v>3530.0970000000002</v>
      </c>
      <c r="E2237" s="30" t="s">
        <v>10</v>
      </c>
      <c r="F2237" s="190">
        <v>19.641999999999999</v>
      </c>
      <c r="G2237" s="30" t="s">
        <v>335</v>
      </c>
      <c r="H2237" s="30"/>
    </row>
    <row r="2238" spans="1:15" x14ac:dyDescent="0.25">
      <c r="A2238" s="30" t="s">
        <v>979</v>
      </c>
      <c r="B2238" s="30" t="s">
        <v>333</v>
      </c>
      <c r="C2238" s="30">
        <v>25</v>
      </c>
      <c r="D2238" s="190">
        <v>2363.306</v>
      </c>
      <c r="E2238" s="30" t="s">
        <v>10</v>
      </c>
      <c r="F2238" s="190">
        <v>11.77</v>
      </c>
      <c r="G2238" s="30" t="s">
        <v>335</v>
      </c>
      <c r="H2238" s="30"/>
    </row>
    <row r="2240" spans="1:15" x14ac:dyDescent="0.25">
      <c r="A2240" s="3" t="s">
        <v>0</v>
      </c>
      <c r="B2240" s="3" t="s">
        <v>1</v>
      </c>
    </row>
    <row r="2241" spans="1:15" ht="20" thickBot="1" x14ac:dyDescent="0.3">
      <c r="A2241" s="3" t="s">
        <v>2</v>
      </c>
      <c r="B2241" s="3" t="s">
        <v>3</v>
      </c>
      <c r="C2241" s="3" t="s">
        <v>4</v>
      </c>
      <c r="D2241" s="189" t="s">
        <v>5</v>
      </c>
      <c r="E2241" s="3" t="s">
        <v>6</v>
      </c>
      <c r="F2241" s="189" t="s">
        <v>7</v>
      </c>
    </row>
    <row r="2242" spans="1:15" x14ac:dyDescent="0.25">
      <c r="A2242" s="3" t="s">
        <v>1047</v>
      </c>
      <c r="B2242" s="3" t="s">
        <v>333</v>
      </c>
      <c r="C2242" s="3">
        <v>10</v>
      </c>
      <c r="D2242" s="189">
        <v>11186392.254000001</v>
      </c>
      <c r="E2242" s="3" t="s">
        <v>10</v>
      </c>
      <c r="F2242" s="189">
        <v>647901.97600000002</v>
      </c>
      <c r="G2242" s="3" t="s">
        <v>335</v>
      </c>
      <c r="J2242" s="5" t="s">
        <v>1077</v>
      </c>
      <c r="K2242" s="72" t="s">
        <v>340</v>
      </c>
      <c r="L2242" s="72" t="s">
        <v>341</v>
      </c>
      <c r="M2242" s="21" t="s">
        <v>162</v>
      </c>
      <c r="N2242" s="78"/>
      <c r="O2242" s="44"/>
    </row>
    <row r="2243" spans="1:15" x14ac:dyDescent="0.25">
      <c r="A2243" s="3" t="s">
        <v>1048</v>
      </c>
      <c r="B2243" s="3" t="s">
        <v>333</v>
      </c>
      <c r="C2243" s="3">
        <v>10</v>
      </c>
      <c r="D2243" s="189">
        <v>12499529.713</v>
      </c>
      <c r="E2243" s="3" t="s">
        <v>10</v>
      </c>
      <c r="F2243" s="189">
        <v>155216.91899999999</v>
      </c>
      <c r="G2243" s="3" t="s">
        <v>335</v>
      </c>
      <c r="J2243" s="6">
        <v>100000</v>
      </c>
      <c r="K2243" s="119">
        <f>D2242</f>
        <v>11186392.254000001</v>
      </c>
      <c r="L2243" s="119">
        <f>D2243</f>
        <v>12499529.713</v>
      </c>
      <c r="M2243" s="22">
        <f>(K2243/L2243-1)</f>
        <v>-0.10505494919815139</v>
      </c>
    </row>
    <row r="2244" spans="1:15" x14ac:dyDescent="0.25">
      <c r="A2244" s="3" t="s">
        <v>1049</v>
      </c>
      <c r="B2244" s="3" t="s">
        <v>333</v>
      </c>
      <c r="C2244" s="3">
        <v>10</v>
      </c>
      <c r="D2244" s="189">
        <v>953567.62399999995</v>
      </c>
      <c r="E2244" s="3" t="s">
        <v>10</v>
      </c>
      <c r="F2244" s="189">
        <v>47501.669000000002</v>
      </c>
      <c r="G2244" s="3" t="s">
        <v>335</v>
      </c>
      <c r="J2244" s="6">
        <v>10000</v>
      </c>
      <c r="K2244" s="119">
        <f>D2244</f>
        <v>953567.62399999995</v>
      </c>
      <c r="L2244" s="119">
        <f>D2245</f>
        <v>1214111.675</v>
      </c>
      <c r="M2244" s="22">
        <f t="shared" ref="M2244:M2245" si="273">(K2244/L2244-1)</f>
        <v>-0.21459644641008835</v>
      </c>
    </row>
    <row r="2245" spans="1:15" ht="20" thickBot="1" x14ac:dyDescent="0.3">
      <c r="A2245" s="3" t="s">
        <v>1050</v>
      </c>
      <c r="B2245" s="3" t="s">
        <v>333</v>
      </c>
      <c r="C2245" s="3">
        <v>10</v>
      </c>
      <c r="D2245" s="189">
        <v>1214111.675</v>
      </c>
      <c r="E2245" s="3" t="s">
        <v>10</v>
      </c>
      <c r="F2245" s="189">
        <v>15661.754000000001</v>
      </c>
      <c r="G2245" s="3" t="s">
        <v>335</v>
      </c>
      <c r="J2245" s="7">
        <v>1000</v>
      </c>
      <c r="K2245" s="120">
        <f>D2246</f>
        <v>121872.99</v>
      </c>
      <c r="L2245" s="120">
        <f>D2247</f>
        <v>124101.89599999999</v>
      </c>
      <c r="M2245" s="23">
        <f t="shared" si="273"/>
        <v>-1.7960289663906392E-2</v>
      </c>
    </row>
    <row r="2246" spans="1:15" x14ac:dyDescent="0.25">
      <c r="A2246" s="3" t="s">
        <v>1051</v>
      </c>
      <c r="B2246" s="3" t="s">
        <v>333</v>
      </c>
      <c r="C2246" s="3">
        <v>10</v>
      </c>
      <c r="D2246" s="189">
        <v>121872.99</v>
      </c>
      <c r="E2246" s="3" t="s">
        <v>10</v>
      </c>
      <c r="F2246" s="189">
        <v>9085.2289999999994</v>
      </c>
      <c r="G2246" s="3" t="s">
        <v>335</v>
      </c>
    </row>
    <row r="2247" spans="1:15" ht="20" thickBot="1" x14ac:dyDescent="0.3">
      <c r="A2247" s="3" t="s">
        <v>1052</v>
      </c>
      <c r="B2247" s="3" t="s">
        <v>333</v>
      </c>
      <c r="C2247" s="3">
        <v>10</v>
      </c>
      <c r="D2247" s="189">
        <v>124101.89599999999</v>
      </c>
      <c r="E2247" s="3" t="s">
        <v>10</v>
      </c>
      <c r="F2247" s="189">
        <v>2954.855</v>
      </c>
      <c r="G2247" s="3" t="s">
        <v>335</v>
      </c>
    </row>
    <row r="2248" spans="1:15" x14ac:dyDescent="0.25">
      <c r="A2248" s="3" t="s">
        <v>1053</v>
      </c>
      <c r="B2248" s="3" t="s">
        <v>333</v>
      </c>
      <c r="C2248" s="3">
        <v>10</v>
      </c>
      <c r="D2248" s="189">
        <v>20014642.447999999</v>
      </c>
      <c r="E2248" s="3" t="s">
        <v>10</v>
      </c>
      <c r="F2248" s="189">
        <v>864123.22499999998</v>
      </c>
      <c r="G2248" s="3" t="s">
        <v>335</v>
      </c>
      <c r="J2248" s="5" t="s">
        <v>1078</v>
      </c>
      <c r="K2248" s="72" t="s">
        <v>340</v>
      </c>
      <c r="L2248" s="72" t="s">
        <v>341</v>
      </c>
      <c r="M2248" s="21" t="s">
        <v>162</v>
      </c>
    </row>
    <row r="2249" spans="1:15" x14ac:dyDescent="0.25">
      <c r="A2249" s="3" t="s">
        <v>1054</v>
      </c>
      <c r="B2249" s="3" t="s">
        <v>333</v>
      </c>
      <c r="C2249" s="3">
        <v>10</v>
      </c>
      <c r="D2249" s="189">
        <v>17828911.050999999</v>
      </c>
      <c r="E2249" s="3" t="s">
        <v>10</v>
      </c>
      <c r="F2249" s="189">
        <v>233732.908</v>
      </c>
      <c r="G2249" s="3" t="s">
        <v>335</v>
      </c>
      <c r="J2249" s="6">
        <v>100000</v>
      </c>
      <c r="K2249" s="119">
        <f>D2248</f>
        <v>20014642.447999999</v>
      </c>
      <c r="L2249" s="119">
        <f>D2249</f>
        <v>17828911.050999999</v>
      </c>
      <c r="M2249" s="22">
        <f>(K2249/L2249-1)</f>
        <v>0.12259477826478959</v>
      </c>
    </row>
    <row r="2250" spans="1:15" x14ac:dyDescent="0.25">
      <c r="A2250" s="3" t="s">
        <v>1055</v>
      </c>
      <c r="B2250" s="3" t="s">
        <v>333</v>
      </c>
      <c r="C2250" s="3">
        <v>10</v>
      </c>
      <c r="D2250" s="189">
        <v>2661291.8670000001</v>
      </c>
      <c r="E2250" s="3" t="s">
        <v>10</v>
      </c>
      <c r="F2250" s="189">
        <v>40107.934999999998</v>
      </c>
      <c r="G2250" s="3" t="s">
        <v>335</v>
      </c>
      <c r="J2250" s="6">
        <v>10000</v>
      </c>
      <c r="K2250" s="119">
        <f>D2250</f>
        <v>2661291.8670000001</v>
      </c>
      <c r="L2250" s="119">
        <f>D2251</f>
        <v>1791382.0460000001</v>
      </c>
      <c r="M2250" s="22">
        <f t="shared" ref="M2250:M2251" si="274">(K2250/L2250-1)</f>
        <v>0.48560820565464113</v>
      </c>
    </row>
    <row r="2251" spans="1:15" ht="20" thickBot="1" x14ac:dyDescent="0.3">
      <c r="A2251" s="3" t="s">
        <v>1056</v>
      </c>
      <c r="B2251" s="3" t="s">
        <v>333</v>
      </c>
      <c r="C2251" s="3">
        <v>10</v>
      </c>
      <c r="D2251" s="189">
        <v>1791382.0460000001</v>
      </c>
      <c r="E2251" s="3" t="s">
        <v>10</v>
      </c>
      <c r="F2251" s="189">
        <v>73756.517999999996</v>
      </c>
      <c r="G2251" s="3" t="s">
        <v>335</v>
      </c>
      <c r="J2251" s="7">
        <v>1000</v>
      </c>
      <c r="K2251" s="120">
        <f>D2252</f>
        <v>268240.93599999999</v>
      </c>
      <c r="L2251" s="120">
        <f>D2253</f>
        <v>186015.11799999999</v>
      </c>
      <c r="M2251" s="23">
        <f t="shared" si="274"/>
        <v>0.44203836163467103</v>
      </c>
    </row>
    <row r="2252" spans="1:15" x14ac:dyDescent="0.25">
      <c r="A2252" s="3" t="s">
        <v>1057</v>
      </c>
      <c r="B2252" s="3" t="s">
        <v>333</v>
      </c>
      <c r="C2252" s="3">
        <v>10</v>
      </c>
      <c r="D2252" s="189">
        <v>268240.93599999999</v>
      </c>
      <c r="E2252" s="3" t="s">
        <v>10</v>
      </c>
      <c r="F2252" s="189">
        <v>13998.946</v>
      </c>
      <c r="G2252" s="3" t="s">
        <v>335</v>
      </c>
    </row>
    <row r="2253" spans="1:15" ht="20" thickBot="1" x14ac:dyDescent="0.3">
      <c r="A2253" s="3" t="s">
        <v>1058</v>
      </c>
      <c r="B2253" s="3" t="s">
        <v>333</v>
      </c>
      <c r="C2253" s="3">
        <v>10</v>
      </c>
      <c r="D2253" s="189">
        <v>186015.11799999999</v>
      </c>
      <c r="E2253" s="3" t="s">
        <v>10</v>
      </c>
      <c r="F2253" s="189">
        <v>12980.142</v>
      </c>
      <c r="G2253" s="3" t="s">
        <v>335</v>
      </c>
    </row>
    <row r="2254" spans="1:15" x14ac:dyDescent="0.25">
      <c r="A2254" s="3" t="s">
        <v>1059</v>
      </c>
      <c r="B2254" s="3" t="s">
        <v>333</v>
      </c>
      <c r="C2254" s="3">
        <v>10</v>
      </c>
      <c r="D2254" s="189">
        <v>30869346.730999999</v>
      </c>
      <c r="E2254" s="3" t="s">
        <v>10</v>
      </c>
      <c r="F2254" s="189">
        <v>1317293.6740000001</v>
      </c>
      <c r="G2254" s="3" t="s">
        <v>335</v>
      </c>
      <c r="J2254" s="5" t="s">
        <v>1079</v>
      </c>
      <c r="K2254" s="72" t="s">
        <v>340</v>
      </c>
      <c r="L2254" s="72" t="s">
        <v>341</v>
      </c>
      <c r="M2254" s="21" t="s">
        <v>162</v>
      </c>
    </row>
    <row r="2255" spans="1:15" x14ac:dyDescent="0.25">
      <c r="A2255" s="3" t="s">
        <v>1060</v>
      </c>
      <c r="B2255" s="3" t="s">
        <v>333</v>
      </c>
      <c r="C2255" s="3">
        <v>10</v>
      </c>
      <c r="D2255" s="189">
        <v>25339219.980999999</v>
      </c>
      <c r="E2255" s="3" t="s">
        <v>10</v>
      </c>
      <c r="F2255" s="189">
        <v>445171.288</v>
      </c>
      <c r="G2255" s="3" t="s">
        <v>335</v>
      </c>
      <c r="J2255" s="6">
        <v>100000</v>
      </c>
      <c r="K2255" s="119">
        <f>D2254</f>
        <v>30869346.730999999</v>
      </c>
      <c r="L2255" s="119">
        <f>D2255</f>
        <v>25339219.980999999</v>
      </c>
      <c r="M2255" s="22">
        <f>(K2255/L2255-1)</f>
        <v>0.21824376417848024</v>
      </c>
    </row>
    <row r="2256" spans="1:15" x14ac:dyDescent="0.25">
      <c r="A2256" s="3" t="s">
        <v>1061</v>
      </c>
      <c r="B2256" s="3" t="s">
        <v>333</v>
      </c>
      <c r="C2256" s="3">
        <v>10</v>
      </c>
      <c r="D2256" s="189">
        <v>4187201.54</v>
      </c>
      <c r="E2256" s="3" t="s">
        <v>10</v>
      </c>
      <c r="F2256" s="189">
        <v>263681.283</v>
      </c>
      <c r="G2256" s="3" t="s">
        <v>335</v>
      </c>
      <c r="J2256" s="6">
        <v>10000</v>
      </c>
      <c r="K2256" s="119">
        <f>D2256</f>
        <v>4187201.54</v>
      </c>
      <c r="L2256" s="119">
        <f>D2257</f>
        <v>2530303.3020000001</v>
      </c>
      <c r="M2256" s="22">
        <f t="shared" ref="M2256:M2257" si="275">(K2256/L2256-1)</f>
        <v>0.65482198781875511</v>
      </c>
    </row>
    <row r="2257" spans="1:13" ht="20" thickBot="1" x14ac:dyDescent="0.3">
      <c r="A2257" s="3" t="s">
        <v>1062</v>
      </c>
      <c r="B2257" s="3" t="s">
        <v>333</v>
      </c>
      <c r="C2257" s="3">
        <v>10</v>
      </c>
      <c r="D2257" s="189">
        <v>2530303.3020000001</v>
      </c>
      <c r="E2257" s="3" t="s">
        <v>10</v>
      </c>
      <c r="F2257" s="189">
        <v>29304.6</v>
      </c>
      <c r="G2257" s="3" t="s">
        <v>335</v>
      </c>
      <c r="J2257" s="7">
        <v>1000</v>
      </c>
      <c r="K2257" s="120">
        <f>D2258</f>
        <v>411927.24</v>
      </c>
      <c r="L2257" s="120">
        <f>D2259</f>
        <v>255722.25399999999</v>
      </c>
      <c r="M2257" s="23">
        <f t="shared" si="275"/>
        <v>0.61083845287864547</v>
      </c>
    </row>
    <row r="2258" spans="1:13" x14ac:dyDescent="0.25">
      <c r="A2258" s="3" t="s">
        <v>1063</v>
      </c>
      <c r="B2258" s="3" t="s">
        <v>333</v>
      </c>
      <c r="C2258" s="3">
        <v>10</v>
      </c>
      <c r="D2258" s="189">
        <v>411927.24</v>
      </c>
      <c r="E2258" s="3" t="s">
        <v>10</v>
      </c>
      <c r="F2258" s="189">
        <v>22995.561000000002</v>
      </c>
      <c r="G2258" s="3" t="s">
        <v>335</v>
      </c>
    </row>
    <row r="2259" spans="1:13" ht="20" thickBot="1" x14ac:dyDescent="0.3">
      <c r="A2259" s="3" t="s">
        <v>1064</v>
      </c>
      <c r="B2259" s="3" t="s">
        <v>333</v>
      </c>
      <c r="C2259" s="3">
        <v>10</v>
      </c>
      <c r="D2259" s="189">
        <v>255722.25399999999</v>
      </c>
      <c r="E2259" s="3" t="s">
        <v>10</v>
      </c>
      <c r="F2259" s="189">
        <v>3412.3649999999998</v>
      </c>
      <c r="G2259" s="3" t="s">
        <v>335</v>
      </c>
    </row>
    <row r="2260" spans="1:13" x14ac:dyDescent="0.25">
      <c r="A2260" s="3" t="s">
        <v>1065</v>
      </c>
      <c r="B2260" s="3" t="s">
        <v>333</v>
      </c>
      <c r="C2260" s="3">
        <v>10</v>
      </c>
      <c r="D2260" s="189">
        <v>41294218.092</v>
      </c>
      <c r="E2260" s="3" t="s">
        <v>10</v>
      </c>
      <c r="F2260" s="189">
        <v>2729878.56</v>
      </c>
      <c r="G2260" s="3" t="s">
        <v>335</v>
      </c>
      <c r="J2260" s="5" t="s">
        <v>1080</v>
      </c>
      <c r="K2260" s="72" t="s">
        <v>340</v>
      </c>
      <c r="L2260" s="72" t="s">
        <v>341</v>
      </c>
      <c r="M2260" s="21" t="s">
        <v>162</v>
      </c>
    </row>
    <row r="2261" spans="1:13" x14ac:dyDescent="0.25">
      <c r="A2261" s="3" t="s">
        <v>1066</v>
      </c>
      <c r="B2261" s="3" t="s">
        <v>333</v>
      </c>
      <c r="C2261" s="3">
        <v>10</v>
      </c>
      <c r="D2261" s="189">
        <v>32575827.432999998</v>
      </c>
      <c r="E2261" s="3" t="s">
        <v>10</v>
      </c>
      <c r="F2261" s="189">
        <v>87222.085999999996</v>
      </c>
      <c r="G2261" s="3" t="s">
        <v>335</v>
      </c>
      <c r="J2261" s="6">
        <v>100000</v>
      </c>
      <c r="K2261" s="119">
        <f>D2260</f>
        <v>41294218.092</v>
      </c>
      <c r="L2261" s="119">
        <f>D2261</f>
        <v>32575827.432999998</v>
      </c>
      <c r="M2261" s="22">
        <f>(K2261/L2261-1)</f>
        <v>0.26763374397569684</v>
      </c>
    </row>
    <row r="2262" spans="1:13" x14ac:dyDescent="0.25">
      <c r="A2262" s="3" t="s">
        <v>1067</v>
      </c>
      <c r="B2262" s="3" t="s">
        <v>333</v>
      </c>
      <c r="C2262" s="3">
        <v>10</v>
      </c>
      <c r="D2262" s="189">
        <v>6294481.7520000003</v>
      </c>
      <c r="E2262" s="3" t="s">
        <v>10</v>
      </c>
      <c r="F2262" s="189">
        <v>343220.49900000001</v>
      </c>
      <c r="G2262" s="3" t="s">
        <v>335</v>
      </c>
      <c r="J2262" s="6">
        <v>10000</v>
      </c>
      <c r="K2262" s="119">
        <f>D2262</f>
        <v>6294481.7520000003</v>
      </c>
      <c r="L2262" s="119">
        <f>D2263</f>
        <v>3256012.9419999998</v>
      </c>
      <c r="M2262" s="22">
        <f t="shared" ref="M2262:M2263" si="276">(K2262/L2262-1)</f>
        <v>0.93318695721572498</v>
      </c>
    </row>
    <row r="2263" spans="1:13" ht="20" thickBot="1" x14ac:dyDescent="0.3">
      <c r="A2263" s="3" t="s">
        <v>1068</v>
      </c>
      <c r="B2263" s="3" t="s">
        <v>333</v>
      </c>
      <c r="C2263" s="3">
        <v>10</v>
      </c>
      <c r="D2263" s="189">
        <v>3256012.9419999998</v>
      </c>
      <c r="E2263" s="3" t="s">
        <v>10</v>
      </c>
      <c r="F2263" s="189">
        <v>60099.216999999997</v>
      </c>
      <c r="G2263" s="3" t="s">
        <v>335</v>
      </c>
      <c r="J2263" s="7">
        <v>1000</v>
      </c>
      <c r="K2263" s="120">
        <f>D2264</f>
        <v>539837.73899999994</v>
      </c>
      <c r="L2263" s="120">
        <f>D2265</f>
        <v>329997.32900000003</v>
      </c>
      <c r="M2263" s="23">
        <f t="shared" si="276"/>
        <v>0.63588517711911519</v>
      </c>
    </row>
    <row r="2264" spans="1:13" x14ac:dyDescent="0.25">
      <c r="A2264" s="3" t="s">
        <v>1069</v>
      </c>
      <c r="B2264" s="3" t="s">
        <v>333</v>
      </c>
      <c r="C2264" s="3">
        <v>10</v>
      </c>
      <c r="D2264" s="189">
        <v>539837.73899999994</v>
      </c>
      <c r="E2264" s="3" t="s">
        <v>10</v>
      </c>
      <c r="F2264" s="189">
        <v>17378.721000000001</v>
      </c>
      <c r="G2264" s="3" t="s">
        <v>335</v>
      </c>
    </row>
    <row r="2265" spans="1:13" ht="20" thickBot="1" x14ac:dyDescent="0.3">
      <c r="A2265" s="3" t="s">
        <v>1070</v>
      </c>
      <c r="B2265" s="3" t="s">
        <v>333</v>
      </c>
      <c r="C2265" s="3">
        <v>10</v>
      </c>
      <c r="D2265" s="189">
        <v>329997.32900000003</v>
      </c>
      <c r="E2265" s="3" t="s">
        <v>10</v>
      </c>
      <c r="F2265" s="189">
        <v>6579.9570000000003</v>
      </c>
      <c r="G2265" s="3" t="s">
        <v>335</v>
      </c>
    </row>
    <row r="2266" spans="1:13" x14ac:dyDescent="0.25">
      <c r="A2266" s="3" t="s">
        <v>1071</v>
      </c>
      <c r="B2266" s="3" t="s">
        <v>333</v>
      </c>
      <c r="C2266" s="3">
        <v>10</v>
      </c>
      <c r="D2266" s="189">
        <v>638757147.64400005</v>
      </c>
      <c r="E2266" s="3" t="s">
        <v>10</v>
      </c>
      <c r="F2266" s="189">
        <v>6122130.8169999998</v>
      </c>
      <c r="G2266" s="3" t="s">
        <v>335</v>
      </c>
      <c r="J2266" s="5" t="s">
        <v>1081</v>
      </c>
      <c r="K2266" s="72" t="s">
        <v>340</v>
      </c>
      <c r="L2266" s="72" t="s">
        <v>341</v>
      </c>
      <c r="M2266" s="21" t="s">
        <v>162</v>
      </c>
    </row>
    <row r="2267" spans="1:13" x14ac:dyDescent="0.25">
      <c r="A2267" s="3" t="s">
        <v>1072</v>
      </c>
      <c r="B2267" s="3" t="s">
        <v>333</v>
      </c>
      <c r="C2267" s="3">
        <v>10</v>
      </c>
      <c r="D2267" s="189">
        <v>66735647.593000002</v>
      </c>
      <c r="E2267" s="3" t="s">
        <v>10</v>
      </c>
      <c r="F2267" s="189">
        <v>18173971.236000001</v>
      </c>
      <c r="G2267" s="3" t="s">
        <v>335</v>
      </c>
      <c r="J2267" s="6">
        <v>100000</v>
      </c>
      <c r="K2267" s="119">
        <f>D2266</f>
        <v>638757147.64400005</v>
      </c>
      <c r="L2267" s="119">
        <f>D2267</f>
        <v>66735647.593000002</v>
      </c>
      <c r="M2267" s="22">
        <f>(K2267/L2267-1)</f>
        <v>8.5714534987295181</v>
      </c>
    </row>
    <row r="2268" spans="1:13" x14ac:dyDescent="0.25">
      <c r="A2268" s="3" t="s">
        <v>1073</v>
      </c>
      <c r="B2268" s="3" t="s">
        <v>333</v>
      </c>
      <c r="C2268" s="3">
        <v>10</v>
      </c>
      <c r="D2268" s="189">
        <v>63551825.520999998</v>
      </c>
      <c r="E2268" s="3" t="s">
        <v>10</v>
      </c>
      <c r="F2268" s="189">
        <v>738903.28200000001</v>
      </c>
      <c r="G2268" s="3" t="s">
        <v>335</v>
      </c>
      <c r="J2268" s="6">
        <v>10000</v>
      </c>
      <c r="K2268" s="119">
        <f>D2268</f>
        <v>63551825.520999998</v>
      </c>
      <c r="L2268" s="119">
        <f>D2269</f>
        <v>6223566.7630000003</v>
      </c>
      <c r="M2268" s="22">
        <f t="shared" ref="M2268:M2269" si="277">(K2268/L2268-1)</f>
        <v>9.2114796773491285</v>
      </c>
    </row>
    <row r="2269" spans="1:13" ht="20" thickBot="1" x14ac:dyDescent="0.3">
      <c r="A2269" s="3" t="s">
        <v>1074</v>
      </c>
      <c r="B2269" s="3" t="s">
        <v>333</v>
      </c>
      <c r="C2269" s="3">
        <v>10</v>
      </c>
      <c r="D2269" s="189">
        <v>6223566.7630000003</v>
      </c>
      <c r="E2269" s="3" t="s">
        <v>10</v>
      </c>
      <c r="F2269" s="189">
        <v>369065.50099999999</v>
      </c>
      <c r="G2269" s="3" t="s">
        <v>335</v>
      </c>
      <c r="J2269" s="7">
        <v>1000</v>
      </c>
      <c r="K2269" s="120">
        <f>D2270</f>
        <v>6468333.6940000001</v>
      </c>
      <c r="L2269" s="120">
        <f>D2271</f>
        <v>624746.30700000003</v>
      </c>
      <c r="M2269" s="23">
        <f t="shared" si="277"/>
        <v>9.353536501977274</v>
      </c>
    </row>
    <row r="2270" spans="1:13" x14ac:dyDescent="0.25">
      <c r="A2270" s="3" t="s">
        <v>1075</v>
      </c>
      <c r="B2270" s="3" t="s">
        <v>333</v>
      </c>
      <c r="C2270" s="3">
        <v>10</v>
      </c>
      <c r="D2270" s="189">
        <v>6468333.6940000001</v>
      </c>
      <c r="E2270" s="3" t="s">
        <v>10</v>
      </c>
      <c r="F2270" s="189">
        <v>353040.489</v>
      </c>
      <c r="G2270" s="3" t="s">
        <v>335</v>
      </c>
    </row>
    <row r="2271" spans="1:13" x14ac:dyDescent="0.25">
      <c r="A2271" s="3" t="s">
        <v>1076</v>
      </c>
      <c r="B2271" s="3" t="s">
        <v>333</v>
      </c>
      <c r="C2271" s="3">
        <v>10</v>
      </c>
      <c r="D2271" s="189">
        <v>624746.30700000003</v>
      </c>
      <c r="E2271" s="3" t="s">
        <v>10</v>
      </c>
      <c r="F2271" s="189">
        <v>12033.334999999999</v>
      </c>
      <c r="G2271" s="3" t="s">
        <v>335</v>
      </c>
    </row>
    <row r="2273" spans="1:15" x14ac:dyDescent="0.25">
      <c r="A2273" s="104" t="s">
        <v>1083</v>
      </c>
      <c r="B2273" s="103"/>
      <c r="C2273" s="103"/>
      <c r="D2273" s="192"/>
      <c r="E2273" s="103"/>
      <c r="F2273" s="192"/>
      <c r="G2273" s="103"/>
      <c r="H2273" s="103"/>
    </row>
    <row r="2274" spans="1:15" ht="20" thickBot="1" x14ac:dyDescent="0.3">
      <c r="A2274" s="2" t="s">
        <v>2</v>
      </c>
      <c r="B2274" s="3" t="s">
        <v>3</v>
      </c>
      <c r="C2274" s="3" t="s">
        <v>4</v>
      </c>
      <c r="D2274" s="189" t="s">
        <v>5</v>
      </c>
      <c r="E2274" s="3" t="s">
        <v>6</v>
      </c>
      <c r="F2274" s="189" t="s">
        <v>7</v>
      </c>
    </row>
    <row r="2275" spans="1:15" x14ac:dyDescent="0.25">
      <c r="A2275" s="2" t="s">
        <v>8</v>
      </c>
      <c r="B2275" s="3" t="s">
        <v>333</v>
      </c>
      <c r="C2275" s="3">
        <v>10</v>
      </c>
      <c r="D2275" s="189">
        <v>43108977.794</v>
      </c>
      <c r="E2275" s="3" t="s">
        <v>10</v>
      </c>
      <c r="F2275" s="189">
        <v>4965532.7860000003</v>
      </c>
      <c r="G2275" s="3" t="s">
        <v>335</v>
      </c>
      <c r="J2275" s="105" t="str">
        <f>A2273</f>
        <v>map10_mem</v>
      </c>
      <c r="K2275" s="72" t="s">
        <v>340</v>
      </c>
      <c r="L2275" s="72" t="s">
        <v>341</v>
      </c>
      <c r="M2275" s="17" t="s">
        <v>162</v>
      </c>
      <c r="N2275" s="72" t="s">
        <v>342</v>
      </c>
      <c r="O2275" s="21" t="s">
        <v>162</v>
      </c>
    </row>
    <row r="2276" spans="1:15" x14ac:dyDescent="0.25">
      <c r="A2276" s="2" t="s">
        <v>12</v>
      </c>
      <c r="B2276" s="3" t="s">
        <v>333</v>
      </c>
      <c r="C2276" s="3">
        <v>10</v>
      </c>
      <c r="D2276" s="189">
        <v>16029241.68</v>
      </c>
      <c r="E2276" s="3" t="s">
        <v>10</v>
      </c>
      <c r="F2276" s="189">
        <v>2073235.0989999999</v>
      </c>
      <c r="G2276" s="3" t="s">
        <v>335</v>
      </c>
      <c r="J2276" s="6">
        <v>100000</v>
      </c>
      <c r="K2276" s="119">
        <f>D2275</f>
        <v>43108977.794</v>
      </c>
      <c r="L2276" s="119">
        <f>D2276</f>
        <v>16029241.68</v>
      </c>
      <c r="M2276" s="18">
        <f>(K2276/L2276-1)</f>
        <v>1.689395958624039</v>
      </c>
      <c r="N2276" s="73">
        <f>D2277</f>
        <v>13458171.557</v>
      </c>
      <c r="O2276" s="22">
        <f>(K2276/N2276-1)</f>
        <v>2.2031823648122337</v>
      </c>
    </row>
    <row r="2277" spans="1:15" x14ac:dyDescent="0.25">
      <c r="A2277" s="2" t="s">
        <v>13</v>
      </c>
      <c r="B2277" s="3" t="s">
        <v>333</v>
      </c>
      <c r="C2277" s="3">
        <v>10</v>
      </c>
      <c r="D2277" s="189">
        <v>13458171.557</v>
      </c>
      <c r="E2277" s="3" t="s">
        <v>10</v>
      </c>
      <c r="F2277" s="189">
        <v>1610942.9350000001</v>
      </c>
      <c r="G2277" s="3" t="s">
        <v>335</v>
      </c>
      <c r="J2277" s="6">
        <v>50000</v>
      </c>
      <c r="K2277" s="119">
        <f>D2278</f>
        <v>14758753.714</v>
      </c>
      <c r="L2277" s="119">
        <f>D2279</f>
        <v>8444861.3870000001</v>
      </c>
      <c r="M2277" s="18">
        <f t="shared" ref="M2277:M2280" si="278">(K2277/L2277-1)</f>
        <v>0.74766085997806786</v>
      </c>
      <c r="N2277" s="73">
        <f>D2280</f>
        <v>7440749.0300000003</v>
      </c>
      <c r="O2277" s="22">
        <f t="shared" ref="O2277:O2280" si="279">(K2277/N2277-1)</f>
        <v>0.98350376480847368</v>
      </c>
    </row>
    <row r="2278" spans="1:15" x14ac:dyDescent="0.25">
      <c r="A2278" s="2" t="s">
        <v>14</v>
      </c>
      <c r="B2278" s="3" t="s">
        <v>333</v>
      </c>
      <c r="C2278" s="3">
        <v>10</v>
      </c>
      <c r="D2278" s="189">
        <v>14758753.714</v>
      </c>
      <c r="E2278" s="3" t="s">
        <v>10</v>
      </c>
      <c r="F2278" s="189">
        <v>1349657.594</v>
      </c>
      <c r="G2278" s="3" t="s">
        <v>335</v>
      </c>
      <c r="J2278" s="6">
        <v>10000</v>
      </c>
      <c r="K2278" s="119">
        <f>D2281</f>
        <v>2532170.2990000001</v>
      </c>
      <c r="L2278" s="119">
        <f>D2282</f>
        <v>1608612.206</v>
      </c>
      <c r="M2278" s="18">
        <f t="shared" si="278"/>
        <v>0.57413346085227968</v>
      </c>
      <c r="N2278" s="73">
        <f>D2283</f>
        <v>1410869.8330000001</v>
      </c>
      <c r="O2278" s="22">
        <f t="shared" si="279"/>
        <v>0.79475826881614231</v>
      </c>
    </row>
    <row r="2279" spans="1:15" x14ac:dyDescent="0.25">
      <c r="A2279" s="2" t="s">
        <v>15</v>
      </c>
      <c r="B2279" s="3" t="s">
        <v>333</v>
      </c>
      <c r="C2279" s="3">
        <v>10</v>
      </c>
      <c r="D2279" s="189">
        <v>8444861.3870000001</v>
      </c>
      <c r="E2279" s="3" t="s">
        <v>10</v>
      </c>
      <c r="F2279" s="189">
        <v>1465213.7009999999</v>
      </c>
      <c r="G2279" s="3" t="s">
        <v>335</v>
      </c>
      <c r="J2279" s="67">
        <v>1000</v>
      </c>
      <c r="K2279" s="119">
        <f>D2284</f>
        <v>344756.61099999998</v>
      </c>
      <c r="L2279" s="119">
        <f>D2285</f>
        <v>221869.85699999999</v>
      </c>
      <c r="M2279" s="18">
        <f t="shared" si="278"/>
        <v>0.55386863119490815</v>
      </c>
      <c r="N2279" s="73">
        <f>D2286</f>
        <v>165108.32999999999</v>
      </c>
      <c r="O2279" s="22">
        <f t="shared" si="279"/>
        <v>1.0880630977249908</v>
      </c>
    </row>
    <row r="2280" spans="1:15" ht="20" thickBot="1" x14ac:dyDescent="0.3">
      <c r="A2280" s="2" t="s">
        <v>16</v>
      </c>
      <c r="B2280" s="3" t="s">
        <v>333</v>
      </c>
      <c r="C2280" s="3">
        <v>10</v>
      </c>
      <c r="D2280" s="189">
        <v>7440749.0300000003</v>
      </c>
      <c r="E2280" s="3" t="s">
        <v>10</v>
      </c>
      <c r="F2280" s="189">
        <v>791121.10400000005</v>
      </c>
      <c r="G2280" s="3" t="s">
        <v>335</v>
      </c>
      <c r="J2280" s="68">
        <v>100</v>
      </c>
      <c r="K2280" s="120">
        <f>D2287</f>
        <v>90976.101999999999</v>
      </c>
      <c r="L2280" s="120">
        <f>D2288</f>
        <v>91940.429000000004</v>
      </c>
      <c r="M2280" s="19">
        <f t="shared" si="278"/>
        <v>-1.0488606704238901E-2</v>
      </c>
      <c r="N2280" s="74">
        <f>D2289</f>
        <v>90999.210999999996</v>
      </c>
      <c r="O2280" s="23">
        <f t="shared" si="279"/>
        <v>-2.5394725675143004E-4</v>
      </c>
    </row>
    <row r="2281" spans="1:15" ht="20" thickBot="1" x14ac:dyDescent="0.3">
      <c r="A2281" s="2" t="s">
        <v>17</v>
      </c>
      <c r="B2281" s="3" t="s">
        <v>333</v>
      </c>
      <c r="C2281" s="3">
        <v>10</v>
      </c>
      <c r="D2281" s="189">
        <v>2532170.2990000001</v>
      </c>
      <c r="E2281" s="3" t="s">
        <v>10</v>
      </c>
      <c r="F2281" s="189">
        <v>71930.047999999995</v>
      </c>
      <c r="G2281" s="3" t="s">
        <v>335</v>
      </c>
    </row>
    <row r="2282" spans="1:15" x14ac:dyDescent="0.25">
      <c r="A2282" s="2" t="s">
        <v>18</v>
      </c>
      <c r="B2282" s="3" t="s">
        <v>333</v>
      </c>
      <c r="C2282" s="3">
        <v>10</v>
      </c>
      <c r="D2282" s="189">
        <v>1608612.206</v>
      </c>
      <c r="E2282" s="3" t="s">
        <v>10</v>
      </c>
      <c r="F2282" s="189">
        <v>92577.254000000001</v>
      </c>
      <c r="G2282" s="3" t="s">
        <v>335</v>
      </c>
      <c r="J2282" s="105" t="str">
        <f>A2273</f>
        <v>map10_mem</v>
      </c>
      <c r="K2282" s="72" t="s">
        <v>341</v>
      </c>
      <c r="L2282" s="72" t="s">
        <v>342</v>
      </c>
      <c r="M2282" s="21" t="s">
        <v>162</v>
      </c>
    </row>
    <row r="2283" spans="1:15" x14ac:dyDescent="0.25">
      <c r="A2283" s="2" t="s">
        <v>19</v>
      </c>
      <c r="B2283" s="3" t="s">
        <v>333</v>
      </c>
      <c r="C2283" s="3">
        <v>10</v>
      </c>
      <c r="D2283" s="189">
        <v>1410869.8330000001</v>
      </c>
      <c r="E2283" s="3" t="s">
        <v>10</v>
      </c>
      <c r="F2283" s="189">
        <v>106110.875</v>
      </c>
      <c r="G2283" s="3" t="s">
        <v>335</v>
      </c>
      <c r="J2283" s="6">
        <v>100000</v>
      </c>
      <c r="K2283" s="119">
        <f>D2276</f>
        <v>16029241.68</v>
      </c>
      <c r="L2283" s="119">
        <f>D2277</f>
        <v>13458171.557</v>
      </c>
      <c r="M2283" s="22">
        <f>(K2283/L2283-1)</f>
        <v>0.19104156252657578</v>
      </c>
    </row>
    <row r="2284" spans="1:15" x14ac:dyDescent="0.25">
      <c r="A2284" s="2" t="s">
        <v>20</v>
      </c>
      <c r="B2284" s="3" t="s">
        <v>333</v>
      </c>
      <c r="C2284" s="3">
        <v>10</v>
      </c>
      <c r="D2284" s="189">
        <v>344756.61099999998</v>
      </c>
      <c r="E2284" s="3" t="s">
        <v>10</v>
      </c>
      <c r="F2284" s="189">
        <v>56805.144999999997</v>
      </c>
      <c r="G2284" s="3" t="s">
        <v>335</v>
      </c>
      <c r="J2284" s="6">
        <v>50000</v>
      </c>
      <c r="K2284" s="119">
        <f>D2279</f>
        <v>8444861.3870000001</v>
      </c>
      <c r="L2284" s="119">
        <f>D2280</f>
        <v>7440749.0300000003</v>
      </c>
      <c r="M2284" s="22">
        <f t="shared" ref="M2284:M2287" si="280">(K2284/L2284-1)</f>
        <v>0.134947752296384</v>
      </c>
    </row>
    <row r="2285" spans="1:15" x14ac:dyDescent="0.25">
      <c r="A2285" s="2" t="s">
        <v>21</v>
      </c>
      <c r="B2285" s="3" t="s">
        <v>333</v>
      </c>
      <c r="C2285" s="3">
        <v>10</v>
      </c>
      <c r="D2285" s="189">
        <v>221869.85699999999</v>
      </c>
      <c r="E2285" s="3" t="s">
        <v>10</v>
      </c>
      <c r="F2285" s="189">
        <v>13724.522999999999</v>
      </c>
      <c r="G2285" s="3" t="s">
        <v>335</v>
      </c>
      <c r="J2285" s="6">
        <v>10000</v>
      </c>
      <c r="K2285" s="119">
        <f>D2282</f>
        <v>1608612.206</v>
      </c>
      <c r="L2285" s="119">
        <f>D2283</f>
        <v>1410869.8330000001</v>
      </c>
      <c r="M2285" s="22">
        <f t="shared" si="280"/>
        <v>0.14015635487756573</v>
      </c>
    </row>
    <row r="2286" spans="1:15" x14ac:dyDescent="0.25">
      <c r="A2286" s="2" t="s">
        <v>22</v>
      </c>
      <c r="B2286" s="3" t="s">
        <v>333</v>
      </c>
      <c r="C2286" s="3">
        <v>10</v>
      </c>
      <c r="D2286" s="189">
        <v>165108.32999999999</v>
      </c>
      <c r="E2286" s="3" t="s">
        <v>10</v>
      </c>
      <c r="F2286" s="189">
        <v>7894.152</v>
      </c>
      <c r="G2286" s="3" t="s">
        <v>335</v>
      </c>
      <c r="J2286" s="67">
        <v>1000</v>
      </c>
      <c r="K2286" s="119">
        <f>D2285</f>
        <v>221869.85699999999</v>
      </c>
      <c r="L2286" s="119">
        <f>D2286</f>
        <v>165108.32999999999</v>
      </c>
      <c r="M2286" s="22">
        <f t="shared" si="280"/>
        <v>0.34378354502162312</v>
      </c>
    </row>
    <row r="2287" spans="1:15" ht="20" thickBot="1" x14ac:dyDescent="0.3">
      <c r="A2287" s="2" t="s">
        <v>23</v>
      </c>
      <c r="B2287" s="3" t="s">
        <v>333</v>
      </c>
      <c r="C2287" s="3">
        <v>10</v>
      </c>
      <c r="D2287" s="189">
        <v>90976.101999999999</v>
      </c>
      <c r="E2287" s="3" t="s">
        <v>10</v>
      </c>
      <c r="F2287" s="189">
        <v>1847.6310000000001</v>
      </c>
      <c r="G2287" s="3" t="s">
        <v>335</v>
      </c>
      <c r="J2287" s="68">
        <v>100</v>
      </c>
      <c r="K2287" s="120">
        <f>D2288</f>
        <v>91940.429000000004</v>
      </c>
      <c r="L2287" s="120">
        <f>D2289</f>
        <v>90999.210999999996</v>
      </c>
      <c r="M2287" s="23">
        <f t="shared" si="280"/>
        <v>1.0343144623528699E-2</v>
      </c>
    </row>
    <row r="2288" spans="1:15" x14ac:dyDescent="0.25">
      <c r="A2288" s="2" t="s">
        <v>24</v>
      </c>
      <c r="B2288" s="3" t="s">
        <v>333</v>
      </c>
      <c r="C2288" s="3">
        <v>10</v>
      </c>
      <c r="D2288" s="189">
        <v>91940.429000000004</v>
      </c>
      <c r="E2288" s="3" t="s">
        <v>10</v>
      </c>
      <c r="F2288" s="189">
        <v>3563.6970000000001</v>
      </c>
      <c r="G2288" s="3" t="s">
        <v>335</v>
      </c>
    </row>
    <row r="2289" spans="1:15" x14ac:dyDescent="0.25">
      <c r="A2289" s="2" t="s">
        <v>25</v>
      </c>
      <c r="B2289" s="3" t="s">
        <v>333</v>
      </c>
      <c r="C2289" s="3">
        <v>10</v>
      </c>
      <c r="D2289" s="189">
        <v>90999.210999999996</v>
      </c>
      <c r="E2289" s="3" t="s">
        <v>10</v>
      </c>
      <c r="F2289" s="189">
        <v>5936.6009999999997</v>
      </c>
      <c r="G2289" s="3" t="s">
        <v>335</v>
      </c>
    </row>
    <row r="2291" spans="1:15" x14ac:dyDescent="0.25">
      <c r="A2291" s="2" t="s">
        <v>1084</v>
      </c>
    </row>
    <row r="2292" spans="1:15" ht="20" thickBot="1" x14ac:dyDescent="0.3">
      <c r="A2292" s="2" t="s">
        <v>2</v>
      </c>
      <c r="B2292" s="3" t="s">
        <v>3</v>
      </c>
      <c r="C2292" s="3" t="s">
        <v>4</v>
      </c>
      <c r="D2292" s="189" t="s">
        <v>5</v>
      </c>
      <c r="E2292" s="3" t="s">
        <v>6</v>
      </c>
      <c r="F2292" s="189" t="s">
        <v>7</v>
      </c>
    </row>
    <row r="2293" spans="1:15" x14ac:dyDescent="0.25">
      <c r="A2293" s="2" t="s">
        <v>26</v>
      </c>
      <c r="B2293" s="3" t="s">
        <v>333</v>
      </c>
      <c r="C2293" s="3">
        <v>10</v>
      </c>
      <c r="D2293" s="189">
        <v>22521004.026000001</v>
      </c>
      <c r="E2293" s="3" t="s">
        <v>10</v>
      </c>
      <c r="F2293" s="189">
        <v>5736386.8820000002</v>
      </c>
      <c r="G2293" s="3" t="s">
        <v>335</v>
      </c>
      <c r="J2293" s="105" t="str">
        <f>A2291</f>
        <v>map5_mem</v>
      </c>
      <c r="K2293" s="72" t="s">
        <v>340</v>
      </c>
      <c r="L2293" s="72" t="s">
        <v>341</v>
      </c>
      <c r="M2293" s="17" t="s">
        <v>162</v>
      </c>
      <c r="N2293" s="72" t="s">
        <v>342</v>
      </c>
      <c r="O2293" s="21" t="s">
        <v>162</v>
      </c>
    </row>
    <row r="2294" spans="1:15" x14ac:dyDescent="0.25">
      <c r="A2294" s="2" t="s">
        <v>27</v>
      </c>
      <c r="B2294" s="3" t="s">
        <v>333</v>
      </c>
      <c r="C2294" s="3">
        <v>10</v>
      </c>
      <c r="D2294" s="189">
        <v>6842163.1359999999</v>
      </c>
      <c r="E2294" s="3" t="s">
        <v>10</v>
      </c>
      <c r="F2294" s="189">
        <v>296874.62900000002</v>
      </c>
      <c r="G2294" s="3" t="s">
        <v>335</v>
      </c>
      <c r="J2294" s="6">
        <v>100000</v>
      </c>
      <c r="K2294" s="119">
        <f>D2293</f>
        <v>22521004.026000001</v>
      </c>
      <c r="L2294" s="119">
        <f>D2294</f>
        <v>6842163.1359999999</v>
      </c>
      <c r="M2294" s="18">
        <f>(K2294/L2294-1)</f>
        <v>2.2915035169953599</v>
      </c>
      <c r="N2294" s="73">
        <f>D2295</f>
        <v>7849855.2419999996</v>
      </c>
      <c r="O2294" s="22">
        <f>(K2294/N2294-1)</f>
        <v>1.8689706155985188</v>
      </c>
    </row>
    <row r="2295" spans="1:15" x14ac:dyDescent="0.25">
      <c r="A2295" s="2" t="s">
        <v>28</v>
      </c>
      <c r="B2295" s="3" t="s">
        <v>333</v>
      </c>
      <c r="C2295" s="3">
        <v>10</v>
      </c>
      <c r="D2295" s="189">
        <v>7849855.2419999996</v>
      </c>
      <c r="E2295" s="3" t="s">
        <v>10</v>
      </c>
      <c r="F2295" s="189">
        <v>1122058.8389999999</v>
      </c>
      <c r="G2295" s="3" t="s">
        <v>335</v>
      </c>
      <c r="J2295" s="6">
        <v>50000</v>
      </c>
      <c r="K2295" s="119">
        <f>D2296</f>
        <v>6943751.2709999997</v>
      </c>
      <c r="L2295" s="119">
        <f>D2297</f>
        <v>3517709.3829999999</v>
      </c>
      <c r="M2295" s="18">
        <f t="shared" ref="M2295:M2298" si="281">(K2295/L2295-1)</f>
        <v>0.97394114037873591</v>
      </c>
      <c r="N2295" s="73">
        <f>D2298</f>
        <v>3758909.747</v>
      </c>
      <c r="O2295" s="22">
        <f t="shared" ref="O2295:O2298" si="282">(K2295/N2295-1)</f>
        <v>0.84727799770713674</v>
      </c>
    </row>
    <row r="2296" spans="1:15" x14ac:dyDescent="0.25">
      <c r="A2296" s="2" t="s">
        <v>29</v>
      </c>
      <c r="B2296" s="3" t="s">
        <v>333</v>
      </c>
      <c r="C2296" s="3">
        <v>10</v>
      </c>
      <c r="D2296" s="189">
        <v>6943751.2709999997</v>
      </c>
      <c r="E2296" s="3" t="s">
        <v>10</v>
      </c>
      <c r="F2296" s="189">
        <v>808378.71499999997</v>
      </c>
      <c r="G2296" s="3" t="s">
        <v>335</v>
      </c>
      <c r="J2296" s="6">
        <v>10000</v>
      </c>
      <c r="K2296" s="119">
        <f>D2299</f>
        <v>1454678.2830000001</v>
      </c>
      <c r="L2296" s="119">
        <f>D2300</f>
        <v>944810.11</v>
      </c>
      <c r="M2296" s="18">
        <f t="shared" si="281"/>
        <v>0.53965147875058195</v>
      </c>
      <c r="N2296" s="73">
        <f>D2301</f>
        <v>821782.9</v>
      </c>
      <c r="O2296" s="22">
        <f t="shared" si="282"/>
        <v>0.77014912697745364</v>
      </c>
    </row>
    <row r="2297" spans="1:15" x14ac:dyDescent="0.25">
      <c r="A2297" s="2" t="s">
        <v>30</v>
      </c>
      <c r="B2297" s="3" t="s">
        <v>333</v>
      </c>
      <c r="C2297" s="3">
        <v>10</v>
      </c>
      <c r="D2297" s="189">
        <v>3517709.3829999999</v>
      </c>
      <c r="E2297" s="3" t="s">
        <v>10</v>
      </c>
      <c r="F2297" s="189">
        <v>261332.85800000001</v>
      </c>
      <c r="G2297" s="3" t="s">
        <v>335</v>
      </c>
      <c r="J2297" s="67">
        <v>1000</v>
      </c>
      <c r="K2297" s="119">
        <f>D2302</f>
        <v>246725.37299999999</v>
      </c>
      <c r="L2297" s="119">
        <f>D2303</f>
        <v>139004.53599999999</v>
      </c>
      <c r="M2297" s="18">
        <f t="shared" si="281"/>
        <v>0.77494476151483283</v>
      </c>
      <c r="N2297" s="73">
        <f>D2304</f>
        <v>126336.625</v>
      </c>
      <c r="O2297" s="22">
        <f t="shared" si="282"/>
        <v>0.95292040609759843</v>
      </c>
    </row>
    <row r="2298" spans="1:15" ht="20" thickBot="1" x14ac:dyDescent="0.3">
      <c r="A2298" s="2" t="s">
        <v>31</v>
      </c>
      <c r="B2298" s="3" t="s">
        <v>333</v>
      </c>
      <c r="C2298" s="3">
        <v>10</v>
      </c>
      <c r="D2298" s="189">
        <v>3758909.747</v>
      </c>
      <c r="E2298" s="3" t="s">
        <v>10</v>
      </c>
      <c r="F2298" s="189">
        <v>509964.79700000002</v>
      </c>
      <c r="G2298" s="3" t="s">
        <v>335</v>
      </c>
      <c r="J2298" s="68">
        <v>100</v>
      </c>
      <c r="K2298" s="120">
        <f>D2305</f>
        <v>88659.794999999998</v>
      </c>
      <c r="L2298" s="120">
        <f>D2306</f>
        <v>85675.21</v>
      </c>
      <c r="M2298" s="19">
        <f t="shared" si="281"/>
        <v>3.4836039503141958E-2</v>
      </c>
      <c r="N2298" s="74">
        <f>D2307</f>
        <v>84487.770999999993</v>
      </c>
      <c r="O2298" s="23">
        <f t="shared" si="282"/>
        <v>4.9380211486464765E-2</v>
      </c>
    </row>
    <row r="2299" spans="1:15" ht="20" thickBot="1" x14ac:dyDescent="0.3">
      <c r="A2299" s="2" t="s">
        <v>32</v>
      </c>
      <c r="B2299" s="3" t="s">
        <v>333</v>
      </c>
      <c r="C2299" s="3">
        <v>10</v>
      </c>
      <c r="D2299" s="189">
        <v>1454678.2830000001</v>
      </c>
      <c r="E2299" s="3" t="s">
        <v>10</v>
      </c>
      <c r="F2299" s="189">
        <v>307772.37599999999</v>
      </c>
      <c r="G2299" s="3" t="s">
        <v>335</v>
      </c>
    </row>
    <row r="2300" spans="1:15" x14ac:dyDescent="0.25">
      <c r="A2300" s="2" t="s">
        <v>33</v>
      </c>
      <c r="B2300" s="3" t="s">
        <v>333</v>
      </c>
      <c r="C2300" s="3">
        <v>10</v>
      </c>
      <c r="D2300" s="189">
        <v>944810.11</v>
      </c>
      <c r="E2300" s="3" t="s">
        <v>10</v>
      </c>
      <c r="F2300" s="189">
        <v>235705.93799999999</v>
      </c>
      <c r="G2300" s="3" t="s">
        <v>335</v>
      </c>
      <c r="J2300" s="105" t="str">
        <f>A2291</f>
        <v>map5_mem</v>
      </c>
      <c r="K2300" s="72" t="s">
        <v>341</v>
      </c>
      <c r="L2300" s="72" t="s">
        <v>342</v>
      </c>
      <c r="M2300" s="21" t="s">
        <v>162</v>
      </c>
    </row>
    <row r="2301" spans="1:15" x14ac:dyDescent="0.25">
      <c r="A2301" s="2" t="s">
        <v>34</v>
      </c>
      <c r="B2301" s="3" t="s">
        <v>333</v>
      </c>
      <c r="C2301" s="3">
        <v>10</v>
      </c>
      <c r="D2301" s="189">
        <v>821782.9</v>
      </c>
      <c r="E2301" s="3" t="s">
        <v>10</v>
      </c>
      <c r="F2301" s="189">
        <v>113909.887</v>
      </c>
      <c r="G2301" s="3" t="s">
        <v>335</v>
      </c>
      <c r="J2301" s="6">
        <v>100000</v>
      </c>
      <c r="K2301" s="119">
        <f>D2294</f>
        <v>6842163.1359999999</v>
      </c>
      <c r="L2301" s="119">
        <f>D2295</f>
        <v>7849855.2419999996</v>
      </c>
      <c r="M2301" s="22">
        <f>(K2301/L2301-1)</f>
        <v>-0.1283707883692462</v>
      </c>
    </row>
    <row r="2302" spans="1:15" x14ac:dyDescent="0.25">
      <c r="A2302" s="2" t="s">
        <v>35</v>
      </c>
      <c r="B2302" s="3" t="s">
        <v>333</v>
      </c>
      <c r="C2302" s="3">
        <v>10</v>
      </c>
      <c r="D2302" s="189">
        <v>246725.37299999999</v>
      </c>
      <c r="E2302" s="3" t="s">
        <v>10</v>
      </c>
      <c r="F2302" s="189">
        <v>80100.134999999995</v>
      </c>
      <c r="G2302" s="3" t="s">
        <v>335</v>
      </c>
      <c r="J2302" s="6">
        <v>50000</v>
      </c>
      <c r="K2302" s="119">
        <f>D2297</f>
        <v>3517709.3829999999</v>
      </c>
      <c r="L2302" s="119">
        <f>D2298</f>
        <v>3758909.747</v>
      </c>
      <c r="M2302" s="22">
        <f t="shared" ref="M2302:M2305" si="283">(K2302/L2302-1)</f>
        <v>-6.4167639085376593E-2</v>
      </c>
    </row>
    <row r="2303" spans="1:15" x14ac:dyDescent="0.25">
      <c r="A2303" s="2" t="s">
        <v>36</v>
      </c>
      <c r="B2303" s="3" t="s">
        <v>333</v>
      </c>
      <c r="C2303" s="3">
        <v>10</v>
      </c>
      <c r="D2303" s="189">
        <v>139004.53599999999</v>
      </c>
      <c r="E2303" s="3" t="s">
        <v>10</v>
      </c>
      <c r="F2303" s="189">
        <v>8839.2260000000006</v>
      </c>
      <c r="G2303" s="3" t="s">
        <v>335</v>
      </c>
      <c r="J2303" s="6">
        <v>10000</v>
      </c>
      <c r="K2303" s="119">
        <f>D2300</f>
        <v>944810.11</v>
      </c>
      <c r="L2303" s="119">
        <f>D2301</f>
        <v>821782.9</v>
      </c>
      <c r="M2303" s="22">
        <f t="shared" si="283"/>
        <v>0.14970767826879827</v>
      </c>
    </row>
    <row r="2304" spans="1:15" x14ac:dyDescent="0.25">
      <c r="A2304" s="2" t="s">
        <v>37</v>
      </c>
      <c r="B2304" s="3" t="s">
        <v>333</v>
      </c>
      <c r="C2304" s="3">
        <v>10</v>
      </c>
      <c r="D2304" s="189">
        <v>126336.625</v>
      </c>
      <c r="E2304" s="3" t="s">
        <v>10</v>
      </c>
      <c r="F2304" s="189">
        <v>13405.557000000001</v>
      </c>
      <c r="G2304" s="3" t="s">
        <v>335</v>
      </c>
      <c r="J2304" s="67">
        <v>1000</v>
      </c>
      <c r="K2304" s="119">
        <f>D2303</f>
        <v>139004.53599999999</v>
      </c>
      <c r="L2304" s="119">
        <f>D2304</f>
        <v>126336.625</v>
      </c>
      <c r="M2304" s="22">
        <f t="shared" si="283"/>
        <v>0.10027108924272743</v>
      </c>
    </row>
    <row r="2305" spans="1:15" ht="20" thickBot="1" x14ac:dyDescent="0.3">
      <c r="A2305" s="2" t="s">
        <v>38</v>
      </c>
      <c r="B2305" s="3" t="s">
        <v>333</v>
      </c>
      <c r="C2305" s="3">
        <v>10</v>
      </c>
      <c r="D2305" s="189">
        <v>88659.794999999998</v>
      </c>
      <c r="E2305" s="3" t="s">
        <v>10</v>
      </c>
      <c r="F2305" s="189">
        <v>5244.4859999999999</v>
      </c>
      <c r="G2305" s="3" t="s">
        <v>335</v>
      </c>
      <c r="J2305" s="68">
        <v>100</v>
      </c>
      <c r="K2305" s="120">
        <f>D2306</f>
        <v>85675.21</v>
      </c>
      <c r="L2305" s="120">
        <f>D2307</f>
        <v>84487.770999999993</v>
      </c>
      <c r="M2305" s="23">
        <f t="shared" si="283"/>
        <v>1.4054566547861747E-2</v>
      </c>
    </row>
    <row r="2306" spans="1:15" x14ac:dyDescent="0.25">
      <c r="A2306" s="2" t="s">
        <v>39</v>
      </c>
      <c r="B2306" s="3" t="s">
        <v>333</v>
      </c>
      <c r="C2306" s="3">
        <v>10</v>
      </c>
      <c r="D2306" s="189">
        <v>85675.21</v>
      </c>
      <c r="E2306" s="3" t="s">
        <v>10</v>
      </c>
      <c r="F2306" s="189">
        <v>3047.8539999999998</v>
      </c>
      <c r="G2306" s="3" t="s">
        <v>335</v>
      </c>
    </row>
    <row r="2307" spans="1:15" x14ac:dyDescent="0.25">
      <c r="A2307" s="2" t="s">
        <v>40</v>
      </c>
      <c r="B2307" s="3" t="s">
        <v>333</v>
      </c>
      <c r="C2307" s="3">
        <v>10</v>
      </c>
      <c r="D2307" s="189">
        <v>84487.770999999993</v>
      </c>
      <c r="E2307" s="3" t="s">
        <v>10</v>
      </c>
      <c r="F2307" s="189">
        <v>2162.2719999999999</v>
      </c>
      <c r="G2307" s="3" t="s">
        <v>335</v>
      </c>
    </row>
    <row r="2309" spans="1:15" x14ac:dyDescent="0.25">
      <c r="A2309" s="2" t="s">
        <v>1085</v>
      </c>
    </row>
    <row r="2310" spans="1:15" ht="20" thickBot="1" x14ac:dyDescent="0.3">
      <c r="A2310" s="2" t="s">
        <v>2</v>
      </c>
      <c r="B2310" s="3" t="s">
        <v>3</v>
      </c>
      <c r="C2310" s="3" t="s">
        <v>4</v>
      </c>
      <c r="D2310" s="189" t="s">
        <v>5</v>
      </c>
      <c r="E2310" s="3" t="s">
        <v>6</v>
      </c>
      <c r="F2310" s="189" t="s">
        <v>7</v>
      </c>
    </row>
    <row r="2311" spans="1:15" x14ac:dyDescent="0.25">
      <c r="A2311" s="2" t="s">
        <v>41</v>
      </c>
      <c r="B2311" s="3" t="s">
        <v>333</v>
      </c>
      <c r="C2311" s="3">
        <v>10</v>
      </c>
      <c r="D2311" s="189">
        <v>13211700.789000001</v>
      </c>
      <c r="E2311" s="3" t="s">
        <v>10</v>
      </c>
      <c r="F2311" s="189">
        <v>4159510.3960000002</v>
      </c>
      <c r="G2311" s="3" t="s">
        <v>335</v>
      </c>
      <c r="J2311" s="105" t="str">
        <f>A2309</f>
        <v>map3_mem</v>
      </c>
      <c r="K2311" s="72" t="s">
        <v>340</v>
      </c>
      <c r="L2311" s="72" t="s">
        <v>341</v>
      </c>
      <c r="M2311" s="17" t="s">
        <v>162</v>
      </c>
      <c r="N2311" s="72" t="s">
        <v>342</v>
      </c>
      <c r="O2311" s="21" t="s">
        <v>162</v>
      </c>
    </row>
    <row r="2312" spans="1:15" x14ac:dyDescent="0.25">
      <c r="A2312" s="2" t="s">
        <v>42</v>
      </c>
      <c r="B2312" s="3" t="s">
        <v>333</v>
      </c>
      <c r="C2312" s="3">
        <v>10</v>
      </c>
      <c r="D2312" s="189">
        <v>4165498.8459999999</v>
      </c>
      <c r="E2312" s="3" t="s">
        <v>10</v>
      </c>
      <c r="F2312" s="189">
        <v>1022386.551</v>
      </c>
      <c r="G2312" s="3" t="s">
        <v>335</v>
      </c>
      <c r="J2312" s="6">
        <v>100000</v>
      </c>
      <c r="K2312" s="119">
        <f>D2311</f>
        <v>13211700.789000001</v>
      </c>
      <c r="L2312" s="119">
        <f>D2312</f>
        <v>4165498.8459999999</v>
      </c>
      <c r="M2312" s="18">
        <f>(K2312/L2312-1)</f>
        <v>2.171697142993279</v>
      </c>
      <c r="N2312" s="73">
        <f>D2313</f>
        <v>4457363.5240000002</v>
      </c>
      <c r="O2312" s="22">
        <f>(K2312/N2312-1)</f>
        <v>1.9640168942612815</v>
      </c>
    </row>
    <row r="2313" spans="1:15" x14ac:dyDescent="0.25">
      <c r="A2313" s="2" t="s">
        <v>43</v>
      </c>
      <c r="B2313" s="3" t="s">
        <v>333</v>
      </c>
      <c r="C2313" s="3">
        <v>10</v>
      </c>
      <c r="D2313" s="189">
        <v>4457363.5240000002</v>
      </c>
      <c r="E2313" s="3" t="s">
        <v>10</v>
      </c>
      <c r="F2313" s="189">
        <v>377653.239</v>
      </c>
      <c r="G2313" s="3" t="s">
        <v>335</v>
      </c>
      <c r="J2313" s="6">
        <v>50000</v>
      </c>
      <c r="K2313" s="119">
        <f>D2314</f>
        <v>5624809.1969999997</v>
      </c>
      <c r="L2313" s="119">
        <f>D2315</f>
        <v>3012872.554</v>
      </c>
      <c r="M2313" s="18">
        <f t="shared" ref="M2313:M2316" si="284">(K2313/L2313-1)</f>
        <v>0.8669256983778808</v>
      </c>
      <c r="N2313" s="73">
        <f>D2316</f>
        <v>3065689.3590000002</v>
      </c>
      <c r="O2313" s="22">
        <f t="shared" ref="O2313:O2316" si="285">(K2313/N2313-1)</f>
        <v>0.83476162726244407</v>
      </c>
    </row>
    <row r="2314" spans="1:15" x14ac:dyDescent="0.25">
      <c r="A2314" s="2" t="s">
        <v>44</v>
      </c>
      <c r="B2314" s="3" t="s">
        <v>333</v>
      </c>
      <c r="C2314" s="3">
        <v>10</v>
      </c>
      <c r="D2314" s="189">
        <v>5624809.1969999997</v>
      </c>
      <c r="E2314" s="3" t="s">
        <v>10</v>
      </c>
      <c r="F2314" s="189">
        <v>954942.92</v>
      </c>
      <c r="G2314" s="3" t="s">
        <v>335</v>
      </c>
      <c r="J2314" s="6">
        <v>10000</v>
      </c>
      <c r="K2314" s="119">
        <f>D2317</f>
        <v>824892.598</v>
      </c>
      <c r="L2314" s="119">
        <f>D2318</f>
        <v>499759.81199999998</v>
      </c>
      <c r="M2314" s="18">
        <f t="shared" si="284"/>
        <v>0.65057809410253276</v>
      </c>
      <c r="N2314" s="73">
        <f>D2319</f>
        <v>549311.96900000004</v>
      </c>
      <c r="O2314" s="22">
        <f t="shared" si="285"/>
        <v>0.5016832775402349</v>
      </c>
    </row>
    <row r="2315" spans="1:15" x14ac:dyDescent="0.25">
      <c r="A2315" s="2" t="s">
        <v>45</v>
      </c>
      <c r="B2315" s="3" t="s">
        <v>333</v>
      </c>
      <c r="C2315" s="3">
        <v>10</v>
      </c>
      <c r="D2315" s="189">
        <v>3012872.554</v>
      </c>
      <c r="E2315" s="3" t="s">
        <v>10</v>
      </c>
      <c r="F2315" s="189">
        <v>1105392.4469999999</v>
      </c>
      <c r="G2315" s="3" t="s">
        <v>335</v>
      </c>
      <c r="J2315" s="67">
        <v>1000</v>
      </c>
      <c r="K2315" s="119">
        <f>D2320</f>
        <v>118989.81200000001</v>
      </c>
      <c r="L2315" s="119">
        <f>D2321</f>
        <v>123731.32</v>
      </c>
      <c r="M2315" s="18">
        <f t="shared" si="284"/>
        <v>-3.8321000697317364E-2</v>
      </c>
      <c r="N2315" s="73">
        <f>D2322</f>
        <v>116517.44100000001</v>
      </c>
      <c r="O2315" s="22">
        <f t="shared" si="285"/>
        <v>2.121889202836158E-2</v>
      </c>
    </row>
    <row r="2316" spans="1:15" ht="20" thickBot="1" x14ac:dyDescent="0.3">
      <c r="A2316" s="2" t="s">
        <v>46</v>
      </c>
      <c r="B2316" s="3" t="s">
        <v>333</v>
      </c>
      <c r="C2316" s="3">
        <v>10</v>
      </c>
      <c r="D2316" s="189">
        <v>3065689.3590000002</v>
      </c>
      <c r="E2316" s="3" t="s">
        <v>10</v>
      </c>
      <c r="F2316" s="189">
        <v>524518.32200000004</v>
      </c>
      <c r="G2316" s="3" t="s">
        <v>335</v>
      </c>
      <c r="J2316" s="68">
        <v>100</v>
      </c>
      <c r="K2316" s="120">
        <f>D2323</f>
        <v>87538.994999999995</v>
      </c>
      <c r="L2316" s="120">
        <f>D2324</f>
        <v>84466.107000000004</v>
      </c>
      <c r="M2316" s="19">
        <f t="shared" si="284"/>
        <v>3.6380130553430146E-2</v>
      </c>
      <c r="N2316" s="74">
        <f>D2325</f>
        <v>85198.732000000004</v>
      </c>
      <c r="O2316" s="23">
        <f t="shared" si="285"/>
        <v>2.7468284387143216E-2</v>
      </c>
    </row>
    <row r="2317" spans="1:15" ht="20" thickBot="1" x14ac:dyDescent="0.3">
      <c r="A2317" s="2" t="s">
        <v>47</v>
      </c>
      <c r="B2317" s="3" t="s">
        <v>333</v>
      </c>
      <c r="C2317" s="3">
        <v>10</v>
      </c>
      <c r="D2317" s="189">
        <v>824892.598</v>
      </c>
      <c r="E2317" s="3" t="s">
        <v>10</v>
      </c>
      <c r="F2317" s="189">
        <v>56583.872000000003</v>
      </c>
      <c r="G2317" s="3" t="s">
        <v>335</v>
      </c>
    </row>
    <row r="2318" spans="1:15" x14ac:dyDescent="0.25">
      <c r="A2318" s="2" t="s">
        <v>48</v>
      </c>
      <c r="B2318" s="3" t="s">
        <v>333</v>
      </c>
      <c r="C2318" s="3">
        <v>10</v>
      </c>
      <c r="D2318" s="189">
        <v>499759.81199999998</v>
      </c>
      <c r="E2318" s="3" t="s">
        <v>10</v>
      </c>
      <c r="F2318" s="189">
        <v>125944.47199999999</v>
      </c>
      <c r="G2318" s="3" t="s">
        <v>335</v>
      </c>
      <c r="J2318" s="105" t="str">
        <f>A2309</f>
        <v>map3_mem</v>
      </c>
      <c r="K2318" s="72" t="s">
        <v>341</v>
      </c>
      <c r="L2318" s="72" t="s">
        <v>342</v>
      </c>
      <c r="M2318" s="21" t="s">
        <v>162</v>
      </c>
    </row>
    <row r="2319" spans="1:15" x14ac:dyDescent="0.25">
      <c r="A2319" s="2" t="s">
        <v>49</v>
      </c>
      <c r="B2319" s="3" t="s">
        <v>333</v>
      </c>
      <c r="C2319" s="3">
        <v>10</v>
      </c>
      <c r="D2319" s="189">
        <v>549311.96900000004</v>
      </c>
      <c r="E2319" s="3" t="s">
        <v>10</v>
      </c>
      <c r="F2319" s="189">
        <v>104736.735</v>
      </c>
      <c r="G2319" s="3" t="s">
        <v>335</v>
      </c>
      <c r="J2319" s="6">
        <v>100000</v>
      </c>
      <c r="K2319" s="119">
        <f>D2312</f>
        <v>4165498.8459999999</v>
      </c>
      <c r="L2319" s="119">
        <f>D2313</f>
        <v>4457363.5240000002</v>
      </c>
      <c r="M2319" s="22">
        <f>(K2319/L2319-1)</f>
        <v>-6.5479218023950514E-2</v>
      </c>
    </row>
    <row r="2320" spans="1:15" x14ac:dyDescent="0.25">
      <c r="A2320" s="2" t="s">
        <v>50</v>
      </c>
      <c r="B2320" s="3" t="s">
        <v>333</v>
      </c>
      <c r="C2320" s="3">
        <v>10</v>
      </c>
      <c r="D2320" s="189">
        <v>118989.81200000001</v>
      </c>
      <c r="E2320" s="3" t="s">
        <v>10</v>
      </c>
      <c r="F2320" s="189">
        <v>17284.327000000001</v>
      </c>
      <c r="G2320" s="3" t="s">
        <v>335</v>
      </c>
      <c r="J2320" s="6">
        <v>50000</v>
      </c>
      <c r="K2320" s="119">
        <f>D2315</f>
        <v>3012872.554</v>
      </c>
      <c r="L2320" s="119">
        <f>D2316</f>
        <v>3065689.3590000002</v>
      </c>
      <c r="M2320" s="22">
        <f t="shared" ref="M2320:M2323" si="286">(K2320/L2320-1)</f>
        <v>-1.7228361655411972E-2</v>
      </c>
    </row>
    <row r="2321" spans="1:15" x14ac:dyDescent="0.25">
      <c r="A2321" s="2" t="s">
        <v>51</v>
      </c>
      <c r="B2321" s="3" t="s">
        <v>333</v>
      </c>
      <c r="C2321" s="3">
        <v>10</v>
      </c>
      <c r="D2321" s="189">
        <v>123731.32</v>
      </c>
      <c r="E2321" s="3" t="s">
        <v>10</v>
      </c>
      <c r="F2321" s="189">
        <v>9675.1730000000007</v>
      </c>
      <c r="G2321" s="3" t="s">
        <v>335</v>
      </c>
      <c r="J2321" s="6">
        <v>10000</v>
      </c>
      <c r="K2321" s="119">
        <f>D2318</f>
        <v>499759.81199999998</v>
      </c>
      <c r="L2321" s="119">
        <f>D2319</f>
        <v>549311.96900000004</v>
      </c>
      <c r="M2321" s="22">
        <f t="shared" si="286"/>
        <v>-9.0207677597500258E-2</v>
      </c>
    </row>
    <row r="2322" spans="1:15" x14ac:dyDescent="0.25">
      <c r="A2322" s="2" t="s">
        <v>52</v>
      </c>
      <c r="B2322" s="3" t="s">
        <v>333</v>
      </c>
      <c r="C2322" s="3">
        <v>10</v>
      </c>
      <c r="D2322" s="189">
        <v>116517.44100000001</v>
      </c>
      <c r="E2322" s="3" t="s">
        <v>10</v>
      </c>
      <c r="F2322" s="189">
        <v>20706.553</v>
      </c>
      <c r="G2322" s="3" t="s">
        <v>335</v>
      </c>
      <c r="J2322" s="67">
        <v>1000</v>
      </c>
      <c r="K2322" s="119">
        <f>D2321</f>
        <v>123731.32</v>
      </c>
      <c r="L2322" s="119">
        <f>D2322</f>
        <v>116517.44100000001</v>
      </c>
      <c r="M2322" s="22">
        <f t="shared" si="286"/>
        <v>6.1912439357469262E-2</v>
      </c>
    </row>
    <row r="2323" spans="1:15" ht="20" thickBot="1" x14ac:dyDescent="0.3">
      <c r="A2323" s="2" t="s">
        <v>53</v>
      </c>
      <c r="B2323" s="3" t="s">
        <v>333</v>
      </c>
      <c r="C2323" s="3">
        <v>10</v>
      </c>
      <c r="D2323" s="189">
        <v>87538.994999999995</v>
      </c>
      <c r="E2323" s="3" t="s">
        <v>10</v>
      </c>
      <c r="F2323" s="189">
        <v>5975.9610000000002</v>
      </c>
      <c r="G2323" s="3" t="s">
        <v>335</v>
      </c>
      <c r="J2323" s="68">
        <v>100</v>
      </c>
      <c r="K2323" s="120">
        <f>D2324</f>
        <v>84466.107000000004</v>
      </c>
      <c r="L2323" s="120">
        <f>D2325</f>
        <v>85198.732000000004</v>
      </c>
      <c r="M2323" s="23">
        <f t="shared" si="286"/>
        <v>-8.59901295244625E-3</v>
      </c>
    </row>
    <row r="2324" spans="1:15" x14ac:dyDescent="0.25">
      <c r="A2324" s="2" t="s">
        <v>54</v>
      </c>
      <c r="B2324" s="3" t="s">
        <v>333</v>
      </c>
      <c r="C2324" s="3">
        <v>10</v>
      </c>
      <c r="D2324" s="189">
        <v>84466.107000000004</v>
      </c>
      <c r="E2324" s="3" t="s">
        <v>10</v>
      </c>
      <c r="F2324" s="189">
        <v>2762.5880000000002</v>
      </c>
      <c r="G2324" s="3" t="s">
        <v>335</v>
      </c>
    </row>
    <row r="2325" spans="1:15" x14ac:dyDescent="0.25">
      <c r="A2325" s="2" t="s">
        <v>55</v>
      </c>
      <c r="B2325" s="3" t="s">
        <v>333</v>
      </c>
      <c r="C2325" s="3">
        <v>10</v>
      </c>
      <c r="D2325" s="189">
        <v>85198.732000000004</v>
      </c>
      <c r="E2325" s="3" t="s">
        <v>10</v>
      </c>
      <c r="F2325" s="189">
        <v>3516.9290000000001</v>
      </c>
      <c r="G2325" s="3" t="s">
        <v>335</v>
      </c>
    </row>
    <row r="2327" spans="1:15" x14ac:dyDescent="0.25">
      <c r="A2327" s="2" t="s">
        <v>1086</v>
      </c>
    </row>
    <row r="2328" spans="1:15" ht="20" thickBot="1" x14ac:dyDescent="0.3">
      <c r="A2328" s="2" t="s">
        <v>2</v>
      </c>
      <c r="B2328" s="3" t="s">
        <v>3</v>
      </c>
      <c r="C2328" s="3" t="s">
        <v>4</v>
      </c>
      <c r="D2328" s="189" t="s">
        <v>5</v>
      </c>
      <c r="E2328" s="3" t="s">
        <v>6</v>
      </c>
      <c r="F2328" s="189" t="s">
        <v>7</v>
      </c>
    </row>
    <row r="2329" spans="1:15" x14ac:dyDescent="0.25">
      <c r="A2329" s="2" t="s">
        <v>56</v>
      </c>
      <c r="B2329" s="3" t="s">
        <v>333</v>
      </c>
      <c r="C2329" s="3">
        <v>10</v>
      </c>
      <c r="D2329" s="189">
        <v>7519225.8380000005</v>
      </c>
      <c r="E2329" s="3" t="s">
        <v>10</v>
      </c>
      <c r="F2329" s="189">
        <v>312306.54200000002</v>
      </c>
      <c r="G2329" s="3" t="s">
        <v>335</v>
      </c>
      <c r="J2329" s="105" t="str">
        <f>A2327</f>
        <v>map2_mem</v>
      </c>
      <c r="K2329" s="72" t="s">
        <v>340</v>
      </c>
      <c r="L2329" s="72" t="s">
        <v>341</v>
      </c>
      <c r="M2329" s="17" t="s">
        <v>162</v>
      </c>
      <c r="N2329" s="72" t="s">
        <v>342</v>
      </c>
      <c r="O2329" s="21" t="s">
        <v>162</v>
      </c>
    </row>
    <row r="2330" spans="1:15" x14ac:dyDescent="0.25">
      <c r="A2330" s="2" t="s">
        <v>57</v>
      </c>
      <c r="B2330" s="3" t="s">
        <v>333</v>
      </c>
      <c r="C2330" s="3">
        <v>10</v>
      </c>
      <c r="D2330" s="189">
        <v>2636676.7319999998</v>
      </c>
      <c r="E2330" s="3" t="s">
        <v>10</v>
      </c>
      <c r="F2330" s="189">
        <v>248250.02299999999</v>
      </c>
      <c r="G2330" s="3" t="s">
        <v>335</v>
      </c>
      <c r="J2330" s="6">
        <v>100000</v>
      </c>
      <c r="K2330" s="119">
        <f>D2329</f>
        <v>7519225.8380000005</v>
      </c>
      <c r="L2330" s="119">
        <f>D2330</f>
        <v>2636676.7319999998</v>
      </c>
      <c r="M2330" s="18">
        <f>(K2330/L2330-1)</f>
        <v>1.8517814667012433</v>
      </c>
      <c r="N2330" s="73">
        <f>D2331</f>
        <v>4019511.7620000001</v>
      </c>
      <c r="O2330" s="22">
        <f>(K2330/N2330-1)</f>
        <v>0.87068138699975783</v>
      </c>
    </row>
    <row r="2331" spans="1:15" x14ac:dyDescent="0.25">
      <c r="A2331" s="2" t="s">
        <v>58</v>
      </c>
      <c r="B2331" s="3" t="s">
        <v>333</v>
      </c>
      <c r="C2331" s="3">
        <v>10</v>
      </c>
      <c r="D2331" s="189">
        <v>4019511.7620000001</v>
      </c>
      <c r="E2331" s="3" t="s">
        <v>10</v>
      </c>
      <c r="F2331" s="189">
        <v>2008684.6910000001</v>
      </c>
      <c r="G2331" s="3" t="s">
        <v>335</v>
      </c>
      <c r="J2331" s="6">
        <v>50000</v>
      </c>
      <c r="K2331" s="119">
        <f>D2332</f>
        <v>3523390.7110000001</v>
      </c>
      <c r="L2331" s="119">
        <f>D2333</f>
        <v>1301555</v>
      </c>
      <c r="M2331" s="18">
        <f t="shared" ref="M2331:M2334" si="287">(K2331/L2331-1)</f>
        <v>1.707062483721395</v>
      </c>
      <c r="N2331" s="73">
        <f>D2334</f>
        <v>1378233.0020000001</v>
      </c>
      <c r="O2331" s="22">
        <f t="shared" ref="O2331:O2334" si="288">(K2331/N2331-1)</f>
        <v>1.5564550448923296</v>
      </c>
    </row>
    <row r="2332" spans="1:15" x14ac:dyDescent="0.25">
      <c r="A2332" s="2" t="s">
        <v>59</v>
      </c>
      <c r="B2332" s="3" t="s">
        <v>333</v>
      </c>
      <c r="C2332" s="3">
        <v>10</v>
      </c>
      <c r="D2332" s="189">
        <v>3523390.7110000001</v>
      </c>
      <c r="E2332" s="3" t="s">
        <v>10</v>
      </c>
      <c r="F2332" s="189">
        <v>1166793.1610000001</v>
      </c>
      <c r="G2332" s="3" t="s">
        <v>335</v>
      </c>
      <c r="J2332" s="6">
        <v>10000</v>
      </c>
      <c r="K2332" s="119">
        <f>D2335</f>
        <v>626789.946</v>
      </c>
      <c r="L2332" s="119">
        <f>D2336</f>
        <v>330535.74699999997</v>
      </c>
      <c r="M2332" s="18">
        <f t="shared" si="287"/>
        <v>0.89628490016240225</v>
      </c>
      <c r="N2332" s="73">
        <f>D2337</f>
        <v>346536.22399999999</v>
      </c>
      <c r="O2332" s="22">
        <f t="shared" si="288"/>
        <v>0.80872850394999407</v>
      </c>
    </row>
    <row r="2333" spans="1:15" x14ac:dyDescent="0.25">
      <c r="A2333" s="2" t="s">
        <v>60</v>
      </c>
      <c r="B2333" s="3" t="s">
        <v>333</v>
      </c>
      <c r="C2333" s="3">
        <v>10</v>
      </c>
      <c r="D2333" s="189">
        <v>1301555</v>
      </c>
      <c r="E2333" s="3" t="s">
        <v>10</v>
      </c>
      <c r="F2333" s="189">
        <v>280369.99200000003</v>
      </c>
      <c r="G2333" s="3" t="s">
        <v>335</v>
      </c>
      <c r="J2333" s="67">
        <v>1000</v>
      </c>
      <c r="K2333" s="119">
        <f>D2338</f>
        <v>110709.376</v>
      </c>
      <c r="L2333" s="119">
        <f>D2339</f>
        <v>102350.537</v>
      </c>
      <c r="M2333" s="18">
        <f t="shared" si="287"/>
        <v>8.1668736139606235E-2</v>
      </c>
      <c r="N2333" s="73">
        <f>D2340</f>
        <v>101826.24000000001</v>
      </c>
      <c r="O2333" s="22">
        <f t="shared" si="288"/>
        <v>8.7238181435354889E-2</v>
      </c>
    </row>
    <row r="2334" spans="1:15" ht="20" thickBot="1" x14ac:dyDescent="0.3">
      <c r="A2334" s="2" t="s">
        <v>61</v>
      </c>
      <c r="B2334" s="3" t="s">
        <v>333</v>
      </c>
      <c r="C2334" s="3">
        <v>10</v>
      </c>
      <c r="D2334" s="189">
        <v>1378233.0020000001</v>
      </c>
      <c r="E2334" s="3" t="s">
        <v>10</v>
      </c>
      <c r="F2334" s="189">
        <v>145720.50099999999</v>
      </c>
      <c r="G2334" s="3" t="s">
        <v>335</v>
      </c>
      <c r="J2334" s="68">
        <v>100</v>
      </c>
      <c r="K2334" s="120">
        <f>D2341</f>
        <v>86865.085000000006</v>
      </c>
      <c r="L2334" s="120">
        <f>D2342</f>
        <v>83224.53</v>
      </c>
      <c r="M2334" s="19">
        <f t="shared" si="287"/>
        <v>4.3743773620590121E-2</v>
      </c>
      <c r="N2334" s="74">
        <f>D2343</f>
        <v>84402.578999999998</v>
      </c>
      <c r="O2334" s="23">
        <f t="shared" si="288"/>
        <v>2.9175719855669469E-2</v>
      </c>
    </row>
    <row r="2335" spans="1:15" ht="20" thickBot="1" x14ac:dyDescent="0.3">
      <c r="A2335" s="2" t="s">
        <v>62</v>
      </c>
      <c r="B2335" s="3" t="s">
        <v>333</v>
      </c>
      <c r="C2335" s="3">
        <v>10</v>
      </c>
      <c r="D2335" s="189">
        <v>626789.946</v>
      </c>
      <c r="E2335" s="3" t="s">
        <v>10</v>
      </c>
      <c r="F2335" s="189">
        <v>78370.297999999995</v>
      </c>
      <c r="G2335" s="3" t="s">
        <v>335</v>
      </c>
    </row>
    <row r="2336" spans="1:15" x14ac:dyDescent="0.25">
      <c r="A2336" s="2" t="s">
        <v>63</v>
      </c>
      <c r="B2336" s="3" t="s">
        <v>333</v>
      </c>
      <c r="C2336" s="3">
        <v>10</v>
      </c>
      <c r="D2336" s="189">
        <v>330535.74699999997</v>
      </c>
      <c r="E2336" s="3" t="s">
        <v>10</v>
      </c>
      <c r="F2336" s="189">
        <v>77246.235000000001</v>
      </c>
      <c r="G2336" s="3" t="s">
        <v>335</v>
      </c>
      <c r="J2336" s="105" t="str">
        <f>A2327</f>
        <v>map2_mem</v>
      </c>
      <c r="K2336" s="72" t="s">
        <v>341</v>
      </c>
      <c r="L2336" s="72" t="s">
        <v>342</v>
      </c>
      <c r="M2336" s="21" t="s">
        <v>162</v>
      </c>
    </row>
    <row r="2337" spans="1:15" x14ac:dyDescent="0.25">
      <c r="A2337" s="2" t="s">
        <v>64</v>
      </c>
      <c r="B2337" s="3" t="s">
        <v>333</v>
      </c>
      <c r="C2337" s="3">
        <v>10</v>
      </c>
      <c r="D2337" s="189">
        <v>346536.22399999999</v>
      </c>
      <c r="E2337" s="3" t="s">
        <v>10</v>
      </c>
      <c r="F2337" s="189">
        <v>97351.264999999999</v>
      </c>
      <c r="G2337" s="3" t="s">
        <v>335</v>
      </c>
      <c r="J2337" s="6">
        <v>100000</v>
      </c>
      <c r="K2337" s="119">
        <f>D2330</f>
        <v>2636676.7319999998</v>
      </c>
      <c r="L2337" s="119">
        <f>D2331</f>
        <v>4019511.7620000001</v>
      </c>
      <c r="M2337" s="22">
        <f>(K2337/L2337-1)</f>
        <v>-0.34403059671902514</v>
      </c>
    </row>
    <row r="2338" spans="1:15" x14ac:dyDescent="0.25">
      <c r="A2338" s="2" t="s">
        <v>65</v>
      </c>
      <c r="B2338" s="3" t="s">
        <v>333</v>
      </c>
      <c r="C2338" s="3">
        <v>10</v>
      </c>
      <c r="D2338" s="189">
        <v>110709.376</v>
      </c>
      <c r="E2338" s="3" t="s">
        <v>10</v>
      </c>
      <c r="F2338" s="189">
        <v>13465.679</v>
      </c>
      <c r="G2338" s="3" t="s">
        <v>335</v>
      </c>
      <c r="J2338" s="6">
        <v>50000</v>
      </c>
      <c r="K2338" s="119">
        <f>D2333</f>
        <v>1301555</v>
      </c>
      <c r="L2338" s="119">
        <f>D2334</f>
        <v>1378233.0020000001</v>
      </c>
      <c r="M2338" s="22">
        <f t="shared" ref="M2338:M2341" si="289">(K2338/L2338-1)</f>
        <v>-5.5635006482017246E-2</v>
      </c>
    </row>
    <row r="2339" spans="1:15" x14ac:dyDescent="0.25">
      <c r="A2339" s="2" t="s">
        <v>66</v>
      </c>
      <c r="B2339" s="3" t="s">
        <v>333</v>
      </c>
      <c r="C2339" s="3">
        <v>10</v>
      </c>
      <c r="D2339" s="189">
        <v>102350.537</v>
      </c>
      <c r="E2339" s="3" t="s">
        <v>10</v>
      </c>
      <c r="F2339" s="189">
        <v>9888.9500000000007</v>
      </c>
      <c r="G2339" s="3" t="s">
        <v>335</v>
      </c>
      <c r="J2339" s="6">
        <v>10000</v>
      </c>
      <c r="K2339" s="119">
        <f>D2336</f>
        <v>330535.74699999997</v>
      </c>
      <c r="L2339" s="119">
        <f>D2337</f>
        <v>346536.22399999999</v>
      </c>
      <c r="M2339" s="22">
        <f t="shared" si="289"/>
        <v>-4.6172595797661864E-2</v>
      </c>
    </row>
    <row r="2340" spans="1:15" x14ac:dyDescent="0.25">
      <c r="A2340" s="2" t="s">
        <v>67</v>
      </c>
      <c r="B2340" s="3" t="s">
        <v>333</v>
      </c>
      <c r="C2340" s="3">
        <v>10</v>
      </c>
      <c r="D2340" s="189">
        <v>101826.24000000001</v>
      </c>
      <c r="E2340" s="3" t="s">
        <v>10</v>
      </c>
      <c r="F2340" s="189">
        <v>5117.2979999999998</v>
      </c>
      <c r="G2340" s="3" t="s">
        <v>335</v>
      </c>
      <c r="J2340" s="67">
        <v>1000</v>
      </c>
      <c r="K2340" s="119">
        <f>D2339</f>
        <v>102350.537</v>
      </c>
      <c r="L2340" s="119">
        <f>D2340</f>
        <v>101826.24000000001</v>
      </c>
      <c r="M2340" s="22">
        <f t="shared" si="289"/>
        <v>5.1489380340470348E-3</v>
      </c>
    </row>
    <row r="2341" spans="1:15" ht="20" thickBot="1" x14ac:dyDescent="0.3">
      <c r="A2341" s="2" t="s">
        <v>68</v>
      </c>
      <c r="B2341" s="3" t="s">
        <v>333</v>
      </c>
      <c r="C2341" s="3">
        <v>10</v>
      </c>
      <c r="D2341" s="189">
        <v>86865.085000000006</v>
      </c>
      <c r="E2341" s="3" t="s">
        <v>10</v>
      </c>
      <c r="F2341" s="189">
        <v>8558.6689999999999</v>
      </c>
      <c r="G2341" s="3" t="s">
        <v>335</v>
      </c>
      <c r="J2341" s="68">
        <v>100</v>
      </c>
      <c r="K2341" s="120">
        <f>D2342</f>
        <v>83224.53</v>
      </c>
      <c r="L2341" s="120">
        <f>D2343</f>
        <v>84402.578999999998</v>
      </c>
      <c r="M2341" s="23">
        <f t="shared" si="289"/>
        <v>-1.3957500042741544E-2</v>
      </c>
    </row>
    <row r="2342" spans="1:15" x14ac:dyDescent="0.25">
      <c r="A2342" s="2" t="s">
        <v>69</v>
      </c>
      <c r="B2342" s="3" t="s">
        <v>333</v>
      </c>
      <c r="C2342" s="3">
        <v>10</v>
      </c>
      <c r="D2342" s="189">
        <v>83224.53</v>
      </c>
      <c r="E2342" s="3" t="s">
        <v>10</v>
      </c>
      <c r="F2342" s="189">
        <v>1803.0930000000001</v>
      </c>
      <c r="G2342" s="3" t="s">
        <v>335</v>
      </c>
    </row>
    <row r="2343" spans="1:15" x14ac:dyDescent="0.25">
      <c r="A2343" s="2" t="s">
        <v>70</v>
      </c>
      <c r="B2343" s="3" t="s">
        <v>333</v>
      </c>
      <c r="C2343" s="3">
        <v>10</v>
      </c>
      <c r="D2343" s="189">
        <v>84402.578999999998</v>
      </c>
      <c r="E2343" s="3" t="s">
        <v>10</v>
      </c>
      <c r="F2343" s="189">
        <v>4230.3180000000002</v>
      </c>
      <c r="G2343" s="3" t="s">
        <v>335</v>
      </c>
    </row>
    <row r="2345" spans="1:15" x14ac:dyDescent="0.25">
      <c r="A2345" s="2" t="s">
        <v>1087</v>
      </c>
    </row>
    <row r="2346" spans="1:15" ht="20" thickBot="1" x14ac:dyDescent="0.3">
      <c r="A2346" s="2" t="s">
        <v>2</v>
      </c>
      <c r="B2346" s="3" t="s">
        <v>3</v>
      </c>
      <c r="C2346" s="3" t="s">
        <v>4</v>
      </c>
      <c r="D2346" s="189" t="s">
        <v>5</v>
      </c>
      <c r="E2346" s="3" t="s">
        <v>6</v>
      </c>
      <c r="F2346" s="189" t="s">
        <v>7</v>
      </c>
    </row>
    <row r="2347" spans="1:15" x14ac:dyDescent="0.25">
      <c r="A2347" s="2" t="s">
        <v>760</v>
      </c>
      <c r="B2347" s="3" t="s">
        <v>333</v>
      </c>
      <c r="C2347" s="3">
        <v>10</v>
      </c>
      <c r="D2347" s="189">
        <v>3632656.889</v>
      </c>
      <c r="E2347" s="3" t="s">
        <v>10</v>
      </c>
      <c r="F2347" s="189">
        <v>1715643.219</v>
      </c>
      <c r="G2347" s="3" t="s">
        <v>335</v>
      </c>
      <c r="J2347" s="105" t="str">
        <f>A2345</f>
        <v>map1_mem</v>
      </c>
      <c r="K2347" s="72" t="s">
        <v>340</v>
      </c>
      <c r="L2347" s="72" t="s">
        <v>341</v>
      </c>
      <c r="M2347" s="17" t="s">
        <v>162</v>
      </c>
      <c r="N2347" s="72" t="s">
        <v>342</v>
      </c>
      <c r="O2347" s="21" t="s">
        <v>162</v>
      </c>
    </row>
    <row r="2348" spans="1:15" x14ac:dyDescent="0.25">
      <c r="A2348" s="2" t="s">
        <v>761</v>
      </c>
      <c r="B2348" s="3" t="s">
        <v>333</v>
      </c>
      <c r="C2348" s="3">
        <v>10</v>
      </c>
      <c r="D2348" s="189">
        <v>1453144.824</v>
      </c>
      <c r="E2348" s="3" t="s">
        <v>10</v>
      </c>
      <c r="F2348" s="189">
        <v>265718.80499999999</v>
      </c>
      <c r="G2348" s="3" t="s">
        <v>335</v>
      </c>
      <c r="J2348" s="6">
        <v>100000</v>
      </c>
      <c r="K2348" s="119">
        <f>D2347</f>
        <v>3632656.889</v>
      </c>
      <c r="L2348" s="119">
        <f>D2348</f>
        <v>1453144.824</v>
      </c>
      <c r="M2348" s="18">
        <f>(K2348/L2348-1)</f>
        <v>1.499858808979937</v>
      </c>
      <c r="N2348" s="73">
        <f>D2349</f>
        <v>1997074.1510000001</v>
      </c>
      <c r="O2348" s="22">
        <f>(K2348/N2348-1)</f>
        <v>0.81898948878839084</v>
      </c>
    </row>
    <row r="2349" spans="1:15" x14ac:dyDescent="0.25">
      <c r="A2349" s="2" t="s">
        <v>762</v>
      </c>
      <c r="B2349" s="3" t="s">
        <v>333</v>
      </c>
      <c r="C2349" s="3">
        <v>10</v>
      </c>
      <c r="D2349" s="189">
        <v>1997074.1510000001</v>
      </c>
      <c r="E2349" s="3" t="s">
        <v>10</v>
      </c>
      <c r="F2349" s="189">
        <v>440007.16200000001</v>
      </c>
      <c r="G2349" s="3" t="s">
        <v>335</v>
      </c>
      <c r="J2349" s="6">
        <v>50000</v>
      </c>
      <c r="K2349" s="119">
        <f>D2350</f>
        <v>1505810.5120000001</v>
      </c>
      <c r="L2349" s="119">
        <f>D2351</f>
        <v>688083.61300000001</v>
      </c>
      <c r="M2349" s="18">
        <f t="shared" ref="M2349:M2352" si="290">(K2349/L2349-1)</f>
        <v>1.1884121108985051</v>
      </c>
      <c r="N2349" s="73">
        <f>D2352</f>
        <v>799596.85400000005</v>
      </c>
      <c r="O2349" s="22">
        <f t="shared" ref="O2349:O2352" si="291">(K2349/N2349-1)</f>
        <v>0.88321215180769075</v>
      </c>
    </row>
    <row r="2350" spans="1:15" x14ac:dyDescent="0.25">
      <c r="A2350" s="2" t="s">
        <v>763</v>
      </c>
      <c r="B2350" s="3" t="s">
        <v>333</v>
      </c>
      <c r="C2350" s="3">
        <v>10</v>
      </c>
      <c r="D2350" s="189">
        <v>1505810.5120000001</v>
      </c>
      <c r="E2350" s="3" t="s">
        <v>10</v>
      </c>
      <c r="F2350" s="189">
        <v>372704.45500000002</v>
      </c>
      <c r="G2350" s="3" t="s">
        <v>335</v>
      </c>
      <c r="J2350" s="6">
        <v>10000</v>
      </c>
      <c r="K2350" s="119">
        <f>D2353</f>
        <v>373479.36700000003</v>
      </c>
      <c r="L2350" s="119">
        <f>D2354</f>
        <v>196273.758</v>
      </c>
      <c r="M2350" s="18">
        <f t="shared" si="290"/>
        <v>0.90284921838608723</v>
      </c>
      <c r="N2350" s="73">
        <f>D2355</f>
        <v>153009.13</v>
      </c>
      <c r="O2350" s="22">
        <f t="shared" si="291"/>
        <v>1.4408959583000049</v>
      </c>
    </row>
    <row r="2351" spans="1:15" x14ac:dyDescent="0.25">
      <c r="A2351" s="2" t="s">
        <v>764</v>
      </c>
      <c r="B2351" s="3" t="s">
        <v>333</v>
      </c>
      <c r="C2351" s="3">
        <v>10</v>
      </c>
      <c r="D2351" s="189">
        <v>688083.61300000001</v>
      </c>
      <c r="E2351" s="3" t="s">
        <v>10</v>
      </c>
      <c r="F2351" s="189">
        <v>214788.416</v>
      </c>
      <c r="G2351" s="3" t="s">
        <v>335</v>
      </c>
      <c r="J2351" s="67">
        <v>1000</v>
      </c>
      <c r="K2351" s="119">
        <f>D2356</f>
        <v>104174.039</v>
      </c>
      <c r="L2351" s="119">
        <f>D2357</f>
        <v>93272.376000000004</v>
      </c>
      <c r="M2351" s="18">
        <f t="shared" si="290"/>
        <v>0.11687986805439587</v>
      </c>
      <c r="N2351" s="73">
        <f>D2358</f>
        <v>95088.25</v>
      </c>
      <c r="O2351" s="22">
        <f t="shared" si="291"/>
        <v>9.5551122246965381E-2</v>
      </c>
    </row>
    <row r="2352" spans="1:15" ht="20" thickBot="1" x14ac:dyDescent="0.3">
      <c r="A2352" s="2" t="s">
        <v>765</v>
      </c>
      <c r="B2352" s="3" t="s">
        <v>333</v>
      </c>
      <c r="C2352" s="3">
        <v>10</v>
      </c>
      <c r="D2352" s="189">
        <v>799596.85400000005</v>
      </c>
      <c r="E2352" s="3" t="s">
        <v>10</v>
      </c>
      <c r="F2352" s="189">
        <v>185952.671</v>
      </c>
      <c r="G2352" s="3" t="s">
        <v>335</v>
      </c>
      <c r="J2352" s="68">
        <v>100</v>
      </c>
      <c r="K2352" s="120">
        <f>D2359</f>
        <v>85959.812000000005</v>
      </c>
      <c r="L2352" s="120">
        <f>D2360</f>
        <v>81188.551000000007</v>
      </c>
      <c r="M2352" s="19">
        <f t="shared" si="290"/>
        <v>5.8767658016214641E-2</v>
      </c>
      <c r="N2352" s="74">
        <f>D2361</f>
        <v>86040.361999999994</v>
      </c>
      <c r="O2352" s="23">
        <f t="shared" si="291"/>
        <v>-9.3618852975063671E-4</v>
      </c>
    </row>
    <row r="2353" spans="1:15" ht="20" thickBot="1" x14ac:dyDescent="0.3">
      <c r="A2353" s="2" t="s">
        <v>766</v>
      </c>
      <c r="B2353" s="3" t="s">
        <v>333</v>
      </c>
      <c r="C2353" s="3">
        <v>10</v>
      </c>
      <c r="D2353" s="189">
        <v>373479.36700000003</v>
      </c>
      <c r="E2353" s="3" t="s">
        <v>10</v>
      </c>
      <c r="F2353" s="189">
        <v>94672.831999999995</v>
      </c>
      <c r="G2353" s="3" t="s">
        <v>335</v>
      </c>
    </row>
    <row r="2354" spans="1:15" x14ac:dyDescent="0.25">
      <c r="A2354" s="2" t="s">
        <v>767</v>
      </c>
      <c r="B2354" s="3" t="s">
        <v>333</v>
      </c>
      <c r="C2354" s="3">
        <v>10</v>
      </c>
      <c r="D2354" s="189">
        <v>196273.758</v>
      </c>
      <c r="E2354" s="3" t="s">
        <v>10</v>
      </c>
      <c r="F2354" s="189">
        <v>52938.021999999997</v>
      </c>
      <c r="G2354" s="3" t="s">
        <v>335</v>
      </c>
      <c r="J2354" s="105" t="str">
        <f>A2345</f>
        <v>map1_mem</v>
      </c>
      <c r="K2354" s="72" t="s">
        <v>341</v>
      </c>
      <c r="L2354" s="72" t="s">
        <v>342</v>
      </c>
      <c r="M2354" s="21" t="s">
        <v>162</v>
      </c>
    </row>
    <row r="2355" spans="1:15" x14ac:dyDescent="0.25">
      <c r="A2355" s="2" t="s">
        <v>768</v>
      </c>
      <c r="B2355" s="3" t="s">
        <v>333</v>
      </c>
      <c r="C2355" s="3">
        <v>10</v>
      </c>
      <c r="D2355" s="189">
        <v>153009.13</v>
      </c>
      <c r="E2355" s="3" t="s">
        <v>10</v>
      </c>
      <c r="F2355" s="189">
        <v>12427.468999999999</v>
      </c>
      <c r="G2355" s="3" t="s">
        <v>335</v>
      </c>
      <c r="J2355" s="6">
        <v>100000</v>
      </c>
      <c r="K2355" s="119">
        <f>D2348</f>
        <v>1453144.824</v>
      </c>
      <c r="L2355" s="119">
        <f>D2349</f>
        <v>1997074.1510000001</v>
      </c>
      <c r="M2355" s="22">
        <f>(K2355/L2355-1)</f>
        <v>-0.27236311016675918</v>
      </c>
    </row>
    <row r="2356" spans="1:15" x14ac:dyDescent="0.25">
      <c r="A2356" s="2" t="s">
        <v>769</v>
      </c>
      <c r="B2356" s="3" t="s">
        <v>333</v>
      </c>
      <c r="C2356" s="3">
        <v>10</v>
      </c>
      <c r="D2356" s="189">
        <v>104174.039</v>
      </c>
      <c r="E2356" s="3" t="s">
        <v>10</v>
      </c>
      <c r="F2356" s="189">
        <v>11930.601000000001</v>
      </c>
      <c r="G2356" s="3" t="s">
        <v>335</v>
      </c>
      <c r="J2356" s="6">
        <v>50000</v>
      </c>
      <c r="K2356" s="119">
        <f>D2351</f>
        <v>688083.61300000001</v>
      </c>
      <c r="L2356" s="119">
        <f>D2352</f>
        <v>799596.85400000005</v>
      </c>
      <c r="M2356" s="22">
        <f t="shared" ref="M2356:M2359" si="292">(K2356/L2356-1)</f>
        <v>-0.13946183059894834</v>
      </c>
    </row>
    <row r="2357" spans="1:15" x14ac:dyDescent="0.25">
      <c r="A2357" s="2" t="s">
        <v>770</v>
      </c>
      <c r="B2357" s="3" t="s">
        <v>333</v>
      </c>
      <c r="C2357" s="3">
        <v>10</v>
      </c>
      <c r="D2357" s="189">
        <v>93272.376000000004</v>
      </c>
      <c r="E2357" s="3" t="s">
        <v>10</v>
      </c>
      <c r="F2357" s="189">
        <v>4631.9629999999997</v>
      </c>
      <c r="G2357" s="3" t="s">
        <v>335</v>
      </c>
      <c r="J2357" s="6">
        <v>10000</v>
      </c>
      <c r="K2357" s="119">
        <f>D2354</f>
        <v>196273.758</v>
      </c>
      <c r="L2357" s="119">
        <f>D2355</f>
        <v>153009.13</v>
      </c>
      <c r="M2357" s="22">
        <f t="shared" si="292"/>
        <v>0.28275847330156045</v>
      </c>
    </row>
    <row r="2358" spans="1:15" x14ac:dyDescent="0.25">
      <c r="A2358" s="2" t="s">
        <v>771</v>
      </c>
      <c r="B2358" s="3" t="s">
        <v>333</v>
      </c>
      <c r="C2358" s="3">
        <v>10</v>
      </c>
      <c r="D2358" s="189">
        <v>95088.25</v>
      </c>
      <c r="E2358" s="3" t="s">
        <v>10</v>
      </c>
      <c r="F2358" s="189">
        <v>5459.4260000000004</v>
      </c>
      <c r="G2358" s="3" t="s">
        <v>335</v>
      </c>
      <c r="J2358" s="67">
        <v>1000</v>
      </c>
      <c r="K2358" s="119">
        <f>D2357</f>
        <v>93272.376000000004</v>
      </c>
      <c r="L2358" s="119">
        <f>D2358</f>
        <v>95088.25</v>
      </c>
      <c r="M2358" s="22">
        <f t="shared" si="292"/>
        <v>-1.9096723307033159E-2</v>
      </c>
    </row>
    <row r="2359" spans="1:15" ht="20" thickBot="1" x14ac:dyDescent="0.3">
      <c r="A2359" s="2" t="s">
        <v>772</v>
      </c>
      <c r="B2359" s="3" t="s">
        <v>333</v>
      </c>
      <c r="C2359" s="3">
        <v>10</v>
      </c>
      <c r="D2359" s="189">
        <v>85959.812000000005</v>
      </c>
      <c r="E2359" s="3" t="s">
        <v>10</v>
      </c>
      <c r="F2359" s="189">
        <v>5625.6729999999998</v>
      </c>
      <c r="G2359" s="3" t="s">
        <v>335</v>
      </c>
      <c r="J2359" s="68">
        <v>100</v>
      </c>
      <c r="K2359" s="120">
        <f>D2360</f>
        <v>81188.551000000007</v>
      </c>
      <c r="L2359" s="120">
        <f>D2361</f>
        <v>86040.361999999994</v>
      </c>
      <c r="M2359" s="23">
        <f t="shared" si="292"/>
        <v>-5.6389941734554583E-2</v>
      </c>
    </row>
    <row r="2360" spans="1:15" x14ac:dyDescent="0.25">
      <c r="A2360" s="2" t="s">
        <v>773</v>
      </c>
      <c r="B2360" s="3" t="s">
        <v>333</v>
      </c>
      <c r="C2360" s="3">
        <v>10</v>
      </c>
      <c r="D2360" s="189">
        <v>81188.551000000007</v>
      </c>
      <c r="E2360" s="3" t="s">
        <v>10</v>
      </c>
      <c r="F2360" s="189">
        <v>2084.4169999999999</v>
      </c>
      <c r="G2360" s="3" t="s">
        <v>335</v>
      </c>
    </row>
    <row r="2361" spans="1:15" x14ac:dyDescent="0.25">
      <c r="A2361" s="2" t="s">
        <v>774</v>
      </c>
      <c r="B2361" s="3" t="s">
        <v>333</v>
      </c>
      <c r="C2361" s="3">
        <v>10</v>
      </c>
      <c r="D2361" s="189">
        <v>86040.361999999994</v>
      </c>
      <c r="E2361" s="3" t="s">
        <v>10</v>
      </c>
      <c r="F2361" s="189">
        <v>8261.5570000000007</v>
      </c>
      <c r="G2361" s="3" t="s">
        <v>335</v>
      </c>
    </row>
    <row r="2362" spans="1:15" x14ac:dyDescent="0.25">
      <c r="E2362" s="4"/>
    </row>
    <row r="2363" spans="1:15" x14ac:dyDescent="0.25">
      <c r="A2363" s="3" t="s">
        <v>1088</v>
      </c>
      <c r="B2363" s="2"/>
      <c r="E2363" s="4"/>
    </row>
    <row r="2364" spans="1:15" ht="20" thickBot="1" x14ac:dyDescent="0.3">
      <c r="A2364" s="3" t="s">
        <v>2</v>
      </c>
      <c r="B2364" s="2" t="s">
        <v>3</v>
      </c>
      <c r="C2364" s="3" t="s">
        <v>4</v>
      </c>
      <c r="D2364" s="189" t="s">
        <v>5</v>
      </c>
      <c r="E2364" s="4" t="s">
        <v>6</v>
      </c>
      <c r="F2364" s="189" t="s">
        <v>7</v>
      </c>
    </row>
    <row r="2365" spans="1:15" x14ac:dyDescent="0.25">
      <c r="A2365" s="2" t="s">
        <v>725</v>
      </c>
      <c r="B2365" s="3" t="s">
        <v>333</v>
      </c>
      <c r="C2365" s="3">
        <v>10</v>
      </c>
      <c r="D2365" s="189">
        <v>426429.65500000003</v>
      </c>
      <c r="E2365" s="3" t="s">
        <v>10</v>
      </c>
      <c r="F2365" s="189">
        <v>93209.18</v>
      </c>
      <c r="G2365" s="3" t="s">
        <v>335</v>
      </c>
      <c r="J2365" s="105" t="str">
        <f>A2363</f>
        <v>filter2_10_mem</v>
      </c>
      <c r="K2365" s="72" t="s">
        <v>340</v>
      </c>
      <c r="L2365" s="72" t="s">
        <v>341</v>
      </c>
      <c r="M2365" s="17" t="s">
        <v>162</v>
      </c>
      <c r="N2365" s="72" t="s">
        <v>342</v>
      </c>
      <c r="O2365" s="21" t="s">
        <v>162</v>
      </c>
    </row>
    <row r="2366" spans="1:15" x14ac:dyDescent="0.25">
      <c r="A2366" s="2" t="s">
        <v>726</v>
      </c>
      <c r="B2366" s="3" t="s">
        <v>333</v>
      </c>
      <c r="C2366" s="3">
        <v>10</v>
      </c>
      <c r="D2366" s="189">
        <v>283609.56</v>
      </c>
      <c r="E2366" s="3" t="s">
        <v>10</v>
      </c>
      <c r="F2366" s="189">
        <v>31143.851999999999</v>
      </c>
      <c r="G2366" s="3" t="s">
        <v>335</v>
      </c>
      <c r="J2366" s="6">
        <v>100000</v>
      </c>
      <c r="K2366" s="119">
        <f>D2365</f>
        <v>426429.65500000003</v>
      </c>
      <c r="L2366" s="119">
        <f>D2366</f>
        <v>283609.56</v>
      </c>
      <c r="M2366" s="18">
        <f>(K2366/L2366-1)</f>
        <v>0.5035799745255416</v>
      </c>
      <c r="N2366" s="73">
        <f>D2367</f>
        <v>373975.73599999998</v>
      </c>
      <c r="O2366" s="22">
        <f>(K2366/N2366-1)</f>
        <v>0.14026021998389782</v>
      </c>
    </row>
    <row r="2367" spans="1:15" x14ac:dyDescent="0.25">
      <c r="A2367" s="2" t="s">
        <v>727</v>
      </c>
      <c r="B2367" s="3" t="s">
        <v>333</v>
      </c>
      <c r="C2367" s="3">
        <v>10</v>
      </c>
      <c r="D2367" s="189">
        <v>373975.73599999998</v>
      </c>
      <c r="E2367" s="3" t="s">
        <v>10</v>
      </c>
      <c r="F2367" s="189">
        <v>31180.815999999999</v>
      </c>
      <c r="G2367" s="3" t="s">
        <v>335</v>
      </c>
      <c r="J2367" s="6">
        <v>50000</v>
      </c>
      <c r="K2367" s="119">
        <f>D2368</f>
        <v>221455.54800000001</v>
      </c>
      <c r="L2367" s="119">
        <f>D2369</f>
        <v>155516.234</v>
      </c>
      <c r="M2367" s="18">
        <f t="shared" ref="M2367:M2370" si="293">(K2367/L2367-1)</f>
        <v>0.42400277002592546</v>
      </c>
      <c r="N2367" s="73">
        <f>D2370</f>
        <v>208371.72700000001</v>
      </c>
      <c r="O2367" s="22">
        <f t="shared" ref="O2367:O2370" si="294">(K2367/N2367-1)</f>
        <v>6.2790769114276168E-2</v>
      </c>
    </row>
    <row r="2368" spans="1:15" x14ac:dyDescent="0.25">
      <c r="A2368" s="2" t="s">
        <v>728</v>
      </c>
      <c r="B2368" s="3" t="s">
        <v>333</v>
      </c>
      <c r="C2368" s="3">
        <v>10</v>
      </c>
      <c r="D2368" s="189">
        <v>221455.54800000001</v>
      </c>
      <c r="E2368" s="3" t="s">
        <v>10</v>
      </c>
      <c r="F2368" s="189">
        <v>15272.897999999999</v>
      </c>
      <c r="G2368" s="3" t="s">
        <v>335</v>
      </c>
      <c r="J2368" s="6">
        <v>10000</v>
      </c>
      <c r="K2368" s="119">
        <f>D2371</f>
        <v>120945.476</v>
      </c>
      <c r="L2368" s="119">
        <f>D2372</f>
        <v>93088.595000000001</v>
      </c>
      <c r="M2368" s="18">
        <f t="shared" si="293"/>
        <v>0.29925127777468319</v>
      </c>
      <c r="N2368" s="73">
        <f>D2373</f>
        <v>331721.14299999998</v>
      </c>
      <c r="O2368" s="22">
        <f t="shared" si="294"/>
        <v>-0.63540015898232927</v>
      </c>
    </row>
    <row r="2369" spans="1:15" x14ac:dyDescent="0.25">
      <c r="A2369" s="2" t="s">
        <v>729</v>
      </c>
      <c r="B2369" s="3" t="s">
        <v>333</v>
      </c>
      <c r="C2369" s="3">
        <v>10</v>
      </c>
      <c r="D2369" s="189">
        <v>155516.234</v>
      </c>
      <c r="E2369" s="3" t="s">
        <v>10</v>
      </c>
      <c r="F2369" s="189">
        <v>6099.8620000000001</v>
      </c>
      <c r="G2369" s="3" t="s">
        <v>335</v>
      </c>
      <c r="J2369" s="67">
        <v>1000</v>
      </c>
      <c r="K2369" s="119">
        <f>D2374</f>
        <v>87910.664999999994</v>
      </c>
      <c r="L2369" s="119">
        <f>D2375</f>
        <v>82561.448999999993</v>
      </c>
      <c r="M2369" s="18">
        <f t="shared" si="293"/>
        <v>6.4790723331418221E-2</v>
      </c>
      <c r="N2369" s="73">
        <f>D2376</f>
        <v>97181.362999999998</v>
      </c>
      <c r="O2369" s="22">
        <f t="shared" si="294"/>
        <v>-9.5395842513548601E-2</v>
      </c>
    </row>
    <row r="2370" spans="1:15" ht="20" thickBot="1" x14ac:dyDescent="0.3">
      <c r="A2370" s="2" t="s">
        <v>730</v>
      </c>
      <c r="B2370" s="3" t="s">
        <v>333</v>
      </c>
      <c r="C2370" s="3">
        <v>10</v>
      </c>
      <c r="D2370" s="189">
        <v>208371.72700000001</v>
      </c>
      <c r="E2370" s="3" t="s">
        <v>10</v>
      </c>
      <c r="F2370" s="189">
        <v>3059.6610000000001</v>
      </c>
      <c r="G2370" s="3" t="s">
        <v>335</v>
      </c>
      <c r="J2370" s="68">
        <v>100</v>
      </c>
      <c r="K2370" s="120">
        <f>D2377</f>
        <v>81765.475999999995</v>
      </c>
      <c r="L2370" s="120">
        <f>D2378</f>
        <v>80531.603000000003</v>
      </c>
      <c r="M2370" s="19">
        <f t="shared" si="293"/>
        <v>1.532159989414339E-2</v>
      </c>
      <c r="N2370" s="74">
        <f>D2379</f>
        <v>85560.716</v>
      </c>
      <c r="O2370" s="23">
        <f t="shared" si="294"/>
        <v>-4.4357272559523708E-2</v>
      </c>
    </row>
    <row r="2371" spans="1:15" ht="20" thickBot="1" x14ac:dyDescent="0.3">
      <c r="A2371" s="2" t="s">
        <v>731</v>
      </c>
      <c r="B2371" s="3" t="s">
        <v>333</v>
      </c>
      <c r="C2371" s="3">
        <v>10</v>
      </c>
      <c r="D2371" s="189">
        <v>120945.476</v>
      </c>
      <c r="E2371" s="3" t="s">
        <v>10</v>
      </c>
      <c r="F2371" s="189">
        <v>24335.652999999998</v>
      </c>
      <c r="G2371" s="3" t="s">
        <v>335</v>
      </c>
    </row>
    <row r="2372" spans="1:15" x14ac:dyDescent="0.25">
      <c r="A2372" s="2" t="s">
        <v>732</v>
      </c>
      <c r="B2372" s="3" t="s">
        <v>333</v>
      </c>
      <c r="C2372" s="3">
        <v>10</v>
      </c>
      <c r="D2372" s="189">
        <v>93088.595000000001</v>
      </c>
      <c r="E2372" s="3" t="s">
        <v>10</v>
      </c>
      <c r="F2372" s="189">
        <v>769.971</v>
      </c>
      <c r="G2372" s="3" t="s">
        <v>335</v>
      </c>
      <c r="J2372" s="105" t="str">
        <f>A2363</f>
        <v>filter2_10_mem</v>
      </c>
      <c r="K2372" s="72" t="s">
        <v>341</v>
      </c>
      <c r="L2372" s="72" t="s">
        <v>342</v>
      </c>
      <c r="M2372" s="21" t="s">
        <v>162</v>
      </c>
    </row>
    <row r="2373" spans="1:15" x14ac:dyDescent="0.25">
      <c r="A2373" s="2" t="s">
        <v>733</v>
      </c>
      <c r="B2373" s="3" t="s">
        <v>333</v>
      </c>
      <c r="C2373" s="3">
        <v>10</v>
      </c>
      <c r="D2373" s="189">
        <v>331721.14299999998</v>
      </c>
      <c r="E2373" s="3" t="s">
        <v>10</v>
      </c>
      <c r="F2373" s="189">
        <v>43814.815000000002</v>
      </c>
      <c r="G2373" s="3" t="s">
        <v>335</v>
      </c>
      <c r="J2373" s="6">
        <v>100000</v>
      </c>
      <c r="K2373" s="119">
        <f>D2366</f>
        <v>283609.56</v>
      </c>
      <c r="L2373" s="119">
        <f>D2367</f>
        <v>373975.73599999998</v>
      </c>
      <c r="M2373" s="22">
        <f>(K2373/L2373-1)</f>
        <v>-0.24163646809428296</v>
      </c>
    </row>
    <row r="2374" spans="1:15" x14ac:dyDescent="0.25">
      <c r="A2374" s="2" t="s">
        <v>734</v>
      </c>
      <c r="B2374" s="3" t="s">
        <v>333</v>
      </c>
      <c r="C2374" s="3">
        <v>10</v>
      </c>
      <c r="D2374" s="189">
        <v>87910.664999999994</v>
      </c>
      <c r="E2374" s="3" t="s">
        <v>10</v>
      </c>
      <c r="F2374" s="189">
        <v>4467.8549999999996</v>
      </c>
      <c r="G2374" s="3" t="s">
        <v>335</v>
      </c>
      <c r="J2374" s="6">
        <v>50000</v>
      </c>
      <c r="K2374" s="119">
        <f>D2369</f>
        <v>155516.234</v>
      </c>
      <c r="L2374" s="119">
        <f>D2370</f>
        <v>208371.72700000001</v>
      </c>
      <c r="M2374" s="22">
        <f t="shared" ref="M2374:M2377" si="295">(K2374/L2374-1)</f>
        <v>-0.25365961957017336</v>
      </c>
    </row>
    <row r="2375" spans="1:15" x14ac:dyDescent="0.25">
      <c r="A2375" s="2" t="s">
        <v>735</v>
      </c>
      <c r="B2375" s="3" t="s">
        <v>333</v>
      </c>
      <c r="C2375" s="3">
        <v>10</v>
      </c>
      <c r="D2375" s="189">
        <v>82561.448999999993</v>
      </c>
      <c r="E2375" s="3" t="s">
        <v>10</v>
      </c>
      <c r="F2375" s="189">
        <v>1501.556</v>
      </c>
      <c r="G2375" s="3" t="s">
        <v>335</v>
      </c>
      <c r="J2375" s="6">
        <v>10000</v>
      </c>
      <c r="K2375" s="119">
        <f>D2372</f>
        <v>93088.595000000001</v>
      </c>
      <c r="L2375" s="119">
        <f>D2373</f>
        <v>331721.14299999998</v>
      </c>
      <c r="M2375" s="22">
        <f t="shared" si="295"/>
        <v>-0.7193769617512743</v>
      </c>
    </row>
    <row r="2376" spans="1:15" x14ac:dyDescent="0.25">
      <c r="A2376" s="2" t="s">
        <v>736</v>
      </c>
      <c r="B2376" s="3" t="s">
        <v>333</v>
      </c>
      <c r="C2376" s="3">
        <v>10</v>
      </c>
      <c r="D2376" s="189">
        <v>97181.362999999998</v>
      </c>
      <c r="E2376" s="3" t="s">
        <v>10</v>
      </c>
      <c r="F2376" s="189">
        <v>4433.134</v>
      </c>
      <c r="G2376" s="3" t="s">
        <v>335</v>
      </c>
      <c r="J2376" s="67">
        <v>1000</v>
      </c>
      <c r="K2376" s="119">
        <f>D2375</f>
        <v>82561.448999999993</v>
      </c>
      <c r="L2376" s="119">
        <f>D2376</f>
        <v>97181.362999999998</v>
      </c>
      <c r="M2376" s="22">
        <f t="shared" si="295"/>
        <v>-0.15043948292842946</v>
      </c>
    </row>
    <row r="2377" spans="1:15" ht="20" thickBot="1" x14ac:dyDescent="0.3">
      <c r="A2377" s="2" t="s">
        <v>737</v>
      </c>
      <c r="B2377" s="3" t="s">
        <v>333</v>
      </c>
      <c r="C2377" s="3">
        <v>10</v>
      </c>
      <c r="D2377" s="189">
        <v>81765.475999999995</v>
      </c>
      <c r="E2377" s="3" t="s">
        <v>10</v>
      </c>
      <c r="F2377" s="189">
        <v>1466.64</v>
      </c>
      <c r="G2377" s="3" t="s">
        <v>335</v>
      </c>
      <c r="J2377" s="68">
        <v>100</v>
      </c>
      <c r="K2377" s="120">
        <f>D2378</f>
        <v>80531.603000000003</v>
      </c>
      <c r="L2377" s="120">
        <f>D2379</f>
        <v>85560.716</v>
      </c>
      <c r="M2377" s="23">
        <f t="shared" si="295"/>
        <v>-5.8778294936194797E-2</v>
      </c>
    </row>
    <row r="2378" spans="1:15" x14ac:dyDescent="0.25">
      <c r="A2378" s="2" t="s">
        <v>738</v>
      </c>
      <c r="B2378" s="3" t="s">
        <v>333</v>
      </c>
      <c r="C2378" s="3">
        <v>10</v>
      </c>
      <c r="D2378" s="189">
        <v>80531.603000000003</v>
      </c>
      <c r="E2378" s="3" t="s">
        <v>10</v>
      </c>
      <c r="F2378" s="189">
        <v>2983.4549999999999</v>
      </c>
      <c r="G2378" s="3" t="s">
        <v>335</v>
      </c>
    </row>
    <row r="2379" spans="1:15" x14ac:dyDescent="0.25">
      <c r="A2379" s="2" t="s">
        <v>739</v>
      </c>
      <c r="B2379" s="3" t="s">
        <v>333</v>
      </c>
      <c r="C2379" s="3">
        <v>10</v>
      </c>
      <c r="D2379" s="189">
        <v>85560.716</v>
      </c>
      <c r="E2379" s="3" t="s">
        <v>10</v>
      </c>
      <c r="F2379" s="189">
        <v>2655.4830000000002</v>
      </c>
      <c r="G2379" s="3" t="s">
        <v>335</v>
      </c>
    </row>
    <row r="2380" spans="1:15" x14ac:dyDescent="0.25">
      <c r="E2380" s="4"/>
    </row>
    <row r="2381" spans="1:15" x14ac:dyDescent="0.25">
      <c r="A2381" s="3" t="s">
        <v>1089</v>
      </c>
      <c r="B2381" s="2"/>
      <c r="E2381" s="4"/>
    </row>
    <row r="2382" spans="1:15" ht="20" thickBot="1" x14ac:dyDescent="0.3">
      <c r="A2382" s="3" t="s">
        <v>2</v>
      </c>
      <c r="B2382" s="2" t="s">
        <v>3</v>
      </c>
      <c r="C2382" s="3" t="s">
        <v>4</v>
      </c>
      <c r="D2382" s="189" t="s">
        <v>5</v>
      </c>
      <c r="E2382" s="4" t="s">
        <v>6</v>
      </c>
      <c r="F2382" s="189" t="s">
        <v>7</v>
      </c>
    </row>
    <row r="2383" spans="1:15" x14ac:dyDescent="0.25">
      <c r="A2383" s="2" t="s">
        <v>741</v>
      </c>
      <c r="B2383" s="3" t="s">
        <v>333</v>
      </c>
      <c r="C2383" s="3">
        <v>10</v>
      </c>
      <c r="D2383" s="189">
        <v>2671370.017</v>
      </c>
      <c r="E2383" s="3" t="s">
        <v>10</v>
      </c>
      <c r="F2383" s="189">
        <v>313359.98</v>
      </c>
      <c r="G2383" s="3" t="s">
        <v>335</v>
      </c>
      <c r="J2383" s="105" t="str">
        <f>A2381</f>
        <v>filter2_90_mem</v>
      </c>
      <c r="K2383" s="72" t="s">
        <v>340</v>
      </c>
      <c r="L2383" s="72" t="s">
        <v>341</v>
      </c>
      <c r="M2383" s="17" t="s">
        <v>162</v>
      </c>
      <c r="N2383" s="72" t="s">
        <v>342</v>
      </c>
      <c r="O2383" s="21" t="s">
        <v>162</v>
      </c>
    </row>
    <row r="2384" spans="1:15" x14ac:dyDescent="0.25">
      <c r="A2384" s="2" t="s">
        <v>742</v>
      </c>
      <c r="B2384" s="3" t="s">
        <v>333</v>
      </c>
      <c r="C2384" s="3">
        <v>10</v>
      </c>
      <c r="D2384" s="189">
        <v>506263.43</v>
      </c>
      <c r="E2384" s="3" t="s">
        <v>10</v>
      </c>
      <c r="F2384" s="189">
        <v>38691.82</v>
      </c>
      <c r="G2384" s="3" t="s">
        <v>335</v>
      </c>
      <c r="J2384" s="6">
        <v>100000</v>
      </c>
      <c r="K2384" s="119">
        <f>D2383</f>
        <v>2671370.017</v>
      </c>
      <c r="L2384" s="119">
        <f>D2384</f>
        <v>506263.43</v>
      </c>
      <c r="M2384" s="18">
        <f>(K2384/L2384-1)</f>
        <v>4.2766402996953579</v>
      </c>
      <c r="N2384" s="73">
        <f>D2385</f>
        <v>588786.56000000006</v>
      </c>
      <c r="O2384" s="22">
        <f>(K2384/N2384-1)</f>
        <v>3.537077098023433</v>
      </c>
    </row>
    <row r="2385" spans="1:15" x14ac:dyDescent="0.25">
      <c r="A2385" s="2" t="s">
        <v>743</v>
      </c>
      <c r="B2385" s="3" t="s">
        <v>333</v>
      </c>
      <c r="C2385" s="3">
        <v>10</v>
      </c>
      <c r="D2385" s="189">
        <v>588786.56000000006</v>
      </c>
      <c r="E2385" s="3" t="s">
        <v>10</v>
      </c>
      <c r="F2385" s="189">
        <v>20224.474999999999</v>
      </c>
      <c r="G2385" s="3" t="s">
        <v>335</v>
      </c>
      <c r="J2385" s="6">
        <v>50000</v>
      </c>
      <c r="K2385" s="119">
        <f>D2386</f>
        <v>1001916.806</v>
      </c>
      <c r="L2385" s="119">
        <f>D2387</f>
        <v>295057.21000000002</v>
      </c>
      <c r="M2385" s="18">
        <f t="shared" ref="M2385:M2388" si="296">(K2385/L2385-1)</f>
        <v>2.3956696262396027</v>
      </c>
      <c r="N2385" s="73">
        <f>D2388</f>
        <v>326562.891</v>
      </c>
      <c r="O2385" s="22">
        <f t="shared" ref="O2385:O2388" si="297">(K2385/N2385-1)</f>
        <v>2.0680669286456066</v>
      </c>
    </row>
    <row r="2386" spans="1:15" x14ac:dyDescent="0.25">
      <c r="A2386" s="2" t="s">
        <v>744</v>
      </c>
      <c r="B2386" s="3" t="s">
        <v>333</v>
      </c>
      <c r="C2386" s="3">
        <v>10</v>
      </c>
      <c r="D2386" s="189">
        <v>1001916.806</v>
      </c>
      <c r="E2386" s="3" t="s">
        <v>10</v>
      </c>
      <c r="F2386" s="189">
        <v>133930.929</v>
      </c>
      <c r="G2386" s="3" t="s">
        <v>335</v>
      </c>
      <c r="J2386" s="6">
        <v>10000</v>
      </c>
      <c r="K2386" s="119">
        <f>D2389</f>
        <v>262909.63400000002</v>
      </c>
      <c r="L2386" s="119">
        <f>D2390</f>
        <v>119608.701</v>
      </c>
      <c r="M2386" s="18">
        <f t="shared" si="296"/>
        <v>1.198081174713201</v>
      </c>
      <c r="N2386" s="73">
        <f>D2391</f>
        <v>233833.481</v>
      </c>
      <c r="O2386" s="22">
        <f t="shared" si="297"/>
        <v>0.12434555084094234</v>
      </c>
    </row>
    <row r="2387" spans="1:15" x14ac:dyDescent="0.25">
      <c r="A2387" s="2" t="s">
        <v>745</v>
      </c>
      <c r="B2387" s="3" t="s">
        <v>333</v>
      </c>
      <c r="C2387" s="3">
        <v>10</v>
      </c>
      <c r="D2387" s="189">
        <v>295057.21000000002</v>
      </c>
      <c r="E2387" s="3" t="s">
        <v>10</v>
      </c>
      <c r="F2387" s="189">
        <v>3265.7530000000002</v>
      </c>
      <c r="G2387" s="3" t="s">
        <v>335</v>
      </c>
      <c r="J2387" s="67">
        <v>1000</v>
      </c>
      <c r="K2387" s="119">
        <f>D2392</f>
        <v>94418.19</v>
      </c>
      <c r="L2387" s="119">
        <f>D2393</f>
        <v>83976.774000000005</v>
      </c>
      <c r="M2387" s="18">
        <f t="shared" si="296"/>
        <v>0.12433695059541106</v>
      </c>
      <c r="N2387" s="73">
        <f>D2394</f>
        <v>102809.515</v>
      </c>
      <c r="O2387" s="22">
        <f t="shared" si="297"/>
        <v>-8.1620120472312263E-2</v>
      </c>
    </row>
    <row r="2388" spans="1:15" ht="20" thickBot="1" x14ac:dyDescent="0.3">
      <c r="A2388" s="2" t="s">
        <v>746</v>
      </c>
      <c r="B2388" s="3" t="s">
        <v>333</v>
      </c>
      <c r="C2388" s="3">
        <v>10</v>
      </c>
      <c r="D2388" s="189">
        <v>326562.891</v>
      </c>
      <c r="E2388" s="3" t="s">
        <v>10</v>
      </c>
      <c r="F2388" s="189">
        <v>6930.1319999999996</v>
      </c>
      <c r="G2388" s="3" t="s">
        <v>335</v>
      </c>
      <c r="J2388" s="68">
        <v>100</v>
      </c>
      <c r="K2388" s="120">
        <f>D2395</f>
        <v>85065.103000000003</v>
      </c>
      <c r="L2388" s="120">
        <f>D2396</f>
        <v>82879.293999999994</v>
      </c>
      <c r="M2388" s="19">
        <f t="shared" si="296"/>
        <v>2.6373402746408647E-2</v>
      </c>
      <c r="N2388" s="74">
        <f>D2397</f>
        <v>85514.948999999993</v>
      </c>
      <c r="O2388" s="23">
        <f t="shared" si="297"/>
        <v>-5.2604369792700334E-3</v>
      </c>
    </row>
    <row r="2389" spans="1:15" ht="20" thickBot="1" x14ac:dyDescent="0.3">
      <c r="A2389" s="2" t="s">
        <v>747</v>
      </c>
      <c r="B2389" s="3" t="s">
        <v>333</v>
      </c>
      <c r="C2389" s="3">
        <v>10</v>
      </c>
      <c r="D2389" s="189">
        <v>262909.63400000002</v>
      </c>
      <c r="E2389" s="3" t="s">
        <v>10</v>
      </c>
      <c r="F2389" s="189">
        <v>51187.32</v>
      </c>
      <c r="G2389" s="3" t="s">
        <v>335</v>
      </c>
    </row>
    <row r="2390" spans="1:15" x14ac:dyDescent="0.25">
      <c r="A2390" s="2" t="s">
        <v>748</v>
      </c>
      <c r="B2390" s="3" t="s">
        <v>333</v>
      </c>
      <c r="C2390" s="3">
        <v>10</v>
      </c>
      <c r="D2390" s="189">
        <v>119608.701</v>
      </c>
      <c r="E2390" s="3" t="s">
        <v>10</v>
      </c>
      <c r="F2390" s="189">
        <v>423.13099999999997</v>
      </c>
      <c r="G2390" s="3" t="s">
        <v>335</v>
      </c>
      <c r="J2390" s="105" t="str">
        <f>A2381</f>
        <v>filter2_90_mem</v>
      </c>
      <c r="K2390" s="72" t="s">
        <v>341</v>
      </c>
      <c r="L2390" s="72" t="s">
        <v>342</v>
      </c>
      <c r="M2390" s="21" t="s">
        <v>162</v>
      </c>
    </row>
    <row r="2391" spans="1:15" x14ac:dyDescent="0.25">
      <c r="A2391" s="2" t="s">
        <v>749</v>
      </c>
      <c r="B2391" s="3" t="s">
        <v>333</v>
      </c>
      <c r="C2391" s="3">
        <v>10</v>
      </c>
      <c r="D2391" s="189">
        <v>233833.481</v>
      </c>
      <c r="E2391" s="3" t="s">
        <v>10</v>
      </c>
      <c r="F2391" s="189">
        <v>42335.851999999999</v>
      </c>
      <c r="G2391" s="3" t="s">
        <v>335</v>
      </c>
      <c r="J2391" s="6">
        <v>100000</v>
      </c>
      <c r="K2391" s="119">
        <f>D2384</f>
        <v>506263.43</v>
      </c>
      <c r="L2391" s="119">
        <f>D2385</f>
        <v>588786.56000000006</v>
      </c>
      <c r="M2391" s="22">
        <f>(K2391/L2391-1)</f>
        <v>-0.14015797167652744</v>
      </c>
    </row>
    <row r="2392" spans="1:15" x14ac:dyDescent="0.25">
      <c r="A2392" s="2" t="s">
        <v>750</v>
      </c>
      <c r="B2392" s="3" t="s">
        <v>333</v>
      </c>
      <c r="C2392" s="3">
        <v>10</v>
      </c>
      <c r="D2392" s="189">
        <v>94418.19</v>
      </c>
      <c r="E2392" s="3" t="s">
        <v>10</v>
      </c>
      <c r="F2392" s="189">
        <v>2596.0729999999999</v>
      </c>
      <c r="G2392" s="3" t="s">
        <v>335</v>
      </c>
      <c r="J2392" s="6">
        <v>50000</v>
      </c>
      <c r="K2392" s="119">
        <f>D2387</f>
        <v>295057.21000000002</v>
      </c>
      <c r="L2392" s="119">
        <f>D2388</f>
        <v>326562.891</v>
      </c>
      <c r="M2392" s="22">
        <f t="shared" ref="M2392:M2395" si="298">(K2392/L2392-1)</f>
        <v>-9.6476610993745715E-2</v>
      </c>
    </row>
    <row r="2393" spans="1:15" x14ac:dyDescent="0.25">
      <c r="A2393" s="2" t="s">
        <v>751</v>
      </c>
      <c r="B2393" s="3" t="s">
        <v>333</v>
      </c>
      <c r="C2393" s="3">
        <v>10</v>
      </c>
      <c r="D2393" s="189">
        <v>83976.774000000005</v>
      </c>
      <c r="E2393" s="3" t="s">
        <v>10</v>
      </c>
      <c r="F2393" s="189">
        <v>836.03399999999999</v>
      </c>
      <c r="G2393" s="3" t="s">
        <v>335</v>
      </c>
      <c r="J2393" s="6">
        <v>10000</v>
      </c>
      <c r="K2393" s="119">
        <f>D2390</f>
        <v>119608.701</v>
      </c>
      <c r="L2393" s="119">
        <f>D2391</f>
        <v>233833.481</v>
      </c>
      <c r="M2393" s="22">
        <f t="shared" si="298"/>
        <v>-0.48848770292223465</v>
      </c>
    </row>
    <row r="2394" spans="1:15" x14ac:dyDescent="0.25">
      <c r="A2394" s="2" t="s">
        <v>752</v>
      </c>
      <c r="B2394" s="3" t="s">
        <v>333</v>
      </c>
      <c r="C2394" s="3">
        <v>10</v>
      </c>
      <c r="D2394" s="189">
        <v>102809.515</v>
      </c>
      <c r="E2394" s="3" t="s">
        <v>10</v>
      </c>
      <c r="F2394" s="189">
        <v>7505.8370000000004</v>
      </c>
      <c r="G2394" s="3" t="s">
        <v>335</v>
      </c>
      <c r="J2394" s="67">
        <v>1000</v>
      </c>
      <c r="K2394" s="119">
        <f>D2393</f>
        <v>83976.774000000005</v>
      </c>
      <c r="L2394" s="119">
        <f>D2394</f>
        <v>102809.515</v>
      </c>
      <c r="M2394" s="22">
        <f t="shared" si="298"/>
        <v>-0.18318091472370035</v>
      </c>
    </row>
    <row r="2395" spans="1:15" ht="20" thickBot="1" x14ac:dyDescent="0.3">
      <c r="A2395" s="2" t="s">
        <v>753</v>
      </c>
      <c r="B2395" s="3" t="s">
        <v>333</v>
      </c>
      <c r="C2395" s="3">
        <v>10</v>
      </c>
      <c r="D2395" s="189">
        <v>85065.103000000003</v>
      </c>
      <c r="E2395" s="3" t="s">
        <v>10</v>
      </c>
      <c r="F2395" s="189">
        <v>3421.0430000000001</v>
      </c>
      <c r="G2395" s="3" t="s">
        <v>335</v>
      </c>
      <c r="J2395" s="68">
        <v>100</v>
      </c>
      <c r="K2395" s="120">
        <f>D2396</f>
        <v>82879.293999999994</v>
      </c>
      <c r="L2395" s="120">
        <f>D2397</f>
        <v>85514.948999999993</v>
      </c>
      <c r="M2395" s="23">
        <f t="shared" si="298"/>
        <v>-3.0820985463021144E-2</v>
      </c>
    </row>
    <row r="2396" spans="1:15" x14ac:dyDescent="0.25">
      <c r="A2396" s="2" t="s">
        <v>754</v>
      </c>
      <c r="B2396" s="3" t="s">
        <v>333</v>
      </c>
      <c r="C2396" s="3">
        <v>10</v>
      </c>
      <c r="D2396" s="189">
        <v>82879.293999999994</v>
      </c>
      <c r="E2396" s="3" t="s">
        <v>10</v>
      </c>
      <c r="F2396" s="189">
        <v>1870.7260000000001</v>
      </c>
      <c r="G2396" s="3" t="s">
        <v>335</v>
      </c>
    </row>
    <row r="2397" spans="1:15" x14ac:dyDescent="0.25">
      <c r="A2397" s="2" t="s">
        <v>755</v>
      </c>
      <c r="B2397" s="3" t="s">
        <v>333</v>
      </c>
      <c r="C2397" s="3">
        <v>10</v>
      </c>
      <c r="D2397" s="189">
        <v>85514.948999999993</v>
      </c>
      <c r="E2397" s="3" t="s">
        <v>10</v>
      </c>
      <c r="F2397" s="189">
        <v>1998.644</v>
      </c>
      <c r="G2397" s="3" t="s">
        <v>335</v>
      </c>
    </row>
    <row r="2398" spans="1:15" x14ac:dyDescent="0.25">
      <c r="A2398" s="2"/>
    </row>
    <row r="2399" spans="1:15" x14ac:dyDescent="0.25">
      <c r="A2399" s="2" t="s">
        <v>1090</v>
      </c>
    </row>
    <row r="2400" spans="1:15" ht="20" thickBot="1" x14ac:dyDescent="0.3">
      <c r="A2400" s="2" t="s">
        <v>2</v>
      </c>
      <c r="B2400" s="3" t="s">
        <v>3</v>
      </c>
      <c r="C2400" s="3" t="s">
        <v>4</v>
      </c>
      <c r="D2400" s="189" t="s">
        <v>5</v>
      </c>
      <c r="E2400" s="3" t="s">
        <v>6</v>
      </c>
      <c r="F2400" s="189" t="s">
        <v>7</v>
      </c>
    </row>
    <row r="2401" spans="1:17" x14ac:dyDescent="0.25">
      <c r="A2401" s="2" t="s">
        <v>861</v>
      </c>
      <c r="B2401" s="3" t="s">
        <v>333</v>
      </c>
      <c r="C2401" s="3">
        <v>10</v>
      </c>
      <c r="D2401" s="189">
        <v>475500756.63999999</v>
      </c>
      <c r="E2401" s="3" t="s">
        <v>10</v>
      </c>
      <c r="F2401" s="189">
        <v>37477704.199000001</v>
      </c>
      <c r="G2401" s="3" t="s">
        <v>335</v>
      </c>
      <c r="J2401" s="106" t="str">
        <f>A2399</f>
        <v>flatten2_mem</v>
      </c>
      <c r="K2401" s="72" t="s">
        <v>344</v>
      </c>
      <c r="L2401" s="72" t="s">
        <v>341</v>
      </c>
      <c r="M2401" s="17" t="s">
        <v>162</v>
      </c>
      <c r="N2401" s="72" t="s">
        <v>343</v>
      </c>
      <c r="O2401" s="17" t="s">
        <v>162</v>
      </c>
      <c r="P2401" s="72" t="s">
        <v>342</v>
      </c>
      <c r="Q2401" s="21" t="s">
        <v>162</v>
      </c>
    </row>
    <row r="2402" spans="1:17" x14ac:dyDescent="0.25">
      <c r="A2402" s="2" t="s">
        <v>862</v>
      </c>
      <c r="B2402" s="3" t="s">
        <v>333</v>
      </c>
      <c r="C2402" s="3">
        <v>10</v>
      </c>
      <c r="D2402" s="189">
        <v>8996090.6870000008</v>
      </c>
      <c r="E2402" s="3" t="s">
        <v>10</v>
      </c>
      <c r="F2402" s="189">
        <v>212510.842</v>
      </c>
      <c r="G2402" s="3" t="s">
        <v>335</v>
      </c>
      <c r="J2402" s="6">
        <v>100000</v>
      </c>
      <c r="K2402" s="119">
        <f>D2401</f>
        <v>475500756.63999999</v>
      </c>
      <c r="L2402" s="119">
        <f>D2402</f>
        <v>8996090.6870000008</v>
      </c>
      <c r="M2402" s="18">
        <f>(K2402/L2402-1)</f>
        <v>51.856376528877462</v>
      </c>
      <c r="N2402" s="73">
        <f>D2403</f>
        <v>6072273.3930000002</v>
      </c>
      <c r="O2402" s="18">
        <f>(K2402/N2402-1)</f>
        <v>77.306875508627144</v>
      </c>
      <c r="P2402" s="73">
        <f>D2404</f>
        <v>666806147.95200002</v>
      </c>
      <c r="Q2402" s="22">
        <f>(K2402/P2402-1)</f>
        <v>-0.28689806160241216</v>
      </c>
    </row>
    <row r="2403" spans="1:17" x14ac:dyDescent="0.25">
      <c r="A2403" s="2" t="s">
        <v>863</v>
      </c>
      <c r="B2403" s="3" t="s">
        <v>333</v>
      </c>
      <c r="C2403" s="3">
        <v>10</v>
      </c>
      <c r="D2403" s="189">
        <v>6072273.3930000002</v>
      </c>
      <c r="E2403" s="3" t="s">
        <v>10</v>
      </c>
      <c r="F2403" s="189">
        <v>844021.58700000006</v>
      </c>
      <c r="G2403" s="3" t="s">
        <v>335</v>
      </c>
      <c r="J2403" s="6">
        <v>50000</v>
      </c>
      <c r="K2403" s="119">
        <f>D2405</f>
        <v>161739658.53099999</v>
      </c>
      <c r="L2403" s="119">
        <f>D2406</f>
        <v>3720342.4569999999</v>
      </c>
      <c r="M2403" s="18">
        <f t="shared" ref="M2403:M2406" si="299">(K2403/L2403-1)</f>
        <v>42.474400650047464</v>
      </c>
      <c r="N2403" s="73">
        <f>D2407</f>
        <v>2373276.4670000002</v>
      </c>
      <c r="O2403" s="18">
        <f t="shared" ref="O2403:O2406" si="300">(K2403/N2403-1)</f>
        <v>67.150365446235213</v>
      </c>
      <c r="P2403" s="73">
        <f>D2408</f>
        <v>142044831.15799999</v>
      </c>
      <c r="Q2403" s="22">
        <f t="shared" ref="Q2403:Q2406" si="301">(K2403/P2403-1)</f>
        <v>0.13865219320154609</v>
      </c>
    </row>
    <row r="2404" spans="1:17" x14ac:dyDescent="0.25">
      <c r="A2404" s="2" t="s">
        <v>864</v>
      </c>
      <c r="B2404" s="3" t="s">
        <v>333</v>
      </c>
      <c r="C2404" s="3">
        <v>10</v>
      </c>
      <c r="D2404" s="189">
        <v>666806147.95200002</v>
      </c>
      <c r="E2404" s="3" t="s">
        <v>10</v>
      </c>
      <c r="F2404" s="189">
        <v>90808987.843999997</v>
      </c>
      <c r="G2404" s="3" t="s">
        <v>335</v>
      </c>
      <c r="J2404" s="6">
        <v>10000</v>
      </c>
      <c r="K2404" s="119">
        <f>D2409</f>
        <v>3940682.8739999998</v>
      </c>
      <c r="L2404" s="119">
        <f>D2410</f>
        <v>744835.16899999999</v>
      </c>
      <c r="M2404" s="18">
        <f t="shared" si="299"/>
        <v>4.2906777741049442</v>
      </c>
      <c r="N2404" s="73">
        <f>D2411</f>
        <v>475526.17599999998</v>
      </c>
      <c r="O2404" s="18">
        <f t="shared" si="300"/>
        <v>7.2869946448542091</v>
      </c>
      <c r="P2404" s="73">
        <f>D2412</f>
        <v>4167481.1</v>
      </c>
      <c r="Q2404" s="22">
        <f t="shared" si="301"/>
        <v>-5.4420936905988704E-2</v>
      </c>
    </row>
    <row r="2405" spans="1:17" x14ac:dyDescent="0.25">
      <c r="A2405" s="2" t="s">
        <v>865</v>
      </c>
      <c r="B2405" s="3" t="s">
        <v>333</v>
      </c>
      <c r="C2405" s="3">
        <v>10</v>
      </c>
      <c r="D2405" s="189">
        <v>161739658.53099999</v>
      </c>
      <c r="E2405" s="3" t="s">
        <v>10</v>
      </c>
      <c r="F2405" s="189">
        <v>17009826.743999999</v>
      </c>
      <c r="G2405" s="3" t="s">
        <v>335</v>
      </c>
      <c r="J2405" s="67">
        <v>1000</v>
      </c>
      <c r="K2405" s="119">
        <f>D2413</f>
        <v>397903.42099999997</v>
      </c>
      <c r="L2405" s="119">
        <f>D2414</f>
        <v>156263.75399999999</v>
      </c>
      <c r="M2405" s="18">
        <f t="shared" si="299"/>
        <v>1.5463577497312655</v>
      </c>
      <c r="N2405" s="73">
        <f>D2415</f>
        <v>126715.16099999999</v>
      </c>
      <c r="O2405" s="18">
        <f t="shared" si="300"/>
        <v>2.1401405945418008</v>
      </c>
      <c r="P2405" s="73">
        <f>D2416</f>
        <v>557178.87800000003</v>
      </c>
      <c r="Q2405" s="22">
        <f t="shared" si="301"/>
        <v>-0.28586054369419234</v>
      </c>
    </row>
    <row r="2406" spans="1:17" ht="20" thickBot="1" x14ac:dyDescent="0.3">
      <c r="A2406" s="2" t="s">
        <v>866</v>
      </c>
      <c r="B2406" s="3" t="s">
        <v>333</v>
      </c>
      <c r="C2406" s="3">
        <v>10</v>
      </c>
      <c r="D2406" s="189">
        <v>3720342.4569999999</v>
      </c>
      <c r="E2406" s="3" t="s">
        <v>10</v>
      </c>
      <c r="F2406" s="189">
        <v>224683.019</v>
      </c>
      <c r="G2406" s="3" t="s">
        <v>335</v>
      </c>
      <c r="J2406" s="68">
        <v>100</v>
      </c>
      <c r="K2406" s="120">
        <f>D2417</f>
        <v>97146.792000000001</v>
      </c>
      <c r="L2406" s="120">
        <f>D2418</f>
        <v>91888.03</v>
      </c>
      <c r="M2406" s="19">
        <f t="shared" si="299"/>
        <v>5.7230109297152332E-2</v>
      </c>
      <c r="N2406" s="74">
        <f>D2419</f>
        <v>91062.630999999994</v>
      </c>
      <c r="O2406" s="19">
        <f t="shared" si="300"/>
        <v>6.6812927906728437E-2</v>
      </c>
      <c r="P2406" s="74">
        <f>D2420</f>
        <v>102637.48</v>
      </c>
      <c r="Q2406" s="23">
        <f t="shared" si="301"/>
        <v>-5.3495935402934625E-2</v>
      </c>
    </row>
    <row r="2407" spans="1:17" ht="20" thickBot="1" x14ac:dyDescent="0.3">
      <c r="A2407" s="2" t="s">
        <v>867</v>
      </c>
      <c r="B2407" s="3" t="s">
        <v>333</v>
      </c>
      <c r="C2407" s="3">
        <v>10</v>
      </c>
      <c r="D2407" s="189">
        <v>2373276.4670000002</v>
      </c>
      <c r="E2407" s="3" t="s">
        <v>10</v>
      </c>
      <c r="F2407" s="189">
        <v>266781.72600000002</v>
      </c>
      <c r="G2407" s="3" t="s">
        <v>335</v>
      </c>
    </row>
    <row r="2408" spans="1:17" x14ac:dyDescent="0.25">
      <c r="A2408" s="2" t="s">
        <v>868</v>
      </c>
      <c r="B2408" s="3" t="s">
        <v>333</v>
      </c>
      <c r="C2408" s="3">
        <v>10</v>
      </c>
      <c r="D2408" s="189">
        <v>142044831.15799999</v>
      </c>
      <c r="E2408" s="3" t="s">
        <v>10</v>
      </c>
      <c r="F2408" s="189">
        <v>16109683.1</v>
      </c>
      <c r="G2408" s="3" t="s">
        <v>335</v>
      </c>
      <c r="J2408" s="106" t="str">
        <f>A2399</f>
        <v>flatten2_mem</v>
      </c>
      <c r="K2408" s="72" t="s">
        <v>341</v>
      </c>
      <c r="L2408" s="72" t="s">
        <v>342</v>
      </c>
      <c r="M2408" s="17" t="s">
        <v>162</v>
      </c>
      <c r="N2408" s="72" t="s">
        <v>343</v>
      </c>
      <c r="O2408" s="21" t="s">
        <v>162</v>
      </c>
    </row>
    <row r="2409" spans="1:17" x14ac:dyDescent="0.25">
      <c r="A2409" s="2" t="s">
        <v>869</v>
      </c>
      <c r="B2409" s="3" t="s">
        <v>333</v>
      </c>
      <c r="C2409" s="3">
        <v>10</v>
      </c>
      <c r="D2409" s="189">
        <v>3940682.8739999998</v>
      </c>
      <c r="E2409" s="3" t="s">
        <v>10</v>
      </c>
      <c r="F2409" s="189">
        <v>526694.299</v>
      </c>
      <c r="G2409" s="3" t="s">
        <v>335</v>
      </c>
      <c r="J2409" s="6">
        <v>100000</v>
      </c>
      <c r="K2409" s="119">
        <f>D2402</f>
        <v>8996090.6870000008</v>
      </c>
      <c r="L2409" s="119">
        <f>D2404</f>
        <v>666806147.95200002</v>
      </c>
      <c r="M2409" s="18">
        <f>(K2409/L2409-1)</f>
        <v>-0.98650868664809077</v>
      </c>
      <c r="N2409" s="73">
        <f>D2403</f>
        <v>6072273.3930000002</v>
      </c>
      <c r="O2409" s="22">
        <f>(K2409/N2409-1)</f>
        <v>0.48150290752233271</v>
      </c>
    </row>
    <row r="2410" spans="1:17" x14ac:dyDescent="0.25">
      <c r="A2410" s="2" t="s">
        <v>870</v>
      </c>
      <c r="B2410" s="3" t="s">
        <v>333</v>
      </c>
      <c r="C2410" s="3">
        <v>10</v>
      </c>
      <c r="D2410" s="189">
        <v>744835.16899999999</v>
      </c>
      <c r="E2410" s="3" t="s">
        <v>10</v>
      </c>
      <c r="F2410" s="189">
        <v>88607.767999999996</v>
      </c>
      <c r="G2410" s="3" t="s">
        <v>335</v>
      </c>
      <c r="J2410" s="6">
        <v>50000</v>
      </c>
      <c r="K2410" s="119">
        <f>D2406</f>
        <v>3720342.4569999999</v>
      </c>
      <c r="L2410" s="119">
        <f>D2408</f>
        <v>142044831.15799999</v>
      </c>
      <c r="M2410" s="18">
        <f t="shared" ref="M2410:M2413" si="302">(K2410/L2410-1)</f>
        <v>-0.97380867415821859</v>
      </c>
      <c r="N2410" s="73">
        <f>D2407</f>
        <v>2373276.4670000002</v>
      </c>
      <c r="O2410" s="22">
        <f t="shared" ref="O2410:O2413" si="303">(K2410/N2410-1)</f>
        <v>0.56759758449161746</v>
      </c>
    </row>
    <row r="2411" spans="1:17" x14ac:dyDescent="0.25">
      <c r="A2411" s="2" t="s">
        <v>871</v>
      </c>
      <c r="B2411" s="3" t="s">
        <v>333</v>
      </c>
      <c r="C2411" s="3">
        <v>10</v>
      </c>
      <c r="D2411" s="189">
        <v>475526.17599999998</v>
      </c>
      <c r="E2411" s="3" t="s">
        <v>10</v>
      </c>
      <c r="F2411" s="189">
        <v>27983.385999999999</v>
      </c>
      <c r="G2411" s="3" t="s">
        <v>335</v>
      </c>
      <c r="J2411" s="6">
        <v>10000</v>
      </c>
      <c r="K2411" s="119">
        <f>D2410</f>
        <v>744835.16899999999</v>
      </c>
      <c r="L2411" s="119">
        <f>D2412</f>
        <v>4167481.1</v>
      </c>
      <c r="M2411" s="18">
        <f t="shared" si="302"/>
        <v>-0.82127449384233564</v>
      </c>
      <c r="N2411" s="73">
        <f>D2411</f>
        <v>475526.17599999998</v>
      </c>
      <c r="O2411" s="22">
        <f t="shared" si="303"/>
        <v>0.56633894534546081</v>
      </c>
    </row>
    <row r="2412" spans="1:17" x14ac:dyDescent="0.25">
      <c r="A2412" s="2" t="s">
        <v>872</v>
      </c>
      <c r="B2412" s="3" t="s">
        <v>333</v>
      </c>
      <c r="C2412" s="3">
        <v>10</v>
      </c>
      <c r="D2412" s="189">
        <v>4167481.1</v>
      </c>
      <c r="E2412" s="3" t="s">
        <v>10</v>
      </c>
      <c r="F2412" s="189">
        <v>387047.60499999998</v>
      </c>
      <c r="G2412" s="3" t="s">
        <v>335</v>
      </c>
      <c r="J2412" s="67">
        <v>1000</v>
      </c>
      <c r="K2412" s="119">
        <f>D2414</f>
        <v>156263.75399999999</v>
      </c>
      <c r="L2412" s="119">
        <f>D2416</f>
        <v>557178.87800000003</v>
      </c>
      <c r="M2412" s="18">
        <f t="shared" si="302"/>
        <v>-0.71954472760900323</v>
      </c>
      <c r="N2412" s="73">
        <f>D2415</f>
        <v>126715.16099999999</v>
      </c>
      <c r="O2412" s="22">
        <f t="shared" si="303"/>
        <v>0.23318908934661731</v>
      </c>
    </row>
    <row r="2413" spans="1:17" ht="20" thickBot="1" x14ac:dyDescent="0.3">
      <c r="A2413" s="2" t="s">
        <v>873</v>
      </c>
      <c r="B2413" s="3" t="s">
        <v>333</v>
      </c>
      <c r="C2413" s="3">
        <v>10</v>
      </c>
      <c r="D2413" s="189">
        <v>397903.42099999997</v>
      </c>
      <c r="E2413" s="3" t="s">
        <v>10</v>
      </c>
      <c r="F2413" s="189">
        <v>44116.582000000002</v>
      </c>
      <c r="G2413" s="3" t="s">
        <v>335</v>
      </c>
      <c r="J2413" s="68">
        <v>100</v>
      </c>
      <c r="K2413" s="120">
        <f>D2418</f>
        <v>91888.03</v>
      </c>
      <c r="L2413" s="120">
        <f>D2420</f>
        <v>102637.48</v>
      </c>
      <c r="M2413" s="19">
        <f t="shared" si="302"/>
        <v>-0.10473220893576107</v>
      </c>
      <c r="N2413" s="74">
        <f>D2419</f>
        <v>91062.630999999994</v>
      </c>
      <c r="O2413" s="23">
        <f t="shared" si="303"/>
        <v>9.0640803031487582E-3</v>
      </c>
    </row>
    <row r="2414" spans="1:17" x14ac:dyDescent="0.25">
      <c r="A2414" s="2" t="s">
        <v>874</v>
      </c>
      <c r="B2414" s="3" t="s">
        <v>333</v>
      </c>
      <c r="C2414" s="3">
        <v>10</v>
      </c>
      <c r="D2414" s="189">
        <v>156263.75399999999</v>
      </c>
      <c r="E2414" s="3" t="s">
        <v>10</v>
      </c>
      <c r="F2414" s="189">
        <v>8159.8370000000004</v>
      </c>
      <c r="G2414" s="3" t="s">
        <v>335</v>
      </c>
    </row>
    <row r="2415" spans="1:17" x14ac:dyDescent="0.25">
      <c r="A2415" s="2" t="s">
        <v>875</v>
      </c>
      <c r="B2415" s="3" t="s">
        <v>333</v>
      </c>
      <c r="C2415" s="3">
        <v>10</v>
      </c>
      <c r="D2415" s="189">
        <v>126715.16099999999</v>
      </c>
      <c r="E2415" s="3" t="s">
        <v>10</v>
      </c>
      <c r="F2415" s="189">
        <v>9029.5390000000007</v>
      </c>
      <c r="G2415" s="3" t="s">
        <v>335</v>
      </c>
    </row>
    <row r="2416" spans="1:17" x14ac:dyDescent="0.25">
      <c r="A2416" s="2" t="s">
        <v>876</v>
      </c>
      <c r="B2416" s="3" t="s">
        <v>333</v>
      </c>
      <c r="C2416" s="3">
        <v>10</v>
      </c>
      <c r="D2416" s="189">
        <v>557178.87800000003</v>
      </c>
      <c r="E2416" s="3" t="s">
        <v>10</v>
      </c>
      <c r="F2416" s="189">
        <v>30384.799999999999</v>
      </c>
      <c r="G2416" s="3" t="s">
        <v>335</v>
      </c>
    </row>
    <row r="2417" spans="1:17" x14ac:dyDescent="0.25">
      <c r="A2417" s="2" t="s">
        <v>877</v>
      </c>
      <c r="B2417" s="3" t="s">
        <v>333</v>
      </c>
      <c r="C2417" s="3">
        <v>10</v>
      </c>
      <c r="D2417" s="189">
        <v>97146.792000000001</v>
      </c>
      <c r="E2417" s="3" t="s">
        <v>10</v>
      </c>
      <c r="F2417" s="189">
        <v>5577.665</v>
      </c>
      <c r="G2417" s="3" t="s">
        <v>335</v>
      </c>
    </row>
    <row r="2418" spans="1:17" x14ac:dyDescent="0.25">
      <c r="A2418" s="2" t="s">
        <v>878</v>
      </c>
      <c r="B2418" s="3" t="s">
        <v>333</v>
      </c>
      <c r="C2418" s="3">
        <v>10</v>
      </c>
      <c r="D2418" s="189">
        <v>91888.03</v>
      </c>
      <c r="E2418" s="3" t="s">
        <v>10</v>
      </c>
      <c r="F2418" s="189">
        <v>2101.0929999999998</v>
      </c>
      <c r="G2418" s="3" t="s">
        <v>335</v>
      </c>
    </row>
    <row r="2419" spans="1:17" x14ac:dyDescent="0.25">
      <c r="A2419" s="2" t="s">
        <v>879</v>
      </c>
      <c r="B2419" s="3" t="s">
        <v>333</v>
      </c>
      <c r="C2419" s="3">
        <v>10</v>
      </c>
      <c r="D2419" s="189">
        <v>91062.630999999994</v>
      </c>
      <c r="E2419" s="3" t="s">
        <v>10</v>
      </c>
      <c r="F2419" s="189">
        <v>4143.049</v>
      </c>
      <c r="G2419" s="3" t="s">
        <v>335</v>
      </c>
    </row>
    <row r="2420" spans="1:17" x14ac:dyDescent="0.25">
      <c r="A2420" s="2" t="s">
        <v>880</v>
      </c>
      <c r="B2420" s="3" t="s">
        <v>333</v>
      </c>
      <c r="C2420" s="3">
        <v>10</v>
      </c>
      <c r="D2420" s="189">
        <v>102637.48</v>
      </c>
      <c r="E2420" s="3" t="s">
        <v>10</v>
      </c>
      <c r="F2420" s="189">
        <v>5213.866</v>
      </c>
      <c r="G2420" s="3" t="s">
        <v>335</v>
      </c>
    </row>
    <row r="2422" spans="1:17" x14ac:dyDescent="0.25">
      <c r="A2422" s="2" t="s">
        <v>1091</v>
      </c>
    </row>
    <row r="2423" spans="1:17" ht="20" thickBot="1" x14ac:dyDescent="0.3">
      <c r="A2423" s="3" t="s">
        <v>2</v>
      </c>
      <c r="B2423" s="3" t="s">
        <v>3</v>
      </c>
      <c r="C2423" s="3" t="s">
        <v>4</v>
      </c>
      <c r="D2423" s="189" t="s">
        <v>5</v>
      </c>
      <c r="E2423" s="3" t="s">
        <v>6</v>
      </c>
      <c r="F2423" s="189" t="s">
        <v>7</v>
      </c>
    </row>
    <row r="2424" spans="1:17" x14ac:dyDescent="0.25">
      <c r="A2424" s="2" t="s">
        <v>787</v>
      </c>
      <c r="B2424" s="3" t="s">
        <v>333</v>
      </c>
      <c r="C2424" s="3">
        <v>10</v>
      </c>
      <c r="D2424" s="189">
        <v>1637124.7220000001</v>
      </c>
      <c r="E2424" s="3" t="s">
        <v>10</v>
      </c>
      <c r="F2424" s="189">
        <v>243910.94200000001</v>
      </c>
      <c r="G2424" s="3" t="s">
        <v>335</v>
      </c>
      <c r="J2424" s="106" t="str">
        <f>A2422</f>
        <v>distinct2_10_mem</v>
      </c>
      <c r="K2424" s="72" t="s">
        <v>344</v>
      </c>
      <c r="L2424" s="72" t="s">
        <v>341</v>
      </c>
      <c r="M2424" s="17" t="s">
        <v>162</v>
      </c>
      <c r="N2424" s="72" t="s">
        <v>343</v>
      </c>
      <c r="O2424" s="17" t="s">
        <v>162</v>
      </c>
      <c r="P2424" s="72" t="s">
        <v>342</v>
      </c>
      <c r="Q2424" s="21" t="s">
        <v>162</v>
      </c>
    </row>
    <row r="2425" spans="1:17" x14ac:dyDescent="0.25">
      <c r="A2425" s="2" t="s">
        <v>788</v>
      </c>
      <c r="B2425" s="3" t="s">
        <v>333</v>
      </c>
      <c r="C2425" s="3">
        <v>10</v>
      </c>
      <c r="D2425" s="189">
        <v>1799363.632</v>
      </c>
      <c r="E2425" s="3" t="s">
        <v>10</v>
      </c>
      <c r="F2425" s="189">
        <v>260756.318</v>
      </c>
      <c r="G2425" s="3" t="s">
        <v>335</v>
      </c>
      <c r="J2425" s="6">
        <v>100000</v>
      </c>
      <c r="K2425" s="119">
        <f>D2424</f>
        <v>1637124.7220000001</v>
      </c>
      <c r="L2425" s="119">
        <f>D2425</f>
        <v>1799363.632</v>
      </c>
      <c r="M2425" s="18">
        <f>(K2425/L2425-1)</f>
        <v>-9.0164604371641532E-2</v>
      </c>
      <c r="N2425" s="73">
        <f>D2426</f>
        <v>1743966.6629999999</v>
      </c>
      <c r="O2425" s="18">
        <f>(K2425/N2425-1)</f>
        <v>-6.1263751920698217E-2</v>
      </c>
      <c r="P2425" s="73">
        <f>D2427</f>
        <v>1901658.4380000001</v>
      </c>
      <c r="Q2425" s="22">
        <f>(K2425/P2425-1)</f>
        <v>-0.13910685048058036</v>
      </c>
    </row>
    <row r="2426" spans="1:17" x14ac:dyDescent="0.25">
      <c r="A2426" s="2" t="s">
        <v>789</v>
      </c>
      <c r="B2426" s="3" t="s">
        <v>333</v>
      </c>
      <c r="C2426" s="3">
        <v>10</v>
      </c>
      <c r="D2426" s="189">
        <v>1743966.6629999999</v>
      </c>
      <c r="E2426" s="3" t="s">
        <v>10</v>
      </c>
      <c r="F2426" s="189">
        <v>351464.42300000001</v>
      </c>
      <c r="G2426" s="3" t="s">
        <v>335</v>
      </c>
      <c r="J2426" s="6">
        <v>50000</v>
      </c>
      <c r="K2426" s="119">
        <f>D2428</f>
        <v>843971.00100000005</v>
      </c>
      <c r="L2426" s="119">
        <f>D2429</f>
        <v>788512.049</v>
      </c>
      <c r="M2426" s="18">
        <f t="shared" ref="M2426:M2429" si="304">(K2426/L2426-1)</f>
        <v>7.0333677298062502E-2</v>
      </c>
      <c r="N2426" s="73">
        <f>D2430</f>
        <v>834785.08600000001</v>
      </c>
      <c r="O2426" s="18">
        <f t="shared" ref="O2426:O2429" si="305">(K2426/N2426-1)</f>
        <v>1.1003928021780629E-2</v>
      </c>
      <c r="P2426" s="73">
        <f>D2431</f>
        <v>887025.46799999999</v>
      </c>
      <c r="Q2426" s="22">
        <f t="shared" ref="Q2426:Q2429" si="306">(K2426/P2426-1)</f>
        <v>-4.8538027997184763E-2</v>
      </c>
    </row>
    <row r="2427" spans="1:17" x14ac:dyDescent="0.25">
      <c r="A2427" s="2" t="s">
        <v>790</v>
      </c>
      <c r="B2427" s="3" t="s">
        <v>333</v>
      </c>
      <c r="C2427" s="3">
        <v>10</v>
      </c>
      <c r="D2427" s="189">
        <v>1901658.4380000001</v>
      </c>
      <c r="E2427" s="3" t="s">
        <v>10</v>
      </c>
      <c r="F2427" s="189">
        <v>181840.91</v>
      </c>
      <c r="G2427" s="3" t="s">
        <v>335</v>
      </c>
      <c r="J2427" s="6">
        <v>10000</v>
      </c>
      <c r="K2427" s="119">
        <f>D2432</f>
        <v>201800.226</v>
      </c>
      <c r="L2427" s="119">
        <f>D2433</f>
        <v>231390.033</v>
      </c>
      <c r="M2427" s="18">
        <f t="shared" si="304"/>
        <v>-0.12787848558714709</v>
      </c>
      <c r="N2427" s="73">
        <f>D2434</f>
        <v>195520.924</v>
      </c>
      <c r="O2427" s="18">
        <f t="shared" si="305"/>
        <v>3.2115754526610196E-2</v>
      </c>
      <c r="P2427" s="73">
        <f>D2435</f>
        <v>224564.30300000001</v>
      </c>
      <c r="Q2427" s="22">
        <f t="shared" si="306"/>
        <v>-0.10136997152214355</v>
      </c>
    </row>
    <row r="2428" spans="1:17" x14ac:dyDescent="0.25">
      <c r="A2428" s="2" t="s">
        <v>791</v>
      </c>
      <c r="B2428" s="3" t="s">
        <v>333</v>
      </c>
      <c r="C2428" s="3">
        <v>10</v>
      </c>
      <c r="D2428" s="189">
        <v>843971.00100000005</v>
      </c>
      <c r="E2428" s="3" t="s">
        <v>10</v>
      </c>
      <c r="F2428" s="189">
        <v>124931.039</v>
      </c>
      <c r="G2428" s="3" t="s">
        <v>335</v>
      </c>
      <c r="J2428" s="67">
        <v>1000</v>
      </c>
      <c r="K2428" s="119">
        <f>D2436</f>
        <v>94724.94</v>
      </c>
      <c r="L2428" s="119">
        <f>D2437</f>
        <v>10202.647000000001</v>
      </c>
      <c r="M2428" s="18">
        <f t="shared" si="304"/>
        <v>8.2843494438257039</v>
      </c>
      <c r="N2428" s="73">
        <f>D2438</f>
        <v>94253.577000000005</v>
      </c>
      <c r="O2428" s="18">
        <f t="shared" si="305"/>
        <v>5.0010091394196987E-3</v>
      </c>
      <c r="P2428" s="73">
        <f>D2439</f>
        <v>97292.951000000001</v>
      </c>
      <c r="Q2428" s="22">
        <f t="shared" si="306"/>
        <v>-2.6394625444139286E-2</v>
      </c>
    </row>
    <row r="2429" spans="1:17" ht="20" thickBot="1" x14ac:dyDescent="0.3">
      <c r="A2429" s="2" t="s">
        <v>792</v>
      </c>
      <c r="B2429" s="3" t="s">
        <v>333</v>
      </c>
      <c r="C2429" s="3">
        <v>10</v>
      </c>
      <c r="D2429" s="189">
        <v>788512.049</v>
      </c>
      <c r="E2429" s="3" t="s">
        <v>10</v>
      </c>
      <c r="F2429" s="189">
        <v>86731.444000000003</v>
      </c>
      <c r="G2429" s="3" t="s">
        <v>335</v>
      </c>
      <c r="J2429" s="68">
        <v>100</v>
      </c>
      <c r="K2429" s="120">
        <f>D2440</f>
        <v>82795.186000000002</v>
      </c>
      <c r="L2429" s="120">
        <f>D2441</f>
        <v>83124.574999999997</v>
      </c>
      <c r="M2429" s="19">
        <f t="shared" si="304"/>
        <v>-3.9625946959728209E-3</v>
      </c>
      <c r="N2429" s="74">
        <f>D2442</f>
        <v>84715.967000000004</v>
      </c>
      <c r="O2429" s="19">
        <f t="shared" si="305"/>
        <v>-2.2673187452372456E-2</v>
      </c>
      <c r="P2429" s="74">
        <f>D2443</f>
        <v>85951.865000000005</v>
      </c>
      <c r="Q2429" s="23">
        <f t="shared" si="306"/>
        <v>-3.6726125721646685E-2</v>
      </c>
    </row>
    <row r="2430" spans="1:17" ht="20" thickBot="1" x14ac:dyDescent="0.3">
      <c r="A2430" s="2" t="s">
        <v>793</v>
      </c>
      <c r="B2430" s="3" t="s">
        <v>333</v>
      </c>
      <c r="C2430" s="3">
        <v>10</v>
      </c>
      <c r="D2430" s="189">
        <v>834785.08600000001</v>
      </c>
      <c r="E2430" s="3" t="s">
        <v>10</v>
      </c>
      <c r="F2430" s="189">
        <v>147089.08799999999</v>
      </c>
      <c r="G2430" s="3" t="s">
        <v>335</v>
      </c>
    </row>
    <row r="2431" spans="1:17" x14ac:dyDescent="0.25">
      <c r="A2431" s="2" t="s">
        <v>794</v>
      </c>
      <c r="B2431" s="3" t="s">
        <v>333</v>
      </c>
      <c r="C2431" s="3">
        <v>10</v>
      </c>
      <c r="D2431" s="189">
        <v>887025.46799999999</v>
      </c>
      <c r="E2431" s="3" t="s">
        <v>10</v>
      </c>
      <c r="F2431" s="189">
        <v>146348.476</v>
      </c>
      <c r="G2431" s="3" t="s">
        <v>335</v>
      </c>
      <c r="J2431" s="106" t="str">
        <f>A2422</f>
        <v>distinct2_10_mem</v>
      </c>
      <c r="K2431" s="72" t="s">
        <v>341</v>
      </c>
      <c r="L2431" s="72" t="s">
        <v>342</v>
      </c>
      <c r="M2431" s="17" t="s">
        <v>162</v>
      </c>
      <c r="N2431" s="72" t="s">
        <v>343</v>
      </c>
      <c r="O2431" s="21" t="s">
        <v>162</v>
      </c>
    </row>
    <row r="2432" spans="1:17" x14ac:dyDescent="0.25">
      <c r="A2432" s="2" t="s">
        <v>795</v>
      </c>
      <c r="B2432" s="3" t="s">
        <v>333</v>
      </c>
      <c r="C2432" s="3">
        <v>10</v>
      </c>
      <c r="D2432" s="189">
        <v>201800.226</v>
      </c>
      <c r="E2432" s="3" t="s">
        <v>10</v>
      </c>
      <c r="F2432" s="189">
        <v>23245.537</v>
      </c>
      <c r="G2432" s="3" t="s">
        <v>335</v>
      </c>
      <c r="J2432" s="6">
        <v>100000</v>
      </c>
      <c r="K2432" s="119">
        <f>D2425</f>
        <v>1799363.632</v>
      </c>
      <c r="L2432" s="119">
        <f>D2427</f>
        <v>1901658.4380000001</v>
      </c>
      <c r="M2432" s="18">
        <f>(K2432/L2432-1)</f>
        <v>-5.3792418215536597E-2</v>
      </c>
      <c r="N2432" s="73">
        <f>D2426</f>
        <v>1743966.6629999999</v>
      </c>
      <c r="O2432" s="22">
        <f>(K2432/N2432-1)</f>
        <v>3.1764924281697748E-2</v>
      </c>
    </row>
    <row r="2433" spans="1:17" x14ac:dyDescent="0.25">
      <c r="A2433" s="2" t="s">
        <v>796</v>
      </c>
      <c r="B2433" s="3" t="s">
        <v>333</v>
      </c>
      <c r="C2433" s="3">
        <v>10</v>
      </c>
      <c r="D2433" s="189">
        <v>231390.033</v>
      </c>
      <c r="E2433" s="3" t="s">
        <v>10</v>
      </c>
      <c r="F2433" s="189">
        <v>11804.494000000001</v>
      </c>
      <c r="G2433" s="3" t="s">
        <v>335</v>
      </c>
      <c r="J2433" s="6">
        <v>50000</v>
      </c>
      <c r="K2433" s="119">
        <f>D2429</f>
        <v>788512.049</v>
      </c>
      <c r="L2433" s="119">
        <f>D2431</f>
        <v>887025.46799999999</v>
      </c>
      <c r="M2433" s="18">
        <f t="shared" ref="M2433:M2436" si="307">(K2433/L2433-1)</f>
        <v>-0.11106041771508635</v>
      </c>
      <c r="N2433" s="73">
        <f>D2430</f>
        <v>834785.08600000001</v>
      </c>
      <c r="O2433" s="22">
        <f t="shared" ref="O2433:O2436" si="308">(K2433/N2433-1)</f>
        <v>-5.543107774208611E-2</v>
      </c>
    </row>
    <row r="2434" spans="1:17" x14ac:dyDescent="0.25">
      <c r="A2434" s="2" t="s">
        <v>797</v>
      </c>
      <c r="B2434" s="3" t="s">
        <v>333</v>
      </c>
      <c r="C2434" s="3">
        <v>10</v>
      </c>
      <c r="D2434" s="189">
        <v>195520.924</v>
      </c>
      <c r="E2434" s="3" t="s">
        <v>10</v>
      </c>
      <c r="F2434" s="189">
        <v>8911.8979999999992</v>
      </c>
      <c r="G2434" s="3" t="s">
        <v>335</v>
      </c>
      <c r="J2434" s="6">
        <v>10000</v>
      </c>
      <c r="K2434" s="119">
        <f>D2433</f>
        <v>231390.033</v>
      </c>
      <c r="L2434" s="119">
        <f>D2435</f>
        <v>224564.30300000001</v>
      </c>
      <c r="M2434" s="18">
        <f t="shared" si="307"/>
        <v>3.0395436446548629E-2</v>
      </c>
      <c r="N2434" s="73">
        <f>D2434</f>
        <v>195520.924</v>
      </c>
      <c r="O2434" s="22">
        <f t="shared" si="308"/>
        <v>0.18345406857835833</v>
      </c>
    </row>
    <row r="2435" spans="1:17" x14ac:dyDescent="0.25">
      <c r="A2435" s="2" t="s">
        <v>798</v>
      </c>
      <c r="B2435" s="3" t="s">
        <v>333</v>
      </c>
      <c r="C2435" s="3">
        <v>10</v>
      </c>
      <c r="D2435" s="189">
        <v>224564.30300000001</v>
      </c>
      <c r="E2435" s="3" t="s">
        <v>10</v>
      </c>
      <c r="F2435" s="189">
        <v>19328.608</v>
      </c>
      <c r="G2435" s="3" t="s">
        <v>335</v>
      </c>
      <c r="J2435" s="67">
        <v>1000</v>
      </c>
      <c r="K2435" s="119">
        <f>D2437</f>
        <v>10202.647000000001</v>
      </c>
      <c r="L2435" s="119">
        <f>D2439</f>
        <v>97292.951000000001</v>
      </c>
      <c r="M2435" s="18">
        <f t="shared" si="307"/>
        <v>-0.89513477703024957</v>
      </c>
      <c r="N2435" s="73">
        <f>D2438</f>
        <v>94253.577000000005</v>
      </c>
      <c r="O2435" s="22">
        <f t="shared" si="308"/>
        <v>-0.89175321165795118</v>
      </c>
    </row>
    <row r="2436" spans="1:17" ht="20" thickBot="1" x14ac:dyDescent="0.3">
      <c r="A2436" s="2" t="s">
        <v>799</v>
      </c>
      <c r="B2436" s="3" t="s">
        <v>333</v>
      </c>
      <c r="C2436" s="3">
        <v>10</v>
      </c>
      <c r="D2436" s="189">
        <v>94724.94</v>
      </c>
      <c r="E2436" s="3" t="s">
        <v>10</v>
      </c>
      <c r="F2436" s="189">
        <v>2509.5630000000001</v>
      </c>
      <c r="G2436" s="3" t="s">
        <v>335</v>
      </c>
      <c r="J2436" s="68">
        <v>100</v>
      </c>
      <c r="K2436" s="120">
        <f>D2441</f>
        <v>83124.574999999997</v>
      </c>
      <c r="L2436" s="120">
        <f>D2443</f>
        <v>85951.865000000005</v>
      </c>
      <c r="M2436" s="19">
        <f t="shared" si="307"/>
        <v>-3.289387612473571E-2</v>
      </c>
      <c r="N2436" s="74">
        <f>D2442</f>
        <v>84715.967000000004</v>
      </c>
      <c r="O2436" s="23">
        <f t="shared" si="308"/>
        <v>-1.8785030217503218E-2</v>
      </c>
    </row>
    <row r="2437" spans="1:17" x14ac:dyDescent="0.25">
      <c r="A2437" s="2" t="s">
        <v>800</v>
      </c>
      <c r="B2437" s="3" t="s">
        <v>333</v>
      </c>
      <c r="C2437" s="3">
        <v>10</v>
      </c>
      <c r="D2437" s="189">
        <v>10202.647000000001</v>
      </c>
      <c r="E2437" s="3" t="s">
        <v>10</v>
      </c>
      <c r="F2437" s="189">
        <v>3437.5839999999998</v>
      </c>
      <c r="G2437" s="3" t="s">
        <v>335</v>
      </c>
    </row>
    <row r="2438" spans="1:17" x14ac:dyDescent="0.25">
      <c r="A2438" s="2" t="s">
        <v>801</v>
      </c>
      <c r="B2438" s="3" t="s">
        <v>333</v>
      </c>
      <c r="C2438" s="3">
        <v>10</v>
      </c>
      <c r="D2438" s="189">
        <v>94253.577000000005</v>
      </c>
      <c r="E2438" s="3" t="s">
        <v>10</v>
      </c>
      <c r="F2438" s="189">
        <v>2513.627</v>
      </c>
      <c r="G2438" s="3" t="s">
        <v>335</v>
      </c>
    </row>
    <row r="2439" spans="1:17" x14ac:dyDescent="0.25">
      <c r="A2439" s="2" t="s">
        <v>802</v>
      </c>
      <c r="B2439" s="3" t="s">
        <v>333</v>
      </c>
      <c r="C2439" s="3">
        <v>10</v>
      </c>
      <c r="D2439" s="189">
        <v>97292.951000000001</v>
      </c>
      <c r="E2439" s="3" t="s">
        <v>10</v>
      </c>
      <c r="F2439" s="189">
        <v>4832.0010000000002</v>
      </c>
      <c r="G2439" s="3" t="s">
        <v>335</v>
      </c>
    </row>
    <row r="2440" spans="1:17" x14ac:dyDescent="0.25">
      <c r="A2440" s="2" t="s">
        <v>803</v>
      </c>
      <c r="B2440" s="3" t="s">
        <v>333</v>
      </c>
      <c r="C2440" s="3">
        <v>10</v>
      </c>
      <c r="D2440" s="189">
        <v>82795.186000000002</v>
      </c>
      <c r="E2440" s="3" t="s">
        <v>10</v>
      </c>
      <c r="F2440" s="189">
        <v>3837.9479999999999</v>
      </c>
      <c r="G2440" s="3" t="s">
        <v>335</v>
      </c>
    </row>
    <row r="2441" spans="1:17" x14ac:dyDescent="0.25">
      <c r="A2441" s="2" t="s">
        <v>804</v>
      </c>
      <c r="B2441" s="3" t="s">
        <v>333</v>
      </c>
      <c r="C2441" s="3">
        <v>10</v>
      </c>
      <c r="D2441" s="189">
        <v>83124.574999999997</v>
      </c>
      <c r="E2441" s="3" t="s">
        <v>10</v>
      </c>
      <c r="F2441" s="189">
        <v>2854.45</v>
      </c>
      <c r="G2441" s="3" t="s">
        <v>335</v>
      </c>
    </row>
    <row r="2442" spans="1:17" x14ac:dyDescent="0.25">
      <c r="A2442" s="2" t="s">
        <v>805</v>
      </c>
      <c r="B2442" s="3" t="s">
        <v>333</v>
      </c>
      <c r="C2442" s="3">
        <v>10</v>
      </c>
      <c r="D2442" s="189">
        <v>84715.967000000004</v>
      </c>
      <c r="E2442" s="3" t="s">
        <v>10</v>
      </c>
      <c r="F2442" s="189">
        <v>5530.86</v>
      </c>
      <c r="G2442" s="3" t="s">
        <v>335</v>
      </c>
    </row>
    <row r="2443" spans="1:17" x14ac:dyDescent="0.25">
      <c r="A2443" s="2" t="s">
        <v>806</v>
      </c>
      <c r="B2443" s="3" t="s">
        <v>333</v>
      </c>
      <c r="C2443" s="3">
        <v>10</v>
      </c>
      <c r="D2443" s="189">
        <v>85951.865000000005</v>
      </c>
      <c r="E2443" s="3" t="s">
        <v>10</v>
      </c>
      <c r="F2443" s="189">
        <v>3505.078</v>
      </c>
      <c r="G2443" s="3" t="s">
        <v>335</v>
      </c>
    </row>
    <row r="2444" spans="1:17" x14ac:dyDescent="0.25">
      <c r="A2444" s="2"/>
    </row>
    <row r="2445" spans="1:17" x14ac:dyDescent="0.25">
      <c r="A2445" s="2" t="s">
        <v>1092</v>
      </c>
    </row>
    <row r="2446" spans="1:17" ht="20" thickBot="1" x14ac:dyDescent="0.3">
      <c r="A2446" s="3" t="s">
        <v>2</v>
      </c>
      <c r="B2446" s="3" t="s">
        <v>3</v>
      </c>
      <c r="C2446" s="3" t="s">
        <v>4</v>
      </c>
      <c r="D2446" s="189" t="s">
        <v>5</v>
      </c>
      <c r="E2446" s="3" t="s">
        <v>6</v>
      </c>
      <c r="F2446" s="189" t="s">
        <v>7</v>
      </c>
    </row>
    <row r="2447" spans="1:17" x14ac:dyDescent="0.25">
      <c r="A2447" s="3" t="s">
        <v>808</v>
      </c>
      <c r="B2447" s="3" t="s">
        <v>333</v>
      </c>
      <c r="C2447" s="3">
        <v>10</v>
      </c>
      <c r="D2447" s="189">
        <v>22174116.383000001</v>
      </c>
      <c r="E2447" s="3" t="s">
        <v>10</v>
      </c>
      <c r="F2447" s="189">
        <v>10511270.012</v>
      </c>
      <c r="G2447" s="3" t="s">
        <v>335</v>
      </c>
      <c r="J2447" s="106" t="str">
        <f>A2445</f>
        <v>distinct2_90_mem</v>
      </c>
      <c r="K2447" s="72" t="s">
        <v>344</v>
      </c>
      <c r="L2447" s="72" t="s">
        <v>341</v>
      </c>
      <c r="M2447" s="17" t="s">
        <v>162</v>
      </c>
      <c r="N2447" s="72" t="s">
        <v>343</v>
      </c>
      <c r="O2447" s="17" t="s">
        <v>162</v>
      </c>
      <c r="P2447" s="72" t="s">
        <v>342</v>
      </c>
      <c r="Q2447" s="21" t="s">
        <v>162</v>
      </c>
    </row>
    <row r="2448" spans="1:17" x14ac:dyDescent="0.25">
      <c r="A2448" s="3" t="s">
        <v>809</v>
      </c>
      <c r="B2448" s="3" t="s">
        <v>333</v>
      </c>
      <c r="C2448" s="3">
        <v>10</v>
      </c>
      <c r="D2448" s="189">
        <v>12854931.495999999</v>
      </c>
      <c r="E2448" s="3" t="s">
        <v>10</v>
      </c>
      <c r="F2448" s="189">
        <v>1885604.781</v>
      </c>
      <c r="G2448" s="3" t="s">
        <v>335</v>
      </c>
      <c r="J2448" s="6">
        <v>100000</v>
      </c>
      <c r="K2448" s="119">
        <f>D2447</f>
        <v>22174116.383000001</v>
      </c>
      <c r="L2448" s="119">
        <f>D2448</f>
        <v>12854931.495999999</v>
      </c>
      <c r="M2448" s="18">
        <f>(K2448/L2448-1)</f>
        <v>0.72495017883991086</v>
      </c>
      <c r="N2448" s="73">
        <f>D2449</f>
        <v>14929837.502</v>
      </c>
      <c r="O2448" s="18">
        <f>(K2448/N2448-1)</f>
        <v>0.48522154913136584</v>
      </c>
      <c r="P2448" s="73">
        <f>D2450</f>
        <v>12109437.018999999</v>
      </c>
      <c r="Q2448" s="22">
        <f>(K2448/P2448-1)</f>
        <v>0.83114345846204718</v>
      </c>
    </row>
    <row r="2449" spans="1:17" x14ac:dyDescent="0.25">
      <c r="A2449" s="3" t="s">
        <v>810</v>
      </c>
      <c r="B2449" s="3" t="s">
        <v>333</v>
      </c>
      <c r="C2449" s="3">
        <v>10</v>
      </c>
      <c r="D2449" s="189">
        <v>14929837.502</v>
      </c>
      <c r="E2449" s="3" t="s">
        <v>10</v>
      </c>
      <c r="F2449" s="189">
        <v>9210245.1079999991</v>
      </c>
      <c r="G2449" s="3" t="s">
        <v>335</v>
      </c>
      <c r="J2449" s="6">
        <v>50000</v>
      </c>
      <c r="K2449" s="119">
        <f>D2451</f>
        <v>5836700.9929999998</v>
      </c>
      <c r="L2449" s="119">
        <f>D2452</f>
        <v>4973085.93</v>
      </c>
      <c r="M2449" s="18">
        <f t="shared" ref="M2449:M2452" si="309">(K2449/L2449-1)</f>
        <v>0.17365778013009314</v>
      </c>
      <c r="N2449" s="73">
        <f>D2453</f>
        <v>4664168.0889999997</v>
      </c>
      <c r="O2449" s="18">
        <f t="shared" ref="O2449:O2452" si="310">(K2449/N2449-1)</f>
        <v>0.25139164833388161</v>
      </c>
      <c r="P2449" s="73">
        <f>D2454</f>
        <v>4565574.1129999999</v>
      </c>
      <c r="Q2449" s="22">
        <f t="shared" ref="Q2449:Q2452" si="311">(K2449/P2449-1)</f>
        <v>0.27841556144726631</v>
      </c>
    </row>
    <row r="2450" spans="1:17" x14ac:dyDescent="0.25">
      <c r="A2450" s="3" t="s">
        <v>811</v>
      </c>
      <c r="B2450" s="3" t="s">
        <v>333</v>
      </c>
      <c r="C2450" s="3">
        <v>10</v>
      </c>
      <c r="D2450" s="189">
        <v>12109437.018999999</v>
      </c>
      <c r="E2450" s="3" t="s">
        <v>10</v>
      </c>
      <c r="F2450" s="189">
        <v>2368454.0720000002</v>
      </c>
      <c r="G2450" s="3" t="s">
        <v>335</v>
      </c>
      <c r="J2450" s="6">
        <v>10000</v>
      </c>
      <c r="K2450" s="119">
        <f>D2455</f>
        <v>967145.66799999995</v>
      </c>
      <c r="L2450" s="119">
        <f>D2456</f>
        <v>1067686.3370000001</v>
      </c>
      <c r="M2450" s="18">
        <f t="shared" si="309"/>
        <v>-9.4166859231804567E-2</v>
      </c>
      <c r="N2450" s="73">
        <f>D2457</f>
        <v>734424.83100000001</v>
      </c>
      <c r="O2450" s="18">
        <f t="shared" si="310"/>
        <v>0.31687495735012794</v>
      </c>
      <c r="P2450" s="73">
        <f>D2458</f>
        <v>876411.34600000002</v>
      </c>
      <c r="Q2450" s="22">
        <f t="shared" si="311"/>
        <v>0.10352937854366839</v>
      </c>
    </row>
    <row r="2451" spans="1:17" x14ac:dyDescent="0.25">
      <c r="A2451" s="3" t="s">
        <v>812</v>
      </c>
      <c r="B2451" s="3" t="s">
        <v>333</v>
      </c>
      <c r="C2451" s="3">
        <v>10</v>
      </c>
      <c r="D2451" s="189">
        <v>5836700.9929999998</v>
      </c>
      <c r="E2451" s="3" t="s">
        <v>10</v>
      </c>
      <c r="F2451" s="189">
        <v>1246995.4439999999</v>
      </c>
      <c r="G2451" s="3" t="s">
        <v>335</v>
      </c>
      <c r="J2451" s="67">
        <v>1000</v>
      </c>
      <c r="K2451" s="119">
        <f>D2459</f>
        <v>180374.174</v>
      </c>
      <c r="L2451" s="119">
        <f>D2460</f>
        <v>128411.05</v>
      </c>
      <c r="M2451" s="18">
        <f t="shared" si="309"/>
        <v>0.40466240249573526</v>
      </c>
      <c r="N2451" s="73">
        <f>D2461</f>
        <v>115634.736</v>
      </c>
      <c r="O2451" s="18">
        <f t="shared" si="310"/>
        <v>0.55986151081799496</v>
      </c>
      <c r="P2451" s="73">
        <f>D2462</f>
        <v>117188.664</v>
      </c>
      <c r="Q2451" s="22">
        <f t="shared" si="311"/>
        <v>0.53917766312277426</v>
      </c>
    </row>
    <row r="2452" spans="1:17" ht="20" thickBot="1" x14ac:dyDescent="0.3">
      <c r="A2452" s="3" t="s">
        <v>813</v>
      </c>
      <c r="B2452" s="3" t="s">
        <v>333</v>
      </c>
      <c r="C2452" s="3">
        <v>10</v>
      </c>
      <c r="D2452" s="189">
        <v>4973085.93</v>
      </c>
      <c r="E2452" s="3" t="s">
        <v>10</v>
      </c>
      <c r="F2452" s="189">
        <v>751961.68099999998</v>
      </c>
      <c r="G2452" s="3" t="s">
        <v>335</v>
      </c>
      <c r="J2452" s="68">
        <v>100</v>
      </c>
      <c r="K2452" s="120">
        <f>D2463</f>
        <v>94309.892000000007</v>
      </c>
      <c r="L2452" s="120">
        <f>D2464</f>
        <v>89216.69</v>
      </c>
      <c r="M2452" s="19">
        <f t="shared" si="309"/>
        <v>5.7087995530881175E-2</v>
      </c>
      <c r="N2452" s="74">
        <f>D2465</f>
        <v>91114.308000000005</v>
      </c>
      <c r="O2452" s="19">
        <f t="shared" si="310"/>
        <v>3.507225231848321E-2</v>
      </c>
      <c r="P2452" s="74">
        <f>D2466</f>
        <v>90557.793000000005</v>
      </c>
      <c r="Q2452" s="23">
        <f t="shared" si="311"/>
        <v>4.1433198355441458E-2</v>
      </c>
    </row>
    <row r="2453" spans="1:17" ht="20" thickBot="1" x14ac:dyDescent="0.3">
      <c r="A2453" s="3" t="s">
        <v>814</v>
      </c>
      <c r="B2453" s="3" t="s">
        <v>333</v>
      </c>
      <c r="C2453" s="3">
        <v>10</v>
      </c>
      <c r="D2453" s="189">
        <v>4664168.0889999997</v>
      </c>
      <c r="E2453" s="3" t="s">
        <v>10</v>
      </c>
      <c r="F2453" s="189">
        <v>1818068.513</v>
      </c>
      <c r="G2453" s="3" t="s">
        <v>335</v>
      </c>
    </row>
    <row r="2454" spans="1:17" x14ac:dyDescent="0.25">
      <c r="A2454" s="3" t="s">
        <v>815</v>
      </c>
      <c r="B2454" s="3" t="s">
        <v>333</v>
      </c>
      <c r="C2454" s="3">
        <v>10</v>
      </c>
      <c r="D2454" s="189">
        <v>4565574.1129999999</v>
      </c>
      <c r="E2454" s="3" t="s">
        <v>10</v>
      </c>
      <c r="F2454" s="189">
        <v>1225040.108</v>
      </c>
      <c r="G2454" s="3" t="s">
        <v>335</v>
      </c>
      <c r="J2454" s="106" t="str">
        <f>A2445</f>
        <v>distinct2_90_mem</v>
      </c>
      <c r="K2454" s="72" t="s">
        <v>341</v>
      </c>
      <c r="L2454" s="72" t="s">
        <v>342</v>
      </c>
      <c r="M2454" s="17" t="s">
        <v>162</v>
      </c>
      <c r="N2454" s="72" t="s">
        <v>343</v>
      </c>
      <c r="O2454" s="21" t="s">
        <v>162</v>
      </c>
    </row>
    <row r="2455" spans="1:17" x14ac:dyDescent="0.25">
      <c r="A2455" s="3" t="s">
        <v>816</v>
      </c>
      <c r="B2455" s="3" t="s">
        <v>333</v>
      </c>
      <c r="C2455" s="3">
        <v>10</v>
      </c>
      <c r="D2455" s="189">
        <v>967145.66799999995</v>
      </c>
      <c r="E2455" s="3" t="s">
        <v>10</v>
      </c>
      <c r="F2455" s="189">
        <v>252550.008</v>
      </c>
      <c r="G2455" s="3" t="s">
        <v>335</v>
      </c>
      <c r="J2455" s="6">
        <v>100000</v>
      </c>
      <c r="K2455" s="119">
        <f>D2448</f>
        <v>12854931.495999999</v>
      </c>
      <c r="L2455" s="119">
        <f>D2450</f>
        <v>12109437.018999999</v>
      </c>
      <c r="M2455" s="18">
        <f>(K2455/L2455-1)</f>
        <v>6.1563099575174363E-2</v>
      </c>
      <c r="N2455" s="73">
        <f>D2449</f>
        <v>14929837.502</v>
      </c>
      <c r="O2455" s="22">
        <f>(K2455/N2455-1)</f>
        <v>-0.13897713258580657</v>
      </c>
    </row>
    <row r="2456" spans="1:17" x14ac:dyDescent="0.25">
      <c r="A2456" s="3" t="s">
        <v>817</v>
      </c>
      <c r="B2456" s="3" t="s">
        <v>333</v>
      </c>
      <c r="C2456" s="3">
        <v>10</v>
      </c>
      <c r="D2456" s="189">
        <v>1067686.3370000001</v>
      </c>
      <c r="E2456" s="3" t="s">
        <v>10</v>
      </c>
      <c r="F2456" s="189">
        <v>279953.84100000001</v>
      </c>
      <c r="G2456" s="3" t="s">
        <v>335</v>
      </c>
      <c r="J2456" s="6">
        <v>50000</v>
      </c>
      <c r="K2456" s="119">
        <f>D2452</f>
        <v>4973085.93</v>
      </c>
      <c r="L2456" s="119">
        <f>D2454</f>
        <v>4565574.1129999999</v>
      </c>
      <c r="M2456" s="18">
        <f t="shared" ref="M2456:M2459" si="312">(K2456/L2456-1)</f>
        <v>8.9257518750960996E-2</v>
      </c>
      <c r="N2456" s="73">
        <f>D2453</f>
        <v>4664168.0889999997</v>
      </c>
      <c r="O2456" s="22">
        <f t="shared" ref="O2456:O2459" si="313">(K2456/N2456-1)</f>
        <v>6.6232141532067246E-2</v>
      </c>
    </row>
    <row r="2457" spans="1:17" x14ac:dyDescent="0.25">
      <c r="A2457" s="3" t="s">
        <v>818</v>
      </c>
      <c r="B2457" s="3" t="s">
        <v>333</v>
      </c>
      <c r="C2457" s="3">
        <v>10</v>
      </c>
      <c r="D2457" s="189">
        <v>734424.83100000001</v>
      </c>
      <c r="E2457" s="3" t="s">
        <v>10</v>
      </c>
      <c r="F2457" s="189">
        <v>58232.637000000002</v>
      </c>
      <c r="G2457" s="3" t="s">
        <v>335</v>
      </c>
      <c r="J2457" s="6">
        <v>10000</v>
      </c>
      <c r="K2457" s="119">
        <f>D2456</f>
        <v>1067686.3370000001</v>
      </c>
      <c r="L2457" s="119">
        <f>D2458</f>
        <v>876411.34600000002</v>
      </c>
      <c r="M2457" s="18">
        <f t="shared" si="312"/>
        <v>0.21824796298335469</v>
      </c>
      <c r="N2457" s="73">
        <f>D2457</f>
        <v>734424.83100000001</v>
      </c>
      <c r="O2457" s="22">
        <f t="shared" si="313"/>
        <v>0.45377211109029081</v>
      </c>
    </row>
    <row r="2458" spans="1:17" x14ac:dyDescent="0.25">
      <c r="A2458" s="3" t="s">
        <v>819</v>
      </c>
      <c r="B2458" s="3" t="s">
        <v>333</v>
      </c>
      <c r="C2458" s="3">
        <v>10</v>
      </c>
      <c r="D2458" s="189">
        <v>876411.34600000002</v>
      </c>
      <c r="E2458" s="3" t="s">
        <v>10</v>
      </c>
      <c r="F2458" s="189">
        <v>238151.70199999999</v>
      </c>
      <c r="G2458" s="3" t="s">
        <v>335</v>
      </c>
      <c r="J2458" s="67">
        <v>1000</v>
      </c>
      <c r="K2458" s="119">
        <f>D2460</f>
        <v>128411.05</v>
      </c>
      <c r="L2458" s="119">
        <f>D2462</f>
        <v>117188.664</v>
      </c>
      <c r="M2458" s="18">
        <f t="shared" si="312"/>
        <v>9.5763409334540972E-2</v>
      </c>
      <c r="N2458" s="73">
        <f>D2461</f>
        <v>115634.736</v>
      </c>
      <c r="O2458" s="22">
        <f t="shared" si="313"/>
        <v>0.11048854731678559</v>
      </c>
    </row>
    <row r="2459" spans="1:17" ht="20" thickBot="1" x14ac:dyDescent="0.3">
      <c r="A2459" s="3" t="s">
        <v>820</v>
      </c>
      <c r="B2459" s="3" t="s">
        <v>333</v>
      </c>
      <c r="C2459" s="3">
        <v>10</v>
      </c>
      <c r="D2459" s="189">
        <v>180374.174</v>
      </c>
      <c r="E2459" s="3" t="s">
        <v>10</v>
      </c>
      <c r="F2459" s="189">
        <v>9953.5259999999998</v>
      </c>
      <c r="G2459" s="3" t="s">
        <v>335</v>
      </c>
      <c r="J2459" s="68">
        <v>100</v>
      </c>
      <c r="K2459" s="120">
        <f>D2464</f>
        <v>89216.69</v>
      </c>
      <c r="L2459" s="120">
        <f>D2466</f>
        <v>90557.793000000005</v>
      </c>
      <c r="M2459" s="19">
        <f t="shared" si="312"/>
        <v>-1.4809360471053079E-2</v>
      </c>
      <c r="N2459" s="74">
        <f>D2465</f>
        <v>91114.308000000005</v>
      </c>
      <c r="O2459" s="23">
        <f t="shared" si="313"/>
        <v>-2.0826783868017729E-2</v>
      </c>
    </row>
    <row r="2460" spans="1:17" x14ac:dyDescent="0.25">
      <c r="A2460" s="3" t="s">
        <v>821</v>
      </c>
      <c r="B2460" s="3" t="s">
        <v>333</v>
      </c>
      <c r="C2460" s="3">
        <v>10</v>
      </c>
      <c r="D2460" s="189">
        <v>128411.05</v>
      </c>
      <c r="E2460" s="3" t="s">
        <v>10</v>
      </c>
      <c r="F2460" s="189">
        <v>13582.174000000001</v>
      </c>
      <c r="G2460" s="3" t="s">
        <v>335</v>
      </c>
    </row>
    <row r="2461" spans="1:17" x14ac:dyDescent="0.25">
      <c r="A2461" s="3" t="s">
        <v>822</v>
      </c>
      <c r="B2461" s="3" t="s">
        <v>333</v>
      </c>
      <c r="C2461" s="3">
        <v>10</v>
      </c>
      <c r="D2461" s="189">
        <v>115634.736</v>
      </c>
      <c r="E2461" s="3" t="s">
        <v>10</v>
      </c>
      <c r="F2461" s="189">
        <v>18543.47</v>
      </c>
      <c r="G2461" s="3" t="s">
        <v>335</v>
      </c>
    </row>
    <row r="2462" spans="1:17" x14ac:dyDescent="0.25">
      <c r="A2462" s="3" t="s">
        <v>823</v>
      </c>
      <c r="B2462" s="3" t="s">
        <v>333</v>
      </c>
      <c r="C2462" s="3">
        <v>10</v>
      </c>
      <c r="D2462" s="189">
        <v>117188.664</v>
      </c>
      <c r="E2462" s="3" t="s">
        <v>10</v>
      </c>
      <c r="F2462" s="189">
        <v>12229.355</v>
      </c>
      <c r="G2462" s="3" t="s">
        <v>335</v>
      </c>
    </row>
    <row r="2463" spans="1:17" x14ac:dyDescent="0.25">
      <c r="A2463" s="3" t="s">
        <v>824</v>
      </c>
      <c r="B2463" s="3" t="s">
        <v>333</v>
      </c>
      <c r="C2463" s="3">
        <v>10</v>
      </c>
      <c r="D2463" s="189">
        <v>94309.892000000007</v>
      </c>
      <c r="E2463" s="3" t="s">
        <v>10</v>
      </c>
      <c r="F2463" s="189">
        <v>13374.904</v>
      </c>
      <c r="G2463" s="3" t="s">
        <v>335</v>
      </c>
    </row>
    <row r="2464" spans="1:17" x14ac:dyDescent="0.25">
      <c r="A2464" s="3" t="s">
        <v>825</v>
      </c>
      <c r="B2464" s="3" t="s">
        <v>333</v>
      </c>
      <c r="C2464" s="3">
        <v>10</v>
      </c>
      <c r="D2464" s="189">
        <v>89216.69</v>
      </c>
      <c r="E2464" s="3" t="s">
        <v>10</v>
      </c>
      <c r="F2464" s="189">
        <v>1393.252</v>
      </c>
      <c r="G2464" s="3" t="s">
        <v>335</v>
      </c>
    </row>
    <row r="2465" spans="1:15" x14ac:dyDescent="0.25">
      <c r="A2465" s="3" t="s">
        <v>826</v>
      </c>
      <c r="B2465" s="3" t="s">
        <v>333</v>
      </c>
      <c r="C2465" s="3">
        <v>10</v>
      </c>
      <c r="D2465" s="189">
        <v>91114.308000000005</v>
      </c>
      <c r="E2465" s="3" t="s">
        <v>10</v>
      </c>
      <c r="F2465" s="189">
        <v>6531.0330000000004</v>
      </c>
      <c r="G2465" s="3" t="s">
        <v>335</v>
      </c>
    </row>
    <row r="2466" spans="1:15" x14ac:dyDescent="0.25">
      <c r="A2466" s="3" t="s">
        <v>827</v>
      </c>
      <c r="B2466" s="3" t="s">
        <v>333</v>
      </c>
      <c r="C2466" s="3">
        <v>10</v>
      </c>
      <c r="D2466" s="189">
        <v>90557.793000000005</v>
      </c>
      <c r="E2466" s="3" t="s">
        <v>10</v>
      </c>
      <c r="F2466" s="189">
        <v>4158.9210000000003</v>
      </c>
      <c r="G2466" s="3" t="s">
        <v>335</v>
      </c>
    </row>
    <row r="2468" spans="1:15" x14ac:dyDescent="0.25">
      <c r="A2468" s="3" t="s">
        <v>1093</v>
      </c>
    </row>
    <row r="2469" spans="1:15" ht="20" thickBot="1" x14ac:dyDescent="0.3">
      <c r="A2469" s="3" t="s">
        <v>2</v>
      </c>
      <c r="B2469" s="3" t="s">
        <v>3</v>
      </c>
      <c r="C2469" s="3" t="s">
        <v>4</v>
      </c>
      <c r="D2469" s="189" t="s">
        <v>5</v>
      </c>
      <c r="E2469" s="3" t="s">
        <v>6</v>
      </c>
      <c r="F2469" s="189" t="s">
        <v>7</v>
      </c>
    </row>
    <row r="2470" spans="1:15" x14ac:dyDescent="0.25">
      <c r="A2470" s="3" t="s">
        <v>1015</v>
      </c>
      <c r="B2470" s="3" t="s">
        <v>333</v>
      </c>
      <c r="C2470" s="3">
        <v>10</v>
      </c>
      <c r="D2470" s="189">
        <v>4549410.6279999996</v>
      </c>
      <c r="E2470" s="3" t="s">
        <v>10</v>
      </c>
      <c r="F2470" s="189">
        <v>1873046.0519999999</v>
      </c>
      <c r="G2470" s="3" t="s">
        <v>335</v>
      </c>
      <c r="J2470" s="105" t="str">
        <f>A2468</f>
        <v>minus2_10_mem</v>
      </c>
      <c r="K2470" s="72" t="s">
        <v>340</v>
      </c>
      <c r="L2470" s="72" t="s">
        <v>341</v>
      </c>
      <c r="M2470" s="17" t="s">
        <v>162</v>
      </c>
      <c r="N2470" s="72" t="s">
        <v>342</v>
      </c>
      <c r="O2470" s="21" t="s">
        <v>162</v>
      </c>
    </row>
    <row r="2471" spans="1:15" x14ac:dyDescent="0.25">
      <c r="A2471" s="3" t="s">
        <v>1016</v>
      </c>
      <c r="B2471" s="3" t="s">
        <v>333</v>
      </c>
      <c r="C2471" s="3">
        <v>10</v>
      </c>
      <c r="D2471" s="189">
        <v>2022500.6880000001</v>
      </c>
      <c r="E2471" s="3" t="s">
        <v>10</v>
      </c>
      <c r="F2471" s="189">
        <v>145435.598</v>
      </c>
      <c r="G2471" s="3" t="s">
        <v>335</v>
      </c>
      <c r="J2471" s="6">
        <v>100000</v>
      </c>
      <c r="K2471" s="119">
        <f>D2470</f>
        <v>4549410.6279999996</v>
      </c>
      <c r="L2471" s="119">
        <f>D2471</f>
        <v>2022500.6880000001</v>
      </c>
      <c r="M2471" s="18">
        <f>(K2471/L2471-1)</f>
        <v>1.2493988036655734</v>
      </c>
      <c r="N2471" s="73">
        <f>D2472</f>
        <v>1764303.7549999999</v>
      </c>
      <c r="O2471" s="22">
        <f>(K2471/N2471-1)</f>
        <v>1.578586944060548</v>
      </c>
    </row>
    <row r="2472" spans="1:15" x14ac:dyDescent="0.25">
      <c r="A2472" s="3" t="s">
        <v>1017</v>
      </c>
      <c r="B2472" s="3" t="s">
        <v>333</v>
      </c>
      <c r="C2472" s="3">
        <v>10</v>
      </c>
      <c r="D2472" s="189">
        <v>1764303.7549999999</v>
      </c>
      <c r="E2472" s="3" t="s">
        <v>10</v>
      </c>
      <c r="F2472" s="189">
        <v>59735.874000000003</v>
      </c>
      <c r="G2472" s="3" t="s">
        <v>335</v>
      </c>
      <c r="J2472" s="6">
        <v>50000</v>
      </c>
      <c r="K2472" s="119">
        <f>D2473</f>
        <v>1558715.1969999999</v>
      </c>
      <c r="L2472" s="119">
        <f>D2474</f>
        <v>980728.61399999994</v>
      </c>
      <c r="M2472" s="18">
        <f t="shared" ref="M2472:M2475" si="314">(K2472/L2472-1)</f>
        <v>0.58934405986445504</v>
      </c>
      <c r="N2472" s="73">
        <f>D2475</f>
        <v>846314.59299999999</v>
      </c>
      <c r="O2472" s="22">
        <f t="shared" ref="O2472:O2475" si="315">(K2472/N2472-1)</f>
        <v>0.84176807288019906</v>
      </c>
    </row>
    <row r="2473" spans="1:15" x14ac:dyDescent="0.25">
      <c r="A2473" s="3" t="s">
        <v>1018</v>
      </c>
      <c r="B2473" s="3" t="s">
        <v>333</v>
      </c>
      <c r="C2473" s="3">
        <v>10</v>
      </c>
      <c r="D2473" s="189">
        <v>1558715.1969999999</v>
      </c>
      <c r="E2473" s="3" t="s">
        <v>10</v>
      </c>
      <c r="F2473" s="189">
        <v>100188.743</v>
      </c>
      <c r="G2473" s="3" t="s">
        <v>335</v>
      </c>
      <c r="J2473" s="6">
        <v>10000</v>
      </c>
      <c r="K2473" s="119">
        <f>D2476</f>
        <v>278671.68900000001</v>
      </c>
      <c r="L2473" s="119">
        <f>D2477</f>
        <v>250939.25200000001</v>
      </c>
      <c r="M2473" s="18">
        <f t="shared" si="314"/>
        <v>0.1105145439741726</v>
      </c>
      <c r="N2473" s="73">
        <f>D2478</f>
        <v>226310.389</v>
      </c>
      <c r="O2473" s="22">
        <f t="shared" si="315"/>
        <v>0.23136940478680379</v>
      </c>
    </row>
    <row r="2474" spans="1:15" x14ac:dyDescent="0.25">
      <c r="A2474" s="3" t="s">
        <v>1019</v>
      </c>
      <c r="B2474" s="3" t="s">
        <v>333</v>
      </c>
      <c r="C2474" s="3">
        <v>10</v>
      </c>
      <c r="D2474" s="189">
        <v>980728.61399999994</v>
      </c>
      <c r="E2474" s="3" t="s">
        <v>10</v>
      </c>
      <c r="F2474" s="189">
        <v>81118.872000000003</v>
      </c>
      <c r="G2474" s="3" t="s">
        <v>335</v>
      </c>
      <c r="J2474" s="67">
        <v>1000</v>
      </c>
      <c r="K2474" s="119">
        <f>D2479</f>
        <v>100821.341</v>
      </c>
      <c r="L2474" s="119">
        <f>D2480</f>
        <v>92677.933000000005</v>
      </c>
      <c r="M2474" s="18">
        <f t="shared" si="314"/>
        <v>8.7867820703338317E-2</v>
      </c>
      <c r="N2474" s="73">
        <f>D2481</f>
        <v>89654.558000000005</v>
      </c>
      <c r="O2474" s="22">
        <f t="shared" si="315"/>
        <v>0.12455343318964318</v>
      </c>
    </row>
    <row r="2475" spans="1:15" ht="20" thickBot="1" x14ac:dyDescent="0.3">
      <c r="A2475" s="3" t="s">
        <v>1020</v>
      </c>
      <c r="B2475" s="3" t="s">
        <v>333</v>
      </c>
      <c r="C2475" s="3">
        <v>10</v>
      </c>
      <c r="D2475" s="189">
        <v>846314.59299999999</v>
      </c>
      <c r="E2475" s="3" t="s">
        <v>10</v>
      </c>
      <c r="F2475" s="189">
        <v>22096.124</v>
      </c>
      <c r="G2475" s="3" t="s">
        <v>335</v>
      </c>
      <c r="J2475" s="68">
        <v>100</v>
      </c>
      <c r="K2475" s="120">
        <f>D2482</f>
        <v>84633.623999999996</v>
      </c>
      <c r="L2475" s="120">
        <f>D2483</f>
        <v>82785.982000000004</v>
      </c>
      <c r="M2475" s="19">
        <f t="shared" si="314"/>
        <v>2.2318295384839315E-2</v>
      </c>
      <c r="N2475" s="74">
        <f>D2484</f>
        <v>83571.542000000001</v>
      </c>
      <c r="O2475" s="23">
        <f t="shared" si="315"/>
        <v>1.2708656255259632E-2</v>
      </c>
    </row>
    <row r="2476" spans="1:15" ht="20" thickBot="1" x14ac:dyDescent="0.3">
      <c r="A2476" s="3" t="s">
        <v>1021</v>
      </c>
      <c r="B2476" s="3" t="s">
        <v>333</v>
      </c>
      <c r="C2476" s="3">
        <v>10</v>
      </c>
      <c r="D2476" s="189">
        <v>278671.68900000001</v>
      </c>
      <c r="E2476" s="3" t="s">
        <v>10</v>
      </c>
      <c r="F2476" s="189">
        <v>16711.903999999999</v>
      </c>
      <c r="G2476" s="3" t="s">
        <v>335</v>
      </c>
    </row>
    <row r="2477" spans="1:15" x14ac:dyDescent="0.25">
      <c r="A2477" s="3" t="s">
        <v>1022</v>
      </c>
      <c r="B2477" s="3" t="s">
        <v>333</v>
      </c>
      <c r="C2477" s="3">
        <v>10</v>
      </c>
      <c r="D2477" s="189">
        <v>250939.25200000001</v>
      </c>
      <c r="E2477" s="3" t="s">
        <v>10</v>
      </c>
      <c r="F2477" s="189">
        <v>9807.4380000000001</v>
      </c>
      <c r="G2477" s="3" t="s">
        <v>335</v>
      </c>
      <c r="J2477" s="105" t="str">
        <f>A2468</f>
        <v>minus2_10_mem</v>
      </c>
      <c r="K2477" s="72" t="s">
        <v>341</v>
      </c>
      <c r="L2477" s="72" t="s">
        <v>342</v>
      </c>
      <c r="M2477" s="21" t="s">
        <v>162</v>
      </c>
    </row>
    <row r="2478" spans="1:15" x14ac:dyDescent="0.25">
      <c r="A2478" s="3" t="s">
        <v>1023</v>
      </c>
      <c r="B2478" s="3" t="s">
        <v>333</v>
      </c>
      <c r="C2478" s="3">
        <v>10</v>
      </c>
      <c r="D2478" s="189">
        <v>226310.389</v>
      </c>
      <c r="E2478" s="3" t="s">
        <v>10</v>
      </c>
      <c r="F2478" s="189">
        <v>2761.3310000000001</v>
      </c>
      <c r="G2478" s="3" t="s">
        <v>335</v>
      </c>
      <c r="J2478" s="6">
        <v>100000</v>
      </c>
      <c r="K2478" s="119">
        <f>D2471</f>
        <v>2022500.6880000001</v>
      </c>
      <c r="L2478" s="119">
        <f>D2472</f>
        <v>1764303.7549999999</v>
      </c>
      <c r="M2478" s="22">
        <f>(K2478/L2478-1)</f>
        <v>0.14634494330597869</v>
      </c>
    </row>
    <row r="2479" spans="1:15" x14ac:dyDescent="0.25">
      <c r="A2479" s="3" t="s">
        <v>1024</v>
      </c>
      <c r="B2479" s="3" t="s">
        <v>333</v>
      </c>
      <c r="C2479" s="3">
        <v>10</v>
      </c>
      <c r="D2479" s="189">
        <v>100821.341</v>
      </c>
      <c r="E2479" s="3" t="s">
        <v>10</v>
      </c>
      <c r="F2479" s="189">
        <v>6444.2889999999998</v>
      </c>
      <c r="G2479" s="3" t="s">
        <v>335</v>
      </c>
      <c r="J2479" s="6">
        <v>50000</v>
      </c>
      <c r="K2479" s="119">
        <f>D2474</f>
        <v>980728.61399999994</v>
      </c>
      <c r="L2479" s="119">
        <f>D2475</f>
        <v>846314.59299999999</v>
      </c>
      <c r="M2479" s="22">
        <f t="shared" ref="M2479:M2482" si="316">(K2479/L2479-1)</f>
        <v>0.15882276178593546</v>
      </c>
    </row>
    <row r="2480" spans="1:15" x14ac:dyDescent="0.25">
      <c r="A2480" s="3" t="s">
        <v>1025</v>
      </c>
      <c r="B2480" s="3" t="s">
        <v>333</v>
      </c>
      <c r="C2480" s="3">
        <v>10</v>
      </c>
      <c r="D2480" s="189">
        <v>92677.933000000005</v>
      </c>
      <c r="E2480" s="3" t="s">
        <v>10</v>
      </c>
      <c r="F2480" s="189">
        <v>4524.4129999999996</v>
      </c>
      <c r="G2480" s="3" t="s">
        <v>335</v>
      </c>
      <c r="J2480" s="6">
        <v>10000</v>
      </c>
      <c r="K2480" s="119">
        <f>D2477</f>
        <v>250939.25200000001</v>
      </c>
      <c r="L2480" s="119">
        <f>D2478</f>
        <v>226310.389</v>
      </c>
      <c r="M2480" s="22">
        <f t="shared" si="316"/>
        <v>0.10882780551448756</v>
      </c>
    </row>
    <row r="2481" spans="1:15" x14ac:dyDescent="0.25">
      <c r="A2481" s="3" t="s">
        <v>1026</v>
      </c>
      <c r="B2481" s="3" t="s">
        <v>333</v>
      </c>
      <c r="C2481" s="3">
        <v>10</v>
      </c>
      <c r="D2481" s="189">
        <v>89654.558000000005</v>
      </c>
      <c r="E2481" s="3" t="s">
        <v>10</v>
      </c>
      <c r="F2481" s="189">
        <v>3076.056</v>
      </c>
      <c r="G2481" s="3" t="s">
        <v>335</v>
      </c>
      <c r="J2481" s="67">
        <v>1000</v>
      </c>
      <c r="K2481" s="119">
        <f>D2480</f>
        <v>92677.933000000005</v>
      </c>
      <c r="L2481" s="119">
        <f>D2481</f>
        <v>89654.558000000005</v>
      </c>
      <c r="M2481" s="22">
        <f t="shared" si="316"/>
        <v>3.3722490718207654E-2</v>
      </c>
    </row>
    <row r="2482" spans="1:15" ht="20" thickBot="1" x14ac:dyDescent="0.3">
      <c r="A2482" s="3" t="s">
        <v>1027</v>
      </c>
      <c r="B2482" s="3" t="s">
        <v>333</v>
      </c>
      <c r="C2482" s="3">
        <v>10</v>
      </c>
      <c r="D2482" s="189">
        <v>84633.623999999996</v>
      </c>
      <c r="E2482" s="3" t="s">
        <v>10</v>
      </c>
      <c r="F2482" s="189">
        <v>2176.4630000000002</v>
      </c>
      <c r="G2482" s="3" t="s">
        <v>335</v>
      </c>
      <c r="J2482" s="68">
        <v>100</v>
      </c>
      <c r="K2482" s="120">
        <f>D2483</f>
        <v>82785.982000000004</v>
      </c>
      <c r="L2482" s="120">
        <f>D2484</f>
        <v>83571.542000000001</v>
      </c>
      <c r="M2482" s="23">
        <f t="shared" si="316"/>
        <v>-9.3998504897755408E-3</v>
      </c>
    </row>
    <row r="2483" spans="1:15" x14ac:dyDescent="0.25">
      <c r="A2483" s="3" t="s">
        <v>1028</v>
      </c>
      <c r="B2483" s="3" t="s">
        <v>333</v>
      </c>
      <c r="C2483" s="3">
        <v>10</v>
      </c>
      <c r="D2483" s="189">
        <v>82785.982000000004</v>
      </c>
      <c r="E2483" s="3" t="s">
        <v>10</v>
      </c>
      <c r="F2483" s="189">
        <v>2205.4499999999998</v>
      </c>
      <c r="G2483" s="3" t="s">
        <v>335</v>
      </c>
    </row>
    <row r="2484" spans="1:15" x14ac:dyDescent="0.25">
      <c r="A2484" s="3" t="s">
        <v>1029</v>
      </c>
      <c r="B2484" s="3" t="s">
        <v>333</v>
      </c>
      <c r="C2484" s="3">
        <v>10</v>
      </c>
      <c r="D2484" s="189">
        <v>83571.542000000001</v>
      </c>
      <c r="E2484" s="3" t="s">
        <v>10</v>
      </c>
      <c r="F2484" s="189">
        <v>3279.8319999999999</v>
      </c>
      <c r="G2484" s="3" t="s">
        <v>335</v>
      </c>
    </row>
    <row r="2486" spans="1:15" x14ac:dyDescent="0.25">
      <c r="A2486" s="3" t="s">
        <v>1094</v>
      </c>
    </row>
    <row r="2487" spans="1:15" ht="20" thickBot="1" x14ac:dyDescent="0.3">
      <c r="A2487" s="3" t="s">
        <v>2</v>
      </c>
      <c r="B2487" s="3" t="s">
        <v>3</v>
      </c>
      <c r="C2487" s="3" t="s">
        <v>4</v>
      </c>
      <c r="D2487" s="189" t="s">
        <v>5</v>
      </c>
      <c r="E2487" s="3" t="s">
        <v>6</v>
      </c>
      <c r="F2487" s="189" t="s">
        <v>7</v>
      </c>
    </row>
    <row r="2488" spans="1:15" x14ac:dyDescent="0.25">
      <c r="A2488" s="3" t="s">
        <v>1030</v>
      </c>
      <c r="B2488" s="3" t="s">
        <v>333</v>
      </c>
      <c r="C2488" s="3">
        <v>10</v>
      </c>
      <c r="D2488" s="189">
        <v>1731100.73</v>
      </c>
      <c r="E2488" s="3" t="s">
        <v>10</v>
      </c>
      <c r="F2488" s="189">
        <v>184932.82199999999</v>
      </c>
      <c r="G2488" s="3" t="s">
        <v>335</v>
      </c>
      <c r="J2488" s="105" t="str">
        <f>A2486</f>
        <v>minus2_90_mem</v>
      </c>
      <c r="K2488" s="72" t="s">
        <v>340</v>
      </c>
      <c r="L2488" s="72" t="s">
        <v>341</v>
      </c>
      <c r="M2488" s="17" t="s">
        <v>162</v>
      </c>
      <c r="N2488" s="72" t="s">
        <v>342</v>
      </c>
      <c r="O2488" s="21" t="s">
        <v>162</v>
      </c>
    </row>
    <row r="2489" spans="1:15" x14ac:dyDescent="0.25">
      <c r="A2489" s="3" t="s">
        <v>1031</v>
      </c>
      <c r="B2489" s="3" t="s">
        <v>333</v>
      </c>
      <c r="C2489" s="3">
        <v>10</v>
      </c>
      <c r="D2489" s="189">
        <v>1971500.682</v>
      </c>
      <c r="E2489" s="3" t="s">
        <v>10</v>
      </c>
      <c r="F2489" s="189">
        <v>354898.57500000001</v>
      </c>
      <c r="G2489" s="3" t="s">
        <v>335</v>
      </c>
      <c r="J2489" s="6">
        <v>100000</v>
      </c>
      <c r="K2489" s="119">
        <f>D2488</f>
        <v>1731100.73</v>
      </c>
      <c r="L2489" s="119">
        <f>D2489</f>
        <v>1971500.682</v>
      </c>
      <c r="M2489" s="18">
        <f>(K2489/L2489-1)</f>
        <v>-0.12193754442738769</v>
      </c>
      <c r="N2489" s="73">
        <f>D2490</f>
        <v>1066926.233</v>
      </c>
      <c r="O2489" s="22">
        <f>(K2489/N2489-1)</f>
        <v>0.62251210670156976</v>
      </c>
    </row>
    <row r="2490" spans="1:15" x14ac:dyDescent="0.25">
      <c r="A2490" s="3" t="s">
        <v>1032</v>
      </c>
      <c r="B2490" s="3" t="s">
        <v>333</v>
      </c>
      <c r="C2490" s="3">
        <v>10</v>
      </c>
      <c r="D2490" s="189">
        <v>1066926.233</v>
      </c>
      <c r="E2490" s="3" t="s">
        <v>10</v>
      </c>
      <c r="F2490" s="189">
        <v>188878.329</v>
      </c>
      <c r="G2490" s="3" t="s">
        <v>335</v>
      </c>
      <c r="J2490" s="6">
        <v>50000</v>
      </c>
      <c r="K2490" s="119">
        <f>D2491</f>
        <v>1242894.4010000001</v>
      </c>
      <c r="L2490" s="119">
        <f>D2492</f>
        <v>826457.77899999998</v>
      </c>
      <c r="M2490" s="18">
        <f t="shared" ref="M2490:M2493" si="317">(K2490/L2490-1)</f>
        <v>0.50388130232603223</v>
      </c>
      <c r="N2490" s="73">
        <f>D2493</f>
        <v>477270.37099999998</v>
      </c>
      <c r="O2490" s="22">
        <f t="shared" ref="O2490:O2493" si="318">(K2490/N2490-1)</f>
        <v>1.6041725540092244</v>
      </c>
    </row>
    <row r="2491" spans="1:15" x14ac:dyDescent="0.25">
      <c r="A2491" s="3" t="s">
        <v>1033</v>
      </c>
      <c r="B2491" s="3" t="s">
        <v>333</v>
      </c>
      <c r="C2491" s="3">
        <v>10</v>
      </c>
      <c r="D2491" s="189">
        <v>1242894.4010000001</v>
      </c>
      <c r="E2491" s="3" t="s">
        <v>10</v>
      </c>
      <c r="F2491" s="189">
        <v>305658.84499999997</v>
      </c>
      <c r="G2491" s="3" t="s">
        <v>335</v>
      </c>
      <c r="J2491" s="6">
        <v>10000</v>
      </c>
      <c r="K2491" s="119">
        <f>D2494</f>
        <v>181318.16800000001</v>
      </c>
      <c r="L2491" s="119">
        <f>D2495</f>
        <v>188322.51300000001</v>
      </c>
      <c r="M2491" s="18">
        <f t="shared" si="317"/>
        <v>-3.7193349262496289E-2</v>
      </c>
      <c r="N2491" s="73">
        <f>D2496</f>
        <v>168525.81700000001</v>
      </c>
      <c r="O2491" s="22">
        <f t="shared" si="318"/>
        <v>7.590736676268417E-2</v>
      </c>
    </row>
    <row r="2492" spans="1:15" x14ac:dyDescent="0.25">
      <c r="A2492" s="3" t="s">
        <v>1034</v>
      </c>
      <c r="B2492" s="3" t="s">
        <v>333</v>
      </c>
      <c r="C2492" s="3">
        <v>10</v>
      </c>
      <c r="D2492" s="189">
        <v>826457.77899999998</v>
      </c>
      <c r="E2492" s="3" t="s">
        <v>10</v>
      </c>
      <c r="F2492" s="189">
        <v>150555.913</v>
      </c>
      <c r="G2492" s="3" t="s">
        <v>335</v>
      </c>
      <c r="J2492" s="67">
        <v>1000</v>
      </c>
      <c r="K2492" s="119">
        <f>D2497</f>
        <v>92517.370999999999</v>
      </c>
      <c r="L2492" s="119">
        <f>D2498</f>
        <v>94013.254000000001</v>
      </c>
      <c r="M2492" s="18">
        <f t="shared" si="317"/>
        <v>-1.5911405428004843E-2</v>
      </c>
      <c r="N2492" s="73">
        <f>D2499</f>
        <v>90524.587</v>
      </c>
      <c r="O2492" s="22">
        <f t="shared" si="318"/>
        <v>2.2013732026195276E-2</v>
      </c>
    </row>
    <row r="2493" spans="1:15" ht="20" thickBot="1" x14ac:dyDescent="0.3">
      <c r="A2493" s="3" t="s">
        <v>1035</v>
      </c>
      <c r="B2493" s="3" t="s">
        <v>333</v>
      </c>
      <c r="C2493" s="3">
        <v>10</v>
      </c>
      <c r="D2493" s="189">
        <v>477270.37099999998</v>
      </c>
      <c r="E2493" s="3" t="s">
        <v>10</v>
      </c>
      <c r="F2493" s="189">
        <v>21684.367999999999</v>
      </c>
      <c r="G2493" s="3" t="s">
        <v>335</v>
      </c>
      <c r="J2493" s="68">
        <v>100</v>
      </c>
      <c r="K2493" s="120">
        <f>D2500</f>
        <v>83509.061000000002</v>
      </c>
      <c r="L2493" s="120">
        <f>D2501</f>
        <v>82137.337</v>
      </c>
      <c r="M2493" s="19">
        <f t="shared" si="317"/>
        <v>1.6700370989626734E-2</v>
      </c>
      <c r="N2493" s="74">
        <f>D2502</f>
        <v>82516.591</v>
      </c>
      <c r="O2493" s="23">
        <f t="shared" si="318"/>
        <v>1.2027520623095089E-2</v>
      </c>
    </row>
    <row r="2494" spans="1:15" ht="20" thickBot="1" x14ac:dyDescent="0.3">
      <c r="A2494" s="3" t="s">
        <v>1036</v>
      </c>
      <c r="B2494" s="3" t="s">
        <v>333</v>
      </c>
      <c r="C2494" s="3">
        <v>10</v>
      </c>
      <c r="D2494" s="189">
        <v>181318.16800000001</v>
      </c>
      <c r="E2494" s="3" t="s">
        <v>10</v>
      </c>
      <c r="F2494" s="189">
        <v>3982.2979999999998</v>
      </c>
      <c r="G2494" s="3" t="s">
        <v>335</v>
      </c>
    </row>
    <row r="2495" spans="1:15" x14ac:dyDescent="0.25">
      <c r="A2495" s="3" t="s">
        <v>1037</v>
      </c>
      <c r="B2495" s="3" t="s">
        <v>333</v>
      </c>
      <c r="C2495" s="3">
        <v>10</v>
      </c>
      <c r="D2495" s="189">
        <v>188322.51300000001</v>
      </c>
      <c r="E2495" s="3" t="s">
        <v>10</v>
      </c>
      <c r="F2495" s="189">
        <v>4518.7209999999995</v>
      </c>
      <c r="G2495" s="3" t="s">
        <v>335</v>
      </c>
      <c r="J2495" s="105" t="str">
        <f>A2486</f>
        <v>minus2_90_mem</v>
      </c>
      <c r="K2495" s="72" t="s">
        <v>341</v>
      </c>
      <c r="L2495" s="72" t="s">
        <v>342</v>
      </c>
      <c r="M2495" s="21" t="s">
        <v>162</v>
      </c>
    </row>
    <row r="2496" spans="1:15" x14ac:dyDescent="0.25">
      <c r="A2496" s="3" t="s">
        <v>1038</v>
      </c>
      <c r="B2496" s="3" t="s">
        <v>333</v>
      </c>
      <c r="C2496" s="3">
        <v>10</v>
      </c>
      <c r="D2496" s="189">
        <v>168525.81700000001</v>
      </c>
      <c r="E2496" s="3" t="s">
        <v>10</v>
      </c>
      <c r="F2496" s="189">
        <v>6630.0169999999998</v>
      </c>
      <c r="G2496" s="3" t="s">
        <v>335</v>
      </c>
      <c r="J2496" s="6">
        <v>100000</v>
      </c>
      <c r="K2496" s="119">
        <f>D2489</f>
        <v>1971500.682</v>
      </c>
      <c r="L2496" s="119">
        <f>D2490</f>
        <v>1066926.233</v>
      </c>
      <c r="M2496" s="22">
        <f>(K2496/L2496-1)</f>
        <v>0.84783223152785681</v>
      </c>
    </row>
    <row r="2497" spans="1:13" x14ac:dyDescent="0.25">
      <c r="A2497" s="3" t="s">
        <v>1039</v>
      </c>
      <c r="B2497" s="3" t="s">
        <v>333</v>
      </c>
      <c r="C2497" s="3">
        <v>10</v>
      </c>
      <c r="D2497" s="189">
        <v>92517.370999999999</v>
      </c>
      <c r="E2497" s="3" t="s">
        <v>10</v>
      </c>
      <c r="F2497" s="189">
        <v>2479.8130000000001</v>
      </c>
      <c r="G2497" s="3" t="s">
        <v>335</v>
      </c>
      <c r="J2497" s="6">
        <v>50000</v>
      </c>
      <c r="K2497" s="119">
        <f>D2492</f>
        <v>826457.77899999998</v>
      </c>
      <c r="L2497" s="119">
        <f>D2493</f>
        <v>477270.37099999998</v>
      </c>
      <c r="M2497" s="22">
        <f t="shared" ref="M2497:M2500" si="319">(K2497/L2497-1)</f>
        <v>0.73163437166310086</v>
      </c>
    </row>
    <row r="2498" spans="1:13" x14ac:dyDescent="0.25">
      <c r="A2498" s="3" t="s">
        <v>1040</v>
      </c>
      <c r="B2498" s="3" t="s">
        <v>333</v>
      </c>
      <c r="C2498" s="3">
        <v>10</v>
      </c>
      <c r="D2498" s="189">
        <v>94013.254000000001</v>
      </c>
      <c r="E2498" s="3" t="s">
        <v>10</v>
      </c>
      <c r="F2498" s="189">
        <v>5123.2290000000003</v>
      </c>
      <c r="G2498" s="3" t="s">
        <v>335</v>
      </c>
      <c r="J2498" s="6">
        <v>10000</v>
      </c>
      <c r="K2498" s="119">
        <f>D2495</f>
        <v>188322.51300000001</v>
      </c>
      <c r="L2498" s="119">
        <f>D2496</f>
        <v>168525.81700000001</v>
      </c>
      <c r="M2498" s="22">
        <f t="shared" si="319"/>
        <v>0.11746981176183824</v>
      </c>
    </row>
    <row r="2499" spans="1:13" x14ac:dyDescent="0.25">
      <c r="A2499" s="3" t="s">
        <v>1041</v>
      </c>
      <c r="B2499" s="3" t="s">
        <v>333</v>
      </c>
      <c r="C2499" s="3">
        <v>10</v>
      </c>
      <c r="D2499" s="189">
        <v>90524.587</v>
      </c>
      <c r="E2499" s="3" t="s">
        <v>10</v>
      </c>
      <c r="F2499" s="189">
        <v>4473.7089999999998</v>
      </c>
      <c r="G2499" s="3" t="s">
        <v>335</v>
      </c>
      <c r="J2499" s="67">
        <v>1000</v>
      </c>
      <c r="K2499" s="119">
        <f>D2498</f>
        <v>94013.254000000001</v>
      </c>
      <c r="L2499" s="119">
        <f>D2499</f>
        <v>90524.587</v>
      </c>
      <c r="M2499" s="22">
        <f t="shared" si="319"/>
        <v>3.8538336551593444E-2</v>
      </c>
    </row>
    <row r="2500" spans="1:13" ht="20" thickBot="1" x14ac:dyDescent="0.3">
      <c r="A2500" s="3" t="s">
        <v>1042</v>
      </c>
      <c r="B2500" s="3" t="s">
        <v>333</v>
      </c>
      <c r="C2500" s="3">
        <v>10</v>
      </c>
      <c r="D2500" s="189">
        <v>83509.061000000002</v>
      </c>
      <c r="E2500" s="3" t="s">
        <v>10</v>
      </c>
      <c r="F2500" s="189">
        <v>2100.67</v>
      </c>
      <c r="G2500" s="3" t="s">
        <v>335</v>
      </c>
      <c r="J2500" s="68">
        <v>100</v>
      </c>
      <c r="K2500" s="120">
        <f>D2501</f>
        <v>82137.337</v>
      </c>
      <c r="L2500" s="120">
        <f>D2502</f>
        <v>82516.591</v>
      </c>
      <c r="M2500" s="23">
        <f t="shared" si="319"/>
        <v>-4.5960938934086482E-3</v>
      </c>
    </row>
    <row r="2501" spans="1:13" x14ac:dyDescent="0.25">
      <c r="A2501" s="3" t="s">
        <v>1043</v>
      </c>
      <c r="B2501" s="3" t="s">
        <v>333</v>
      </c>
      <c r="C2501" s="3">
        <v>10</v>
      </c>
      <c r="D2501" s="189">
        <v>82137.337</v>
      </c>
      <c r="E2501" s="3" t="s">
        <v>10</v>
      </c>
      <c r="F2501" s="189">
        <v>1816.97</v>
      </c>
      <c r="G2501" s="3" t="s">
        <v>335</v>
      </c>
    </row>
    <row r="2502" spans="1:13" x14ac:dyDescent="0.25">
      <c r="A2502" s="3" t="s">
        <v>1044</v>
      </c>
      <c r="B2502" s="3" t="s">
        <v>333</v>
      </c>
      <c r="C2502" s="3">
        <v>10</v>
      </c>
      <c r="D2502" s="189">
        <v>82516.591</v>
      </c>
      <c r="E2502" s="3" t="s">
        <v>10</v>
      </c>
      <c r="F2502" s="189">
        <v>1132.3</v>
      </c>
      <c r="G2502" s="3" t="s">
        <v>335</v>
      </c>
    </row>
    <row r="2504" spans="1:13" x14ac:dyDescent="0.25">
      <c r="A2504" s="3" t="s">
        <v>1095</v>
      </c>
    </row>
    <row r="2505" spans="1:13" ht="20" thickBot="1" x14ac:dyDescent="0.3">
      <c r="A2505" s="3" t="s">
        <v>2</v>
      </c>
      <c r="B2505" s="3" t="s">
        <v>3</v>
      </c>
      <c r="C2505" s="3" t="s">
        <v>4</v>
      </c>
      <c r="D2505" s="189" t="s">
        <v>5</v>
      </c>
      <c r="E2505" s="3" t="s">
        <v>6</v>
      </c>
      <c r="F2505" s="189" t="s">
        <v>7</v>
      </c>
    </row>
    <row r="2506" spans="1:13" x14ac:dyDescent="0.25">
      <c r="A2506" s="3" t="s">
        <v>1096</v>
      </c>
      <c r="B2506" s="3" t="s">
        <v>333</v>
      </c>
      <c r="C2506" s="3">
        <v>10</v>
      </c>
      <c r="D2506" s="189">
        <v>1716875.7860000001</v>
      </c>
      <c r="E2506" s="3" t="s">
        <v>10</v>
      </c>
      <c r="F2506" s="189">
        <v>1495729.6470000001</v>
      </c>
      <c r="G2506" s="3" t="s">
        <v>335</v>
      </c>
      <c r="J2506" s="5" t="str">
        <f>A2504</f>
        <v>Filter2_exp</v>
      </c>
      <c r="K2506" s="72" t="s">
        <v>340</v>
      </c>
      <c r="L2506" s="72" t="s">
        <v>341</v>
      </c>
      <c r="M2506" s="21" t="s">
        <v>162</v>
      </c>
    </row>
    <row r="2507" spans="1:13" x14ac:dyDescent="0.25">
      <c r="A2507" s="3" t="s">
        <v>1097</v>
      </c>
      <c r="B2507" s="3" t="s">
        <v>333</v>
      </c>
      <c r="C2507" s="3">
        <v>10</v>
      </c>
      <c r="D2507" s="189">
        <v>621510.77899999998</v>
      </c>
      <c r="E2507" s="3" t="s">
        <v>10</v>
      </c>
      <c r="F2507" s="189">
        <v>45688.237999999998</v>
      </c>
      <c r="G2507" s="3" t="s">
        <v>335</v>
      </c>
      <c r="J2507" s="6">
        <v>10</v>
      </c>
      <c r="K2507" s="119">
        <f>D2506</f>
        <v>1716875.7860000001</v>
      </c>
      <c r="L2507" s="119">
        <f>D2507</f>
        <v>621510.77899999998</v>
      </c>
      <c r="M2507" s="22">
        <f>(K2507/L2507-1)</f>
        <v>1.7624231855840429</v>
      </c>
    </row>
    <row r="2508" spans="1:13" x14ac:dyDescent="0.25">
      <c r="A2508" s="3" t="s">
        <v>1098</v>
      </c>
      <c r="B2508" s="3" t="s">
        <v>333</v>
      </c>
      <c r="C2508" s="3">
        <v>10</v>
      </c>
      <c r="D2508" s="189">
        <v>853047.89899999998</v>
      </c>
      <c r="E2508" s="3" t="s">
        <v>10</v>
      </c>
      <c r="F2508" s="189">
        <v>61730.233</v>
      </c>
      <c r="G2508" s="3" t="s">
        <v>335</v>
      </c>
      <c r="J2508" s="6">
        <v>5</v>
      </c>
      <c r="K2508" s="119">
        <f>D2508</f>
        <v>853047.89899999998</v>
      </c>
      <c r="L2508" s="119">
        <f>D2509</f>
        <v>508607.85200000001</v>
      </c>
      <c r="M2508" s="22">
        <f t="shared" ref="M2508:M2511" si="320">(K2508/L2508-1)</f>
        <v>0.67722125335965111</v>
      </c>
    </row>
    <row r="2509" spans="1:13" x14ac:dyDescent="0.25">
      <c r="A2509" s="3" t="s">
        <v>1099</v>
      </c>
      <c r="B2509" s="3" t="s">
        <v>333</v>
      </c>
      <c r="C2509" s="3">
        <v>10</v>
      </c>
      <c r="D2509" s="189">
        <v>508607.85200000001</v>
      </c>
      <c r="E2509" s="3" t="s">
        <v>10</v>
      </c>
      <c r="F2509" s="189">
        <v>40265.383999999998</v>
      </c>
      <c r="G2509" s="3" t="s">
        <v>335</v>
      </c>
      <c r="J2509" s="6">
        <v>3</v>
      </c>
      <c r="K2509" s="119">
        <f>D2510</f>
        <v>644931.28899999999</v>
      </c>
      <c r="L2509" s="119">
        <f>D2511</f>
        <v>801110.42700000003</v>
      </c>
      <c r="M2509" s="22">
        <f t="shared" si="320"/>
        <v>-0.19495332071117832</v>
      </c>
    </row>
    <row r="2510" spans="1:13" x14ac:dyDescent="0.25">
      <c r="A2510" s="3" t="s">
        <v>1100</v>
      </c>
      <c r="B2510" s="3" t="s">
        <v>333</v>
      </c>
      <c r="C2510" s="3">
        <v>10</v>
      </c>
      <c r="D2510" s="189">
        <v>644931.28899999999</v>
      </c>
      <c r="E2510" s="3" t="s">
        <v>10</v>
      </c>
      <c r="F2510" s="189">
        <v>104272.40700000001</v>
      </c>
      <c r="G2510" s="3" t="s">
        <v>335</v>
      </c>
      <c r="J2510" s="67">
        <v>2</v>
      </c>
      <c r="K2510" s="119">
        <f>D2512</f>
        <v>482829.21500000003</v>
      </c>
      <c r="L2510" s="119">
        <f>D2513</f>
        <v>245628.712</v>
      </c>
      <c r="M2510" s="22">
        <f t="shared" si="320"/>
        <v>0.96568719946713721</v>
      </c>
    </row>
    <row r="2511" spans="1:13" ht="20" thickBot="1" x14ac:dyDescent="0.3">
      <c r="A2511" s="3" t="s">
        <v>1101</v>
      </c>
      <c r="B2511" s="3" t="s">
        <v>333</v>
      </c>
      <c r="C2511" s="3">
        <v>10</v>
      </c>
      <c r="D2511" s="189">
        <v>801110.42700000003</v>
      </c>
      <c r="E2511" s="3" t="s">
        <v>10</v>
      </c>
      <c r="F2511" s="189">
        <v>32950.120999999999</v>
      </c>
      <c r="G2511" s="3" t="s">
        <v>335</v>
      </c>
      <c r="J2511" s="68">
        <v>1</v>
      </c>
      <c r="K2511" s="120">
        <f>D2514</f>
        <v>295341.99400000001</v>
      </c>
      <c r="L2511" s="120">
        <f>D2515</f>
        <v>111487.129</v>
      </c>
      <c r="M2511" s="23">
        <f t="shared" si="320"/>
        <v>1.649112921366914</v>
      </c>
    </row>
    <row r="2512" spans="1:13" x14ac:dyDescent="0.25">
      <c r="A2512" s="3" t="s">
        <v>1102</v>
      </c>
      <c r="B2512" s="3" t="s">
        <v>333</v>
      </c>
      <c r="C2512" s="3">
        <v>10</v>
      </c>
      <c r="D2512" s="189">
        <v>482829.21500000003</v>
      </c>
      <c r="E2512" s="3" t="s">
        <v>10</v>
      </c>
      <c r="F2512" s="189">
        <v>75115.585000000006</v>
      </c>
      <c r="G2512" s="3" t="s">
        <v>335</v>
      </c>
    </row>
    <row r="2513" spans="1:17" x14ac:dyDescent="0.25">
      <c r="A2513" s="3" t="s">
        <v>1103</v>
      </c>
      <c r="B2513" s="3" t="s">
        <v>333</v>
      </c>
      <c r="C2513" s="3">
        <v>10</v>
      </c>
      <c r="D2513" s="189">
        <v>245628.712</v>
      </c>
      <c r="E2513" s="3" t="s">
        <v>10</v>
      </c>
      <c r="F2513" s="189">
        <v>22178.914000000001</v>
      </c>
      <c r="G2513" s="3" t="s">
        <v>335</v>
      </c>
    </row>
    <row r="2514" spans="1:17" x14ac:dyDescent="0.25">
      <c r="A2514" s="3" t="s">
        <v>1104</v>
      </c>
      <c r="B2514" s="3" t="s">
        <v>333</v>
      </c>
      <c r="C2514" s="3">
        <v>10</v>
      </c>
      <c r="D2514" s="189">
        <v>295341.99400000001</v>
      </c>
      <c r="E2514" s="3" t="s">
        <v>10</v>
      </c>
      <c r="F2514" s="189">
        <v>26279.027999999998</v>
      </c>
      <c r="G2514" s="3" t="s">
        <v>335</v>
      </c>
    </row>
    <row r="2515" spans="1:17" x14ac:dyDescent="0.25">
      <c r="A2515" s="3" t="s">
        <v>1105</v>
      </c>
      <c r="B2515" s="3" t="s">
        <v>333</v>
      </c>
      <c r="C2515" s="3">
        <v>10</v>
      </c>
      <c r="D2515" s="189">
        <v>111487.129</v>
      </c>
      <c r="E2515" s="3" t="s">
        <v>10</v>
      </c>
      <c r="F2515" s="189">
        <v>3861.596</v>
      </c>
      <c r="G2515" s="3" t="s">
        <v>335</v>
      </c>
    </row>
    <row r="2517" spans="1:17" x14ac:dyDescent="0.25">
      <c r="A2517" s="3" t="s">
        <v>1106</v>
      </c>
    </row>
    <row r="2518" spans="1:17" ht="20" thickBot="1" x14ac:dyDescent="0.3">
      <c r="A2518" s="3" t="s">
        <v>2</v>
      </c>
      <c r="B2518" s="3" t="s">
        <v>3</v>
      </c>
      <c r="C2518" s="3" t="s">
        <v>4</v>
      </c>
      <c r="D2518" s="189" t="s">
        <v>5</v>
      </c>
      <c r="E2518" s="3" t="s">
        <v>6</v>
      </c>
      <c r="F2518" s="189" t="s">
        <v>7</v>
      </c>
    </row>
    <row r="2519" spans="1:17" x14ac:dyDescent="0.25">
      <c r="A2519" s="3" t="s">
        <v>1107</v>
      </c>
      <c r="B2519" s="3" t="s">
        <v>333</v>
      </c>
      <c r="C2519" s="3">
        <v>10</v>
      </c>
      <c r="D2519" s="189">
        <v>20634162.559</v>
      </c>
      <c r="E2519" s="3" t="s">
        <v>10</v>
      </c>
      <c r="F2519" s="189">
        <v>2619443.3289999999</v>
      </c>
      <c r="G2519" s="3" t="s">
        <v>335</v>
      </c>
      <c r="J2519" s="106" t="str">
        <f>A2517</f>
        <v>crazy2_mem</v>
      </c>
      <c r="K2519" s="72" t="s">
        <v>344</v>
      </c>
      <c r="L2519" s="72" t="s">
        <v>341</v>
      </c>
      <c r="M2519" s="17" t="s">
        <v>162</v>
      </c>
      <c r="N2519" s="72" t="s">
        <v>343</v>
      </c>
      <c r="O2519" s="17" t="s">
        <v>162</v>
      </c>
      <c r="P2519" s="72" t="s">
        <v>342</v>
      </c>
      <c r="Q2519" s="21" t="s">
        <v>162</v>
      </c>
    </row>
    <row r="2520" spans="1:17" x14ac:dyDescent="0.25">
      <c r="A2520" s="3" t="s">
        <v>1108</v>
      </c>
      <c r="B2520" s="3" t="s">
        <v>333</v>
      </c>
      <c r="C2520" s="3">
        <v>10</v>
      </c>
      <c r="D2520" s="189">
        <v>20825330.535</v>
      </c>
      <c r="E2520" s="3" t="s">
        <v>10</v>
      </c>
      <c r="F2520" s="189">
        <v>2645583.4360000002</v>
      </c>
      <c r="G2520" s="3" t="s">
        <v>335</v>
      </c>
      <c r="J2520" s="6">
        <v>100000</v>
      </c>
      <c r="K2520" s="119">
        <f>D2519</f>
        <v>20634162.559</v>
      </c>
      <c r="L2520" s="119">
        <f>D2520</f>
        <v>20825330.535</v>
      </c>
      <c r="M2520" s="18">
        <f>(K2520/L2520-1)</f>
        <v>-9.1795890431949356E-3</v>
      </c>
      <c r="N2520" s="73">
        <f>D2521</f>
        <v>21083524.750999998</v>
      </c>
      <c r="O2520" s="18">
        <f>(K2520/N2520-1)</f>
        <v>-2.1313428248219468E-2</v>
      </c>
      <c r="P2520" s="73">
        <f>D2522</f>
        <v>19197423.447999999</v>
      </c>
      <c r="Q2520" s="22">
        <f>(K2520/P2520-1)</f>
        <v>7.4840205243776214E-2</v>
      </c>
    </row>
    <row r="2521" spans="1:17" x14ac:dyDescent="0.25">
      <c r="A2521" s="3" t="s">
        <v>1109</v>
      </c>
      <c r="B2521" s="3" t="s">
        <v>333</v>
      </c>
      <c r="C2521" s="3">
        <v>10</v>
      </c>
      <c r="D2521" s="189">
        <v>21083524.750999998</v>
      </c>
      <c r="E2521" s="3" t="s">
        <v>10</v>
      </c>
      <c r="F2521" s="189">
        <v>2324937.3450000002</v>
      </c>
      <c r="G2521" s="3" t="s">
        <v>335</v>
      </c>
      <c r="J2521" s="6">
        <v>50000</v>
      </c>
      <c r="K2521" s="119">
        <f>D2523</f>
        <v>9606778.659</v>
      </c>
      <c r="L2521" s="119">
        <f>D2524</f>
        <v>9648795.0419999994</v>
      </c>
      <c r="M2521" s="18">
        <f t="shared" ref="M2521:M2524" si="321">(K2521/L2521-1)</f>
        <v>-4.3545730650415004E-3</v>
      </c>
      <c r="N2521" s="73">
        <f>D2525</f>
        <v>9398006.5940000005</v>
      </c>
      <c r="O2521" s="18">
        <f t="shared" ref="O2521:O2524" si="322">(K2521/N2521-1)</f>
        <v>2.2214505056134648E-2</v>
      </c>
      <c r="P2521" s="73">
        <f>D2526</f>
        <v>8843450.1600000001</v>
      </c>
      <c r="Q2521" s="22">
        <f t="shared" ref="Q2521:Q2524" si="323">(K2521/P2521-1)</f>
        <v>8.6315689599589573E-2</v>
      </c>
    </row>
    <row r="2522" spans="1:17" x14ac:dyDescent="0.25">
      <c r="A2522" s="3" t="s">
        <v>1110</v>
      </c>
      <c r="B2522" s="3" t="s">
        <v>333</v>
      </c>
      <c r="C2522" s="3">
        <v>10</v>
      </c>
      <c r="D2522" s="189">
        <v>19197423.447999999</v>
      </c>
      <c r="E2522" s="3" t="s">
        <v>10</v>
      </c>
      <c r="F2522" s="189">
        <v>2358873.5630000001</v>
      </c>
      <c r="G2522" s="3" t="s">
        <v>335</v>
      </c>
      <c r="J2522" s="6">
        <v>10000</v>
      </c>
      <c r="K2522" s="119">
        <f>D2527</f>
        <v>1578002.5319999999</v>
      </c>
      <c r="L2522" s="119">
        <f>D2528</f>
        <v>1666959.327</v>
      </c>
      <c r="M2522" s="18">
        <f t="shared" si="321"/>
        <v>-5.3364706360349068E-2</v>
      </c>
      <c r="N2522" s="73">
        <f>D2529</f>
        <v>1679260.6950000001</v>
      </c>
      <c r="O2522" s="18">
        <f t="shared" si="322"/>
        <v>-6.0299251510796625E-2</v>
      </c>
      <c r="P2522" s="73">
        <f>D2530</f>
        <v>1583098.176</v>
      </c>
      <c r="Q2522" s="22">
        <f t="shared" si="323"/>
        <v>-3.2187795281750642E-3</v>
      </c>
    </row>
    <row r="2523" spans="1:17" x14ac:dyDescent="0.25">
      <c r="A2523" s="3" t="s">
        <v>1111</v>
      </c>
      <c r="B2523" s="3" t="s">
        <v>333</v>
      </c>
      <c r="C2523" s="3">
        <v>10</v>
      </c>
      <c r="D2523" s="189">
        <v>9606778.659</v>
      </c>
      <c r="E2523" s="3" t="s">
        <v>10</v>
      </c>
      <c r="F2523" s="189">
        <v>782645.31099999999</v>
      </c>
      <c r="G2523" s="3" t="s">
        <v>335</v>
      </c>
      <c r="J2523" s="67">
        <v>1000</v>
      </c>
      <c r="K2523" s="119">
        <f>D2531</f>
        <v>178293.53099999999</v>
      </c>
      <c r="L2523" s="119">
        <f>D2532</f>
        <v>180748.677</v>
      </c>
      <c r="M2523" s="18">
        <f t="shared" si="321"/>
        <v>-1.3583203156723567E-2</v>
      </c>
      <c r="N2523" s="73">
        <f>D2533</f>
        <v>175860.087</v>
      </c>
      <c r="O2523" s="18">
        <f t="shared" si="322"/>
        <v>1.383738653558142E-2</v>
      </c>
      <c r="P2523" s="73">
        <f>D2534</f>
        <v>176783.829</v>
      </c>
      <c r="Q2523" s="22">
        <f t="shared" si="323"/>
        <v>8.5398195555543843E-3</v>
      </c>
    </row>
    <row r="2524" spans="1:17" ht="20" thickBot="1" x14ac:dyDescent="0.3">
      <c r="A2524" s="3" t="s">
        <v>1112</v>
      </c>
      <c r="B2524" s="3" t="s">
        <v>333</v>
      </c>
      <c r="C2524" s="3">
        <v>10</v>
      </c>
      <c r="D2524" s="189">
        <v>9648795.0419999994</v>
      </c>
      <c r="E2524" s="3" t="s">
        <v>10</v>
      </c>
      <c r="F2524" s="189">
        <v>940593.223</v>
      </c>
      <c r="G2524" s="3" t="s">
        <v>335</v>
      </c>
      <c r="J2524" s="68">
        <v>100</v>
      </c>
      <c r="K2524" s="120">
        <f>D2535</f>
        <v>89769.11</v>
      </c>
      <c r="L2524" s="120">
        <f>D2536</f>
        <v>91736.486999999994</v>
      </c>
      <c r="M2524" s="19">
        <f t="shared" si="321"/>
        <v>-2.1445959664882275E-2</v>
      </c>
      <c r="N2524" s="74">
        <f>D2537</f>
        <v>90624.05</v>
      </c>
      <c r="O2524" s="19">
        <f t="shared" si="322"/>
        <v>-9.43391958315698E-3</v>
      </c>
      <c r="P2524" s="74">
        <f>D2538</f>
        <v>87730.964000000007</v>
      </c>
      <c r="Q2524" s="23">
        <f t="shared" si="323"/>
        <v>2.3231774815559936E-2</v>
      </c>
    </row>
    <row r="2525" spans="1:17" ht="20" thickBot="1" x14ac:dyDescent="0.3">
      <c r="A2525" s="3" t="s">
        <v>1113</v>
      </c>
      <c r="B2525" s="3" t="s">
        <v>333</v>
      </c>
      <c r="C2525" s="3">
        <v>10</v>
      </c>
      <c r="D2525" s="189">
        <v>9398006.5940000005</v>
      </c>
      <c r="E2525" s="3" t="s">
        <v>10</v>
      </c>
      <c r="F2525" s="189">
        <v>575428.66700000002</v>
      </c>
      <c r="G2525" s="3" t="s">
        <v>335</v>
      </c>
    </row>
    <row r="2526" spans="1:17" x14ac:dyDescent="0.25">
      <c r="A2526" s="3" t="s">
        <v>1114</v>
      </c>
      <c r="B2526" s="3" t="s">
        <v>333</v>
      </c>
      <c r="C2526" s="3">
        <v>10</v>
      </c>
      <c r="D2526" s="189">
        <v>8843450.1600000001</v>
      </c>
      <c r="E2526" s="3" t="s">
        <v>10</v>
      </c>
      <c r="F2526" s="189">
        <v>218623.655</v>
      </c>
      <c r="G2526" s="3" t="s">
        <v>335</v>
      </c>
      <c r="J2526" s="106" t="str">
        <f>A2517</f>
        <v>crazy2_mem</v>
      </c>
      <c r="K2526" s="72" t="s">
        <v>341</v>
      </c>
      <c r="L2526" s="72" t="s">
        <v>342</v>
      </c>
      <c r="M2526" s="17" t="s">
        <v>162</v>
      </c>
      <c r="N2526" s="72" t="s">
        <v>343</v>
      </c>
      <c r="O2526" s="21" t="s">
        <v>162</v>
      </c>
    </row>
    <row r="2527" spans="1:17" x14ac:dyDescent="0.25">
      <c r="A2527" s="3" t="s">
        <v>1115</v>
      </c>
      <c r="B2527" s="3" t="s">
        <v>333</v>
      </c>
      <c r="C2527" s="3">
        <v>10</v>
      </c>
      <c r="D2527" s="189">
        <v>1578002.5319999999</v>
      </c>
      <c r="E2527" s="3" t="s">
        <v>10</v>
      </c>
      <c r="F2527" s="189">
        <v>139858.182</v>
      </c>
      <c r="G2527" s="3" t="s">
        <v>335</v>
      </c>
      <c r="J2527" s="6">
        <v>100000</v>
      </c>
      <c r="K2527" s="119">
        <f>D2520</f>
        <v>20825330.535</v>
      </c>
      <c r="L2527" s="119">
        <f>D2522</f>
        <v>19197423.447999999</v>
      </c>
      <c r="M2527" s="18">
        <f>(K2527/L2527-1)</f>
        <v>8.4798206978634827E-2</v>
      </c>
      <c r="N2527" s="73">
        <f>D2521</f>
        <v>21083524.750999998</v>
      </c>
      <c r="O2527" s="22">
        <f>(K2527/N2527-1)</f>
        <v>-1.2246254791327127E-2</v>
      </c>
    </row>
    <row r="2528" spans="1:17" x14ac:dyDescent="0.25">
      <c r="A2528" s="3" t="s">
        <v>1116</v>
      </c>
      <c r="B2528" s="3" t="s">
        <v>333</v>
      </c>
      <c r="C2528" s="3">
        <v>10</v>
      </c>
      <c r="D2528" s="189">
        <v>1666959.327</v>
      </c>
      <c r="E2528" s="3" t="s">
        <v>10</v>
      </c>
      <c r="F2528" s="189">
        <v>124804.508</v>
      </c>
      <c r="G2528" s="3" t="s">
        <v>335</v>
      </c>
      <c r="J2528" s="6">
        <v>50000</v>
      </c>
      <c r="K2528" s="119">
        <f>D2524</f>
        <v>9648795.0419999994</v>
      </c>
      <c r="L2528" s="119">
        <f>D2526</f>
        <v>8843450.1600000001</v>
      </c>
      <c r="M2528" s="18">
        <f t="shared" ref="M2528:M2531" si="324">(K2528/L2528-1)</f>
        <v>9.1066819785186492E-2</v>
      </c>
      <c r="N2528" s="73">
        <f>D2525</f>
        <v>9398006.5940000005</v>
      </c>
      <c r="O2528" s="22">
        <f t="shared" ref="O2528:O2531" si="325">(K2528/N2528-1)</f>
        <v>2.6685281127607485E-2</v>
      </c>
    </row>
    <row r="2529" spans="1:15" x14ac:dyDescent="0.25">
      <c r="A2529" s="3" t="s">
        <v>1117</v>
      </c>
      <c r="B2529" s="3" t="s">
        <v>333</v>
      </c>
      <c r="C2529" s="3">
        <v>10</v>
      </c>
      <c r="D2529" s="189">
        <v>1679260.6950000001</v>
      </c>
      <c r="E2529" s="3" t="s">
        <v>10</v>
      </c>
      <c r="F2529" s="189">
        <v>106935.29300000001</v>
      </c>
      <c r="G2529" s="3" t="s">
        <v>335</v>
      </c>
      <c r="J2529" s="6">
        <v>10000</v>
      </c>
      <c r="K2529" s="119">
        <f>D2528</f>
        <v>1666959.327</v>
      </c>
      <c r="L2529" s="119">
        <f>D2530</f>
        <v>1583098.176</v>
      </c>
      <c r="M2529" s="18">
        <f t="shared" si="324"/>
        <v>5.2972805016989755E-2</v>
      </c>
      <c r="N2529" s="73">
        <f>D2529</f>
        <v>1679260.6950000001</v>
      </c>
      <c r="O2529" s="22">
        <f t="shared" si="325"/>
        <v>-7.3254665202534541E-3</v>
      </c>
    </row>
    <row r="2530" spans="1:15" x14ac:dyDescent="0.25">
      <c r="A2530" s="3" t="s">
        <v>1118</v>
      </c>
      <c r="B2530" s="3" t="s">
        <v>333</v>
      </c>
      <c r="C2530" s="3">
        <v>10</v>
      </c>
      <c r="D2530" s="189">
        <v>1583098.176</v>
      </c>
      <c r="E2530" s="3" t="s">
        <v>10</v>
      </c>
      <c r="F2530" s="189">
        <v>148387.995</v>
      </c>
      <c r="G2530" s="3" t="s">
        <v>335</v>
      </c>
      <c r="J2530" s="67">
        <v>1000</v>
      </c>
      <c r="K2530" s="119">
        <f>D2532</f>
        <v>180748.677</v>
      </c>
      <c r="L2530" s="119">
        <f>D2534</f>
        <v>176783.829</v>
      </c>
      <c r="M2530" s="18">
        <f t="shared" si="324"/>
        <v>2.242766220432979E-2</v>
      </c>
      <c r="N2530" s="73">
        <f>D2533</f>
        <v>175860.087</v>
      </c>
      <c r="O2530" s="22">
        <f t="shared" si="325"/>
        <v>2.7798177991348316E-2</v>
      </c>
    </row>
    <row r="2531" spans="1:15" ht="20" thickBot="1" x14ac:dyDescent="0.3">
      <c r="A2531" s="3" t="s">
        <v>1119</v>
      </c>
      <c r="B2531" s="3" t="s">
        <v>333</v>
      </c>
      <c r="C2531" s="3">
        <v>10</v>
      </c>
      <c r="D2531" s="189">
        <v>178293.53099999999</v>
      </c>
      <c r="E2531" s="3" t="s">
        <v>10</v>
      </c>
      <c r="F2531" s="189">
        <v>14876.905000000001</v>
      </c>
      <c r="G2531" s="3" t="s">
        <v>335</v>
      </c>
      <c r="J2531" s="68">
        <v>100</v>
      </c>
      <c r="K2531" s="120">
        <f>D2536</f>
        <v>91736.486999999994</v>
      </c>
      <c r="L2531" s="120">
        <f>D2538</f>
        <v>87730.964000000007</v>
      </c>
      <c r="M2531" s="19">
        <f t="shared" si="324"/>
        <v>4.5656890308420461E-2</v>
      </c>
      <c r="N2531" s="74">
        <f>D2537</f>
        <v>90624.05</v>
      </c>
      <c r="O2531" s="23">
        <f t="shared" si="325"/>
        <v>1.2275295575512102E-2</v>
      </c>
    </row>
    <row r="2532" spans="1:15" x14ac:dyDescent="0.25">
      <c r="A2532" s="3" t="s">
        <v>1120</v>
      </c>
      <c r="B2532" s="3" t="s">
        <v>333</v>
      </c>
      <c r="C2532" s="3">
        <v>10</v>
      </c>
      <c r="D2532" s="189">
        <v>180748.677</v>
      </c>
      <c r="E2532" s="3" t="s">
        <v>10</v>
      </c>
      <c r="F2532" s="189">
        <v>12516.799000000001</v>
      </c>
      <c r="G2532" s="3" t="s">
        <v>335</v>
      </c>
    </row>
    <row r="2533" spans="1:15" x14ac:dyDescent="0.25">
      <c r="A2533" s="3" t="s">
        <v>1121</v>
      </c>
      <c r="B2533" s="3" t="s">
        <v>333</v>
      </c>
      <c r="C2533" s="3">
        <v>10</v>
      </c>
      <c r="D2533" s="189">
        <v>175860.087</v>
      </c>
      <c r="E2533" s="3" t="s">
        <v>10</v>
      </c>
      <c r="F2533" s="189">
        <v>9161.0589999999993</v>
      </c>
      <c r="G2533" s="3" t="s">
        <v>335</v>
      </c>
    </row>
    <row r="2534" spans="1:15" x14ac:dyDescent="0.25">
      <c r="A2534" s="3" t="s">
        <v>1122</v>
      </c>
      <c r="B2534" s="3" t="s">
        <v>333</v>
      </c>
      <c r="C2534" s="3">
        <v>10</v>
      </c>
      <c r="D2534" s="189">
        <v>176783.829</v>
      </c>
      <c r="E2534" s="3" t="s">
        <v>10</v>
      </c>
      <c r="F2534" s="189">
        <v>17743.68</v>
      </c>
      <c r="G2534" s="3" t="s">
        <v>335</v>
      </c>
    </row>
    <row r="2535" spans="1:15" x14ac:dyDescent="0.25">
      <c r="A2535" s="3" t="s">
        <v>1123</v>
      </c>
      <c r="B2535" s="3" t="s">
        <v>333</v>
      </c>
      <c r="C2535" s="3">
        <v>10</v>
      </c>
      <c r="D2535" s="189">
        <v>89769.11</v>
      </c>
      <c r="E2535" s="3" t="s">
        <v>10</v>
      </c>
      <c r="F2535" s="189">
        <v>2413.4940000000001</v>
      </c>
      <c r="G2535" s="3" t="s">
        <v>335</v>
      </c>
    </row>
    <row r="2536" spans="1:15" x14ac:dyDescent="0.25">
      <c r="A2536" s="3" t="s">
        <v>1124</v>
      </c>
      <c r="B2536" s="3" t="s">
        <v>333</v>
      </c>
      <c r="C2536" s="3">
        <v>10</v>
      </c>
      <c r="D2536" s="189">
        <v>91736.486999999994</v>
      </c>
      <c r="E2536" s="3" t="s">
        <v>10</v>
      </c>
      <c r="F2536" s="189">
        <v>3002.3139999999999</v>
      </c>
      <c r="G2536" s="3" t="s">
        <v>335</v>
      </c>
    </row>
    <row r="2537" spans="1:15" x14ac:dyDescent="0.25">
      <c r="A2537" s="3" t="s">
        <v>1125</v>
      </c>
      <c r="B2537" s="3" t="s">
        <v>333</v>
      </c>
      <c r="C2537" s="3">
        <v>10</v>
      </c>
      <c r="D2537" s="189">
        <v>90624.05</v>
      </c>
      <c r="E2537" s="3" t="s">
        <v>10</v>
      </c>
      <c r="F2537" s="189">
        <v>4847.9530000000004</v>
      </c>
      <c r="G2537" s="3" t="s">
        <v>335</v>
      </c>
    </row>
    <row r="2538" spans="1:15" x14ac:dyDescent="0.25">
      <c r="A2538" s="3" t="s">
        <v>1126</v>
      </c>
      <c r="B2538" s="3" t="s">
        <v>333</v>
      </c>
      <c r="C2538" s="3">
        <v>10</v>
      </c>
      <c r="D2538" s="189">
        <v>87730.964000000007</v>
      </c>
      <c r="E2538" s="3" t="s">
        <v>10</v>
      </c>
      <c r="F2538" s="189">
        <v>2891.1039999999998</v>
      </c>
      <c r="G2538" s="3" t="s">
        <v>335</v>
      </c>
    </row>
    <row r="2540" spans="1:15" x14ac:dyDescent="0.25">
      <c r="A2540" s="3" t="s">
        <v>1150</v>
      </c>
    </row>
    <row r="2541" spans="1:15" ht="20" thickBot="1" x14ac:dyDescent="0.3">
      <c r="A2541" s="3" t="s">
        <v>2</v>
      </c>
      <c r="B2541" s="3" t="s">
        <v>3</v>
      </c>
      <c r="C2541" s="3" t="s">
        <v>4</v>
      </c>
      <c r="D2541" s="189" t="s">
        <v>5</v>
      </c>
      <c r="E2541" s="3" t="s">
        <v>6</v>
      </c>
      <c r="F2541" s="189" t="s">
        <v>7</v>
      </c>
    </row>
    <row r="2542" spans="1:15" x14ac:dyDescent="0.25">
      <c r="A2542" s="3" t="s">
        <v>1127</v>
      </c>
      <c r="B2542" s="3" t="s">
        <v>333</v>
      </c>
      <c r="C2542" s="3">
        <v>10</v>
      </c>
      <c r="D2542" s="189">
        <v>579946114.34200001</v>
      </c>
      <c r="E2542" s="3" t="s">
        <v>10</v>
      </c>
      <c r="F2542" s="189">
        <v>318001619.14700001</v>
      </c>
      <c r="G2542" s="3" t="s">
        <v>335</v>
      </c>
      <c r="J2542" s="105" t="s">
        <v>1150</v>
      </c>
      <c r="K2542" s="72" t="s">
        <v>340</v>
      </c>
      <c r="L2542" s="72" t="s">
        <v>341</v>
      </c>
      <c r="M2542" s="17" t="s">
        <v>162</v>
      </c>
      <c r="N2542" s="72" t="s">
        <v>342</v>
      </c>
      <c r="O2542" s="21" t="s">
        <v>162</v>
      </c>
    </row>
    <row r="2543" spans="1:15" x14ac:dyDescent="0.25">
      <c r="A2543" s="3" t="s">
        <v>1128</v>
      </c>
      <c r="B2543" s="3" t="s">
        <v>333</v>
      </c>
      <c r="C2543" s="3">
        <v>10</v>
      </c>
      <c r="D2543" s="189">
        <v>24197499.659000002</v>
      </c>
      <c r="E2543" s="3" t="s">
        <v>10</v>
      </c>
      <c r="F2543" s="189">
        <v>1345634.219</v>
      </c>
      <c r="G2543" s="3" t="s">
        <v>335</v>
      </c>
      <c r="J2543" s="6">
        <v>100000</v>
      </c>
      <c r="K2543" s="119">
        <f>D2542</f>
        <v>579946114.34200001</v>
      </c>
      <c r="L2543" s="119">
        <f>D2543</f>
        <v>24197499.659000002</v>
      </c>
      <c r="M2543" s="18">
        <f>(K2543/L2543-1)</f>
        <v>22.967191755958769</v>
      </c>
      <c r="N2543" s="73">
        <f>D2544</f>
        <v>51073063.556999996</v>
      </c>
      <c r="O2543" s="22">
        <f>(K2543/N2543-1)</f>
        <v>10.355224730052706</v>
      </c>
    </row>
    <row r="2544" spans="1:15" x14ac:dyDescent="0.25">
      <c r="A2544" s="3" t="s">
        <v>1129</v>
      </c>
      <c r="B2544" s="3" t="s">
        <v>333</v>
      </c>
      <c r="C2544" s="3">
        <v>10</v>
      </c>
      <c r="D2544" s="189">
        <v>51073063.556999996</v>
      </c>
      <c r="E2544" s="3" t="s">
        <v>10</v>
      </c>
      <c r="F2544" s="189">
        <v>3726710.5430000001</v>
      </c>
      <c r="G2544" s="3" t="s">
        <v>335</v>
      </c>
      <c r="J2544" s="6">
        <v>50000</v>
      </c>
      <c r="K2544" s="119">
        <f>D2545</f>
        <v>62428121.392999999</v>
      </c>
      <c r="L2544" s="119">
        <f>D2546</f>
        <v>11446456.691</v>
      </c>
      <c r="M2544" s="18">
        <f t="shared" ref="M2544:M2547" si="326">(K2544/L2544-1)</f>
        <v>4.453925444201901</v>
      </c>
      <c r="N2544" s="73">
        <f>D2547</f>
        <v>17529383.706999999</v>
      </c>
      <c r="O2544" s="22">
        <f t="shared" ref="O2544:O2547" si="327">(K2544/N2544-1)</f>
        <v>2.5613414844739015</v>
      </c>
    </row>
    <row r="2545" spans="1:15" x14ac:dyDescent="0.25">
      <c r="A2545" s="3" t="s">
        <v>1130</v>
      </c>
      <c r="B2545" s="3" t="s">
        <v>333</v>
      </c>
      <c r="C2545" s="3">
        <v>10</v>
      </c>
      <c r="D2545" s="189">
        <v>62428121.392999999</v>
      </c>
      <c r="E2545" s="3" t="s">
        <v>10</v>
      </c>
      <c r="F2545" s="189">
        <v>10487773.622</v>
      </c>
      <c r="G2545" s="3" t="s">
        <v>335</v>
      </c>
      <c r="J2545" s="6">
        <v>10000</v>
      </c>
      <c r="K2545" s="119">
        <f>D2548</f>
        <v>6780299.3140000002</v>
      </c>
      <c r="L2545" s="119">
        <f>D2549</f>
        <v>2624962.355</v>
      </c>
      <c r="M2545" s="18">
        <f t="shared" si="326"/>
        <v>1.5830082100358349</v>
      </c>
      <c r="N2545" s="73">
        <f>D2550</f>
        <v>4355885.9740000004</v>
      </c>
      <c r="O2545" s="22">
        <f t="shared" si="327"/>
        <v>0.55658328855970174</v>
      </c>
    </row>
    <row r="2546" spans="1:15" x14ac:dyDescent="0.25">
      <c r="A2546" s="3" t="s">
        <v>1131</v>
      </c>
      <c r="B2546" s="3" t="s">
        <v>333</v>
      </c>
      <c r="C2546" s="3">
        <v>10</v>
      </c>
      <c r="D2546" s="189">
        <v>11446456.691</v>
      </c>
      <c r="E2546" s="3" t="s">
        <v>10</v>
      </c>
      <c r="F2546" s="189">
        <v>458623.76400000002</v>
      </c>
      <c r="G2546" s="3" t="s">
        <v>335</v>
      </c>
      <c r="J2546" s="67">
        <v>1000</v>
      </c>
      <c r="K2546" s="119">
        <f>D2551</f>
        <v>865323.89099999995</v>
      </c>
      <c r="L2546" s="119">
        <f>D2552</f>
        <v>562808.63399999996</v>
      </c>
      <c r="M2546" s="18">
        <f t="shared" si="326"/>
        <v>0.53750997892473706</v>
      </c>
      <c r="N2546" s="73">
        <f>D2553</f>
        <v>777921.15</v>
      </c>
      <c r="O2546" s="22">
        <f t="shared" si="327"/>
        <v>0.11235424181486753</v>
      </c>
    </row>
    <row r="2547" spans="1:15" ht="20" thickBot="1" x14ac:dyDescent="0.3">
      <c r="A2547" s="3" t="s">
        <v>1132</v>
      </c>
      <c r="B2547" s="3" t="s">
        <v>333</v>
      </c>
      <c r="C2547" s="3">
        <v>10</v>
      </c>
      <c r="D2547" s="189">
        <v>17529383.706999999</v>
      </c>
      <c r="E2547" s="3" t="s">
        <v>10</v>
      </c>
      <c r="F2547" s="189">
        <v>5921957.4349999996</v>
      </c>
      <c r="G2547" s="3" t="s">
        <v>335</v>
      </c>
      <c r="J2547" s="68">
        <v>100</v>
      </c>
      <c r="K2547" s="120">
        <f>D2554</f>
        <v>225350.38399999999</v>
      </c>
      <c r="L2547" s="120">
        <f>D2555</f>
        <v>181941.13399999999</v>
      </c>
      <c r="M2547" s="19">
        <f t="shared" si="326"/>
        <v>0.23858953193069588</v>
      </c>
      <c r="N2547" s="74">
        <f>D2556</f>
        <v>219311.141</v>
      </c>
      <c r="O2547" s="23">
        <f t="shared" si="327"/>
        <v>2.7537328803555861E-2</v>
      </c>
    </row>
    <row r="2548" spans="1:15" ht="20" thickBot="1" x14ac:dyDescent="0.3">
      <c r="A2548" s="3" t="s">
        <v>1133</v>
      </c>
      <c r="B2548" s="3" t="s">
        <v>333</v>
      </c>
      <c r="C2548" s="3">
        <v>10</v>
      </c>
      <c r="D2548" s="189">
        <v>6780299.3140000002</v>
      </c>
      <c r="E2548" s="3" t="s">
        <v>10</v>
      </c>
      <c r="F2548" s="189">
        <v>1605136.84</v>
      </c>
      <c r="G2548" s="3" t="s">
        <v>335</v>
      </c>
    </row>
    <row r="2549" spans="1:15" x14ac:dyDescent="0.25">
      <c r="A2549" s="3" t="s">
        <v>1134</v>
      </c>
      <c r="B2549" s="3" t="s">
        <v>333</v>
      </c>
      <c r="C2549" s="3">
        <v>10</v>
      </c>
      <c r="D2549" s="189">
        <v>2624962.355</v>
      </c>
      <c r="E2549" s="3" t="s">
        <v>10</v>
      </c>
      <c r="F2549" s="189">
        <v>325454.505</v>
      </c>
      <c r="G2549" s="3" t="s">
        <v>335</v>
      </c>
      <c r="J2549" s="105" t="str">
        <f>A2540</f>
        <v>reality2_mem</v>
      </c>
      <c r="K2549" s="72" t="s">
        <v>341</v>
      </c>
      <c r="L2549" s="72" t="s">
        <v>342</v>
      </c>
      <c r="M2549" s="21" t="s">
        <v>162</v>
      </c>
    </row>
    <row r="2550" spans="1:15" x14ac:dyDescent="0.25">
      <c r="A2550" s="3" t="s">
        <v>1135</v>
      </c>
      <c r="B2550" s="3" t="s">
        <v>333</v>
      </c>
      <c r="C2550" s="3">
        <v>10</v>
      </c>
      <c r="D2550" s="189">
        <v>4355885.9740000004</v>
      </c>
      <c r="E2550" s="3" t="s">
        <v>10</v>
      </c>
      <c r="F2550" s="189">
        <v>1017200.807</v>
      </c>
      <c r="G2550" s="3" t="s">
        <v>335</v>
      </c>
      <c r="J2550" s="6">
        <v>100000</v>
      </c>
      <c r="K2550" s="119">
        <f>D2543</f>
        <v>24197499.659000002</v>
      </c>
      <c r="L2550" s="119">
        <f>D2544</f>
        <v>51073063.556999996</v>
      </c>
      <c r="M2550" s="22">
        <f>(K2550/L2550-1)</f>
        <v>-0.5262179713971058</v>
      </c>
    </row>
    <row r="2551" spans="1:15" x14ac:dyDescent="0.25">
      <c r="A2551" s="3" t="s">
        <v>1136</v>
      </c>
      <c r="B2551" s="3" t="s">
        <v>333</v>
      </c>
      <c r="C2551" s="3">
        <v>10</v>
      </c>
      <c r="D2551" s="189">
        <v>865323.89099999995</v>
      </c>
      <c r="E2551" s="3" t="s">
        <v>10</v>
      </c>
      <c r="F2551" s="189">
        <v>367965.74300000002</v>
      </c>
      <c r="G2551" s="3" t="s">
        <v>335</v>
      </c>
      <c r="J2551" s="6">
        <v>50000</v>
      </c>
      <c r="K2551" s="119">
        <f>D2546</f>
        <v>11446456.691</v>
      </c>
      <c r="L2551" s="119">
        <f>D2547</f>
        <v>17529383.706999999</v>
      </c>
      <c r="M2551" s="22">
        <f t="shared" ref="M2551:M2554" si="328">(K2551/L2551-1)</f>
        <v>-0.34701317043855384</v>
      </c>
    </row>
    <row r="2552" spans="1:15" x14ac:dyDescent="0.25">
      <c r="A2552" s="3" t="s">
        <v>1137</v>
      </c>
      <c r="B2552" s="3" t="s">
        <v>333</v>
      </c>
      <c r="C2552" s="3">
        <v>10</v>
      </c>
      <c r="D2552" s="189">
        <v>562808.63399999996</v>
      </c>
      <c r="E2552" s="3" t="s">
        <v>10</v>
      </c>
      <c r="F2552" s="189">
        <v>96330.457999999999</v>
      </c>
      <c r="G2552" s="3" t="s">
        <v>335</v>
      </c>
      <c r="J2552" s="6">
        <v>10000</v>
      </c>
      <c r="K2552" s="119">
        <f>D2549</f>
        <v>2624962.355</v>
      </c>
      <c r="L2552" s="119">
        <f>D2550</f>
        <v>4355885.9740000004</v>
      </c>
      <c r="M2552" s="22">
        <f t="shared" si="328"/>
        <v>-0.39737578745903146</v>
      </c>
    </row>
    <row r="2553" spans="1:15" x14ac:dyDescent="0.25">
      <c r="A2553" s="3" t="s">
        <v>1138</v>
      </c>
      <c r="B2553" s="3" t="s">
        <v>333</v>
      </c>
      <c r="C2553" s="3">
        <v>10</v>
      </c>
      <c r="D2553" s="189">
        <v>777921.15</v>
      </c>
      <c r="E2553" s="3" t="s">
        <v>10</v>
      </c>
      <c r="F2553" s="189">
        <v>67419.618000000002</v>
      </c>
      <c r="G2553" s="3" t="s">
        <v>335</v>
      </c>
      <c r="J2553" s="67">
        <v>1000</v>
      </c>
      <c r="K2553" s="119">
        <f>D2552</f>
        <v>562808.63399999996</v>
      </c>
      <c r="L2553" s="119">
        <f>D2553</f>
        <v>777921.15</v>
      </c>
      <c r="M2553" s="22">
        <f t="shared" si="328"/>
        <v>-0.2765222619284744</v>
      </c>
    </row>
    <row r="2554" spans="1:15" ht="20" thickBot="1" x14ac:dyDescent="0.3">
      <c r="A2554" s="3" t="s">
        <v>1139</v>
      </c>
      <c r="B2554" s="3" t="s">
        <v>333</v>
      </c>
      <c r="C2554" s="3">
        <v>10</v>
      </c>
      <c r="D2554" s="189">
        <v>225350.38399999999</v>
      </c>
      <c r="E2554" s="3" t="s">
        <v>10</v>
      </c>
      <c r="F2554" s="189">
        <v>22317.367999999999</v>
      </c>
      <c r="G2554" s="3" t="s">
        <v>335</v>
      </c>
      <c r="J2554" s="68">
        <v>100</v>
      </c>
      <c r="K2554" s="120">
        <f>D2555</f>
        <v>181941.13399999999</v>
      </c>
      <c r="L2554" s="120">
        <f>D2556</f>
        <v>219311.141</v>
      </c>
      <c r="M2554" s="23">
        <f t="shared" si="328"/>
        <v>-0.17039721205955516</v>
      </c>
    </row>
    <row r="2555" spans="1:15" x14ac:dyDescent="0.25">
      <c r="A2555" s="3" t="s">
        <v>1140</v>
      </c>
      <c r="B2555" s="3" t="s">
        <v>333</v>
      </c>
      <c r="C2555" s="3">
        <v>10</v>
      </c>
      <c r="D2555" s="189">
        <v>181941.13399999999</v>
      </c>
      <c r="E2555" s="3" t="s">
        <v>10</v>
      </c>
      <c r="F2555" s="189">
        <v>2955.5210000000002</v>
      </c>
      <c r="G2555" s="3" t="s">
        <v>335</v>
      </c>
    </row>
    <row r="2556" spans="1:15" x14ac:dyDescent="0.25">
      <c r="A2556" s="3" t="s">
        <v>1141</v>
      </c>
      <c r="B2556" s="3" t="s">
        <v>333</v>
      </c>
      <c r="C2556" s="3">
        <v>10</v>
      </c>
      <c r="D2556" s="189">
        <v>219311.141</v>
      </c>
      <c r="E2556" s="3" t="s">
        <v>10</v>
      </c>
      <c r="F2556" s="189">
        <v>25407.669000000002</v>
      </c>
      <c r="G2556" s="3" t="s">
        <v>335</v>
      </c>
    </row>
    <row r="2558" spans="1:15" x14ac:dyDescent="0.25">
      <c r="A2558" s="3" t="s">
        <v>1142</v>
      </c>
    </row>
    <row r="2559" spans="1:15" ht="20" thickBot="1" x14ac:dyDescent="0.3">
      <c r="A2559" s="3" t="s">
        <v>2</v>
      </c>
      <c r="B2559" s="3" t="s">
        <v>3</v>
      </c>
      <c r="C2559" s="3" t="s">
        <v>4</v>
      </c>
      <c r="D2559" s="189" t="s">
        <v>5</v>
      </c>
      <c r="E2559" s="3" t="s">
        <v>6</v>
      </c>
      <c r="F2559" s="189" t="s">
        <v>7</v>
      </c>
    </row>
    <row r="2560" spans="1:15" x14ac:dyDescent="0.25">
      <c r="A2560" s="3" t="s">
        <v>882</v>
      </c>
      <c r="B2560" s="3" t="s">
        <v>333</v>
      </c>
      <c r="C2560" s="3">
        <v>10</v>
      </c>
      <c r="D2560" s="189">
        <v>6777810.5109999999</v>
      </c>
      <c r="E2560" s="3" t="s">
        <v>10</v>
      </c>
      <c r="F2560" s="189">
        <v>1109579.5789999999</v>
      </c>
      <c r="G2560" s="3" t="s">
        <v>335</v>
      </c>
      <c r="J2560" s="105" t="str">
        <f>A2558</f>
        <v>groupBy2_10_mem</v>
      </c>
      <c r="K2560" s="72" t="s">
        <v>340</v>
      </c>
      <c r="L2560" s="72" t="s">
        <v>341</v>
      </c>
      <c r="M2560" s="17" t="s">
        <v>162</v>
      </c>
      <c r="N2560" s="72" t="s">
        <v>342</v>
      </c>
      <c r="O2560" s="21" t="s">
        <v>162</v>
      </c>
    </row>
    <row r="2561" spans="1:15" x14ac:dyDescent="0.25">
      <c r="A2561" s="3" t="s">
        <v>883</v>
      </c>
      <c r="B2561" s="3" t="s">
        <v>333</v>
      </c>
      <c r="C2561" s="3">
        <v>10</v>
      </c>
      <c r="D2561" s="189">
        <v>6041566.6569999997</v>
      </c>
      <c r="E2561" s="3" t="s">
        <v>10</v>
      </c>
      <c r="F2561" s="189">
        <v>285365.79599999997</v>
      </c>
      <c r="G2561" s="3" t="s">
        <v>335</v>
      </c>
      <c r="J2561" s="6">
        <v>100000</v>
      </c>
      <c r="K2561" s="119">
        <f>D2560</f>
        <v>6777810.5109999999</v>
      </c>
      <c r="L2561" s="119">
        <f>D2561</f>
        <v>6041566.6569999997</v>
      </c>
      <c r="M2561" s="18">
        <f>(K2561/L2561-1)</f>
        <v>0.12186306893543231</v>
      </c>
      <c r="N2561" s="73">
        <f>D2562</f>
        <v>11076703.390000001</v>
      </c>
      <c r="O2561" s="22">
        <f>(K2561/N2561-1)</f>
        <v>-0.38810219319233752</v>
      </c>
    </row>
    <row r="2562" spans="1:15" x14ac:dyDescent="0.25">
      <c r="A2562" s="3" t="s">
        <v>884</v>
      </c>
      <c r="B2562" s="3" t="s">
        <v>333</v>
      </c>
      <c r="C2562" s="3">
        <v>10</v>
      </c>
      <c r="D2562" s="189">
        <v>11076703.390000001</v>
      </c>
      <c r="E2562" s="3" t="s">
        <v>10</v>
      </c>
      <c r="F2562" s="189">
        <v>1220521.574</v>
      </c>
      <c r="G2562" s="3" t="s">
        <v>335</v>
      </c>
      <c r="J2562" s="6">
        <v>50000</v>
      </c>
      <c r="K2562" s="119">
        <f>D2563</f>
        <v>2606466.787</v>
      </c>
      <c r="L2562" s="119">
        <f>D2564</f>
        <v>2290093.1719999998</v>
      </c>
      <c r="M2562" s="18">
        <f t="shared" ref="M2562:M2565" si="329">(K2562/L2562-1)</f>
        <v>0.13814879624469723</v>
      </c>
      <c r="N2562" s="73">
        <f>D2565</f>
        <v>4037010.665</v>
      </c>
      <c r="O2562" s="22">
        <f t="shared" ref="O2562:O2565" si="330">(K2562/N2562-1)</f>
        <v>-0.3543572204063028</v>
      </c>
    </row>
    <row r="2563" spans="1:15" x14ac:dyDescent="0.25">
      <c r="A2563" s="3" t="s">
        <v>885</v>
      </c>
      <c r="B2563" s="3" t="s">
        <v>333</v>
      </c>
      <c r="C2563" s="3">
        <v>10</v>
      </c>
      <c r="D2563" s="189">
        <v>2606466.787</v>
      </c>
      <c r="E2563" s="3" t="s">
        <v>10</v>
      </c>
      <c r="F2563" s="189">
        <v>252519.258</v>
      </c>
      <c r="G2563" s="3" t="s">
        <v>335</v>
      </c>
      <c r="J2563" s="6">
        <v>10000</v>
      </c>
      <c r="K2563" s="119">
        <f>D2566</f>
        <v>526931.19299999997</v>
      </c>
      <c r="L2563" s="119">
        <f>D2567</f>
        <v>564555.90899999999</v>
      </c>
      <c r="M2563" s="18">
        <f t="shared" si="329"/>
        <v>-6.664480063036593E-2</v>
      </c>
      <c r="N2563" s="73">
        <f>D2568</f>
        <v>1091144.8189999999</v>
      </c>
      <c r="O2563" s="22">
        <f t="shared" si="330"/>
        <v>-0.51708409019169799</v>
      </c>
    </row>
    <row r="2564" spans="1:15" x14ac:dyDescent="0.25">
      <c r="A2564" s="3" t="s">
        <v>886</v>
      </c>
      <c r="B2564" s="3" t="s">
        <v>333</v>
      </c>
      <c r="C2564" s="3">
        <v>10</v>
      </c>
      <c r="D2564" s="189">
        <v>2290093.1719999998</v>
      </c>
      <c r="E2564" s="3" t="s">
        <v>10</v>
      </c>
      <c r="F2564" s="189">
        <v>162729.13</v>
      </c>
      <c r="G2564" s="3" t="s">
        <v>335</v>
      </c>
      <c r="J2564" s="67">
        <v>1000</v>
      </c>
      <c r="K2564" s="119">
        <f>D2569</f>
        <v>101330.061</v>
      </c>
      <c r="L2564" s="119">
        <f>D2570</f>
        <v>104811.414</v>
      </c>
      <c r="M2564" s="18">
        <f t="shared" si="329"/>
        <v>-3.3215399612870455E-2</v>
      </c>
      <c r="N2564" s="73">
        <f>D2571</f>
        <v>113484.284</v>
      </c>
      <c r="O2564" s="22">
        <f t="shared" si="330"/>
        <v>-0.1071004950782436</v>
      </c>
    </row>
    <row r="2565" spans="1:15" ht="20" thickBot="1" x14ac:dyDescent="0.3">
      <c r="A2565" s="3" t="s">
        <v>887</v>
      </c>
      <c r="B2565" s="3" t="s">
        <v>333</v>
      </c>
      <c r="C2565" s="3">
        <v>10</v>
      </c>
      <c r="D2565" s="189">
        <v>4037010.665</v>
      </c>
      <c r="E2565" s="3" t="s">
        <v>10</v>
      </c>
      <c r="F2565" s="189">
        <v>394089.28200000001</v>
      </c>
      <c r="G2565" s="3" t="s">
        <v>335</v>
      </c>
      <c r="J2565" s="68">
        <v>100</v>
      </c>
      <c r="K2565" s="120">
        <f>D2572</f>
        <v>87548.713000000003</v>
      </c>
      <c r="L2565" s="120">
        <f>D2573</f>
        <v>84331.44</v>
      </c>
      <c r="M2565" s="19">
        <f t="shared" si="329"/>
        <v>3.8150338711161691E-2</v>
      </c>
      <c r="N2565" s="74">
        <f>D2574</f>
        <v>88102.523000000001</v>
      </c>
      <c r="O2565" s="23">
        <f t="shared" si="330"/>
        <v>-6.2859720827744825E-3</v>
      </c>
    </row>
    <row r="2566" spans="1:15" ht="20" thickBot="1" x14ac:dyDescent="0.3">
      <c r="A2566" s="3" t="s">
        <v>888</v>
      </c>
      <c r="B2566" s="3" t="s">
        <v>333</v>
      </c>
      <c r="C2566" s="3">
        <v>10</v>
      </c>
      <c r="D2566" s="189">
        <v>526931.19299999997</v>
      </c>
      <c r="E2566" s="3" t="s">
        <v>10</v>
      </c>
      <c r="F2566" s="189">
        <v>47101.305999999997</v>
      </c>
      <c r="G2566" s="3" t="s">
        <v>335</v>
      </c>
    </row>
    <row r="2567" spans="1:15" x14ac:dyDescent="0.25">
      <c r="A2567" s="3" t="s">
        <v>889</v>
      </c>
      <c r="B2567" s="3" t="s">
        <v>333</v>
      </c>
      <c r="C2567" s="3">
        <v>10</v>
      </c>
      <c r="D2567" s="189">
        <v>564555.90899999999</v>
      </c>
      <c r="E2567" s="3" t="s">
        <v>10</v>
      </c>
      <c r="F2567" s="189">
        <v>20634.723000000002</v>
      </c>
      <c r="G2567" s="3" t="s">
        <v>335</v>
      </c>
      <c r="J2567" s="105" t="str">
        <f>A2558</f>
        <v>groupBy2_10_mem</v>
      </c>
      <c r="K2567" s="72" t="s">
        <v>341</v>
      </c>
      <c r="L2567" s="72" t="s">
        <v>342</v>
      </c>
      <c r="M2567" s="21" t="s">
        <v>162</v>
      </c>
    </row>
    <row r="2568" spans="1:15" x14ac:dyDescent="0.25">
      <c r="A2568" s="3" t="s">
        <v>890</v>
      </c>
      <c r="B2568" s="3" t="s">
        <v>333</v>
      </c>
      <c r="C2568" s="3">
        <v>10</v>
      </c>
      <c r="D2568" s="189">
        <v>1091144.8189999999</v>
      </c>
      <c r="E2568" s="3" t="s">
        <v>10</v>
      </c>
      <c r="F2568" s="189">
        <v>561681.44999999995</v>
      </c>
      <c r="G2568" s="3" t="s">
        <v>335</v>
      </c>
      <c r="J2568" s="6">
        <v>100000</v>
      </c>
      <c r="K2568" s="119">
        <f>D2561</f>
        <v>6041566.6569999997</v>
      </c>
      <c r="L2568" s="119">
        <f>D2562</f>
        <v>11076703.390000001</v>
      </c>
      <c r="M2568" s="22">
        <f>(K2568/L2568-1)</f>
        <v>-0.45456997047927639</v>
      </c>
    </row>
    <row r="2569" spans="1:15" x14ac:dyDescent="0.25">
      <c r="A2569" s="3" t="s">
        <v>891</v>
      </c>
      <c r="B2569" s="3" t="s">
        <v>333</v>
      </c>
      <c r="C2569" s="3">
        <v>10</v>
      </c>
      <c r="D2569" s="189">
        <v>101330.061</v>
      </c>
      <c r="E2569" s="3" t="s">
        <v>10</v>
      </c>
      <c r="F2569" s="189">
        <v>3797.2289999999998</v>
      </c>
      <c r="G2569" s="3" t="s">
        <v>335</v>
      </c>
      <c r="J2569" s="6">
        <v>50000</v>
      </c>
      <c r="K2569" s="119">
        <f>D2564</f>
        <v>2290093.1719999998</v>
      </c>
      <c r="L2569" s="119">
        <f>D2565</f>
        <v>4037010.665</v>
      </c>
      <c r="M2569" s="22">
        <f t="shared" ref="M2569:M2572" si="331">(K2569/L2569-1)</f>
        <v>-0.43272550854160308</v>
      </c>
    </row>
    <row r="2570" spans="1:15" x14ac:dyDescent="0.25">
      <c r="A2570" s="3" t="s">
        <v>892</v>
      </c>
      <c r="B2570" s="3" t="s">
        <v>333</v>
      </c>
      <c r="C2570" s="3">
        <v>10</v>
      </c>
      <c r="D2570" s="189">
        <v>104811.414</v>
      </c>
      <c r="E2570" s="3" t="s">
        <v>10</v>
      </c>
      <c r="F2570" s="189">
        <v>9385.5210000000006</v>
      </c>
      <c r="G2570" s="3" t="s">
        <v>335</v>
      </c>
      <c r="J2570" s="6">
        <v>10000</v>
      </c>
      <c r="K2570" s="119">
        <f>D2567</f>
        <v>564555.90899999999</v>
      </c>
      <c r="L2570" s="119">
        <f>D2568</f>
        <v>1091144.8189999999</v>
      </c>
      <c r="M2570" s="22">
        <f t="shared" si="331"/>
        <v>-0.48260221817540427</v>
      </c>
    </row>
    <row r="2571" spans="1:15" x14ac:dyDescent="0.25">
      <c r="A2571" s="3" t="s">
        <v>893</v>
      </c>
      <c r="B2571" s="3" t="s">
        <v>333</v>
      </c>
      <c r="C2571" s="3">
        <v>10</v>
      </c>
      <c r="D2571" s="189">
        <v>113484.284</v>
      </c>
      <c r="E2571" s="3" t="s">
        <v>10</v>
      </c>
      <c r="F2571" s="189">
        <v>10926.431</v>
      </c>
      <c r="G2571" s="3" t="s">
        <v>335</v>
      </c>
      <c r="J2571" s="67">
        <v>1000</v>
      </c>
      <c r="K2571" s="119">
        <f>D2570</f>
        <v>104811.414</v>
      </c>
      <c r="L2571" s="119">
        <f>D2571</f>
        <v>113484.284</v>
      </c>
      <c r="M2571" s="22">
        <f t="shared" si="331"/>
        <v>-7.642353367625776E-2</v>
      </c>
    </row>
    <row r="2572" spans="1:15" ht="20" thickBot="1" x14ac:dyDescent="0.3">
      <c r="A2572" s="3" t="s">
        <v>894</v>
      </c>
      <c r="B2572" s="3" t="s">
        <v>333</v>
      </c>
      <c r="C2572" s="3">
        <v>10</v>
      </c>
      <c r="D2572" s="189">
        <v>87548.713000000003</v>
      </c>
      <c r="E2572" s="3" t="s">
        <v>10</v>
      </c>
      <c r="F2572" s="189">
        <v>5491.09</v>
      </c>
      <c r="G2572" s="3" t="s">
        <v>335</v>
      </c>
      <c r="J2572" s="68">
        <v>100</v>
      </c>
      <c r="K2572" s="120">
        <f>D2573</f>
        <v>84331.44</v>
      </c>
      <c r="L2572" s="120">
        <f>D2574</f>
        <v>88102.523000000001</v>
      </c>
      <c r="M2572" s="23">
        <f t="shared" si="331"/>
        <v>-4.2803348548826392E-2</v>
      </c>
    </row>
    <row r="2573" spans="1:15" x14ac:dyDescent="0.25">
      <c r="A2573" s="3" t="s">
        <v>895</v>
      </c>
      <c r="B2573" s="3" t="s">
        <v>333</v>
      </c>
      <c r="C2573" s="3">
        <v>10</v>
      </c>
      <c r="D2573" s="189">
        <v>84331.44</v>
      </c>
      <c r="E2573" s="3" t="s">
        <v>10</v>
      </c>
      <c r="F2573" s="189">
        <v>719.53800000000001</v>
      </c>
      <c r="G2573" s="3" t="s">
        <v>335</v>
      </c>
    </row>
    <row r="2574" spans="1:15" x14ac:dyDescent="0.25">
      <c r="A2574" s="3" t="s">
        <v>896</v>
      </c>
      <c r="B2574" s="3" t="s">
        <v>333</v>
      </c>
      <c r="C2574" s="3">
        <v>10</v>
      </c>
      <c r="D2574" s="189">
        <v>88102.523000000001</v>
      </c>
      <c r="E2574" s="3" t="s">
        <v>10</v>
      </c>
      <c r="F2574" s="189">
        <v>4253.4639999999999</v>
      </c>
      <c r="G2574" s="3" t="s">
        <v>335</v>
      </c>
    </row>
    <row r="2576" spans="1:15" x14ac:dyDescent="0.25">
      <c r="A2576" s="3" t="s">
        <v>1143</v>
      </c>
    </row>
    <row r="2577" spans="1:15" ht="20" thickBot="1" x14ac:dyDescent="0.3">
      <c r="A2577" s="3" t="s">
        <v>2</v>
      </c>
      <c r="B2577" s="3" t="s">
        <v>3</v>
      </c>
      <c r="C2577" s="3" t="s">
        <v>4</v>
      </c>
      <c r="D2577" s="189" t="s">
        <v>5</v>
      </c>
      <c r="E2577" s="3" t="s">
        <v>6</v>
      </c>
      <c r="F2577" s="189" t="s">
        <v>7</v>
      </c>
    </row>
    <row r="2578" spans="1:15" x14ac:dyDescent="0.25">
      <c r="A2578" s="3" t="s">
        <v>898</v>
      </c>
      <c r="B2578" s="3" t="s">
        <v>333</v>
      </c>
      <c r="C2578" s="3">
        <v>10</v>
      </c>
      <c r="D2578" s="189">
        <v>73352017.834000006</v>
      </c>
      <c r="E2578" s="3" t="s">
        <v>10</v>
      </c>
      <c r="F2578" s="189">
        <v>1687176.5830000001</v>
      </c>
      <c r="G2578" s="3" t="s">
        <v>335</v>
      </c>
      <c r="J2578" s="105" t="str">
        <f>A2576</f>
        <v>groupBy2_90_mem</v>
      </c>
      <c r="K2578" s="72" t="s">
        <v>340</v>
      </c>
      <c r="L2578" s="72" t="s">
        <v>341</v>
      </c>
      <c r="M2578" s="17" t="s">
        <v>162</v>
      </c>
      <c r="N2578" s="72" t="s">
        <v>342</v>
      </c>
      <c r="O2578" s="21" t="s">
        <v>162</v>
      </c>
    </row>
    <row r="2579" spans="1:15" x14ac:dyDescent="0.25">
      <c r="A2579" s="3" t="s">
        <v>899</v>
      </c>
      <c r="B2579" s="3" t="s">
        <v>333</v>
      </c>
      <c r="C2579" s="3">
        <v>10</v>
      </c>
      <c r="D2579" s="189">
        <v>76686811.119000003</v>
      </c>
      <c r="E2579" s="3" t="s">
        <v>10</v>
      </c>
      <c r="F2579" s="189">
        <v>7688092.5259999996</v>
      </c>
      <c r="G2579" s="3" t="s">
        <v>335</v>
      </c>
      <c r="J2579" s="6">
        <v>100000</v>
      </c>
      <c r="K2579" s="119">
        <f>D2578</f>
        <v>73352017.834000006</v>
      </c>
      <c r="L2579" s="119">
        <f>D2579</f>
        <v>76686811.119000003</v>
      </c>
      <c r="M2579" s="18">
        <f>(K2579/L2579-1)</f>
        <v>-4.3485877641008974E-2</v>
      </c>
      <c r="N2579" s="73">
        <f>D2580</f>
        <v>88677196.136000007</v>
      </c>
      <c r="O2579" s="22">
        <f>(K2579/N2579-1)</f>
        <v>-0.17281983384427835</v>
      </c>
    </row>
    <row r="2580" spans="1:15" x14ac:dyDescent="0.25">
      <c r="A2580" s="3" t="s">
        <v>900</v>
      </c>
      <c r="B2580" s="3" t="s">
        <v>333</v>
      </c>
      <c r="C2580" s="3">
        <v>10</v>
      </c>
      <c r="D2580" s="189">
        <v>88677196.136000007</v>
      </c>
      <c r="E2580" s="3" t="s">
        <v>10</v>
      </c>
      <c r="F2580" s="189">
        <v>8505552.7080000006</v>
      </c>
      <c r="G2580" s="3" t="s">
        <v>335</v>
      </c>
      <c r="J2580" s="6">
        <v>50000</v>
      </c>
      <c r="K2580" s="119">
        <f>D2581</f>
        <v>20018384.645</v>
      </c>
      <c r="L2580" s="119">
        <f>D2582</f>
        <v>19954321.045000002</v>
      </c>
      <c r="M2580" s="18">
        <f t="shared" ref="M2580:M2583" si="332">(K2580/L2580-1)</f>
        <v>3.2105126431274389E-3</v>
      </c>
      <c r="N2580" s="73">
        <f>D2583</f>
        <v>22125955.046999998</v>
      </c>
      <c r="O2580" s="22">
        <f t="shared" ref="O2580:O2583" si="333">(K2580/N2580-1)</f>
        <v>-9.5253307598388126E-2</v>
      </c>
    </row>
    <row r="2581" spans="1:15" x14ac:dyDescent="0.25">
      <c r="A2581" s="3" t="s">
        <v>901</v>
      </c>
      <c r="B2581" s="3" t="s">
        <v>333</v>
      </c>
      <c r="C2581" s="3">
        <v>10</v>
      </c>
      <c r="D2581" s="189">
        <v>20018384.645</v>
      </c>
      <c r="E2581" s="3" t="s">
        <v>10</v>
      </c>
      <c r="F2581" s="189">
        <v>1449970.3060000001</v>
      </c>
      <c r="G2581" s="3" t="s">
        <v>335</v>
      </c>
      <c r="J2581" s="6">
        <v>10000</v>
      </c>
      <c r="K2581" s="119">
        <f>D2584</f>
        <v>1960772.196</v>
      </c>
      <c r="L2581" s="119">
        <f>D2585</f>
        <v>1870428.665</v>
      </c>
      <c r="M2581" s="18">
        <f t="shared" si="332"/>
        <v>4.8300976503693693E-2</v>
      </c>
      <c r="N2581" s="73">
        <f>D2586</f>
        <v>2170323.3539999998</v>
      </c>
      <c r="O2581" s="22">
        <f t="shared" si="333"/>
        <v>-9.6552966457181588E-2</v>
      </c>
    </row>
    <row r="2582" spans="1:15" x14ac:dyDescent="0.25">
      <c r="A2582" s="3" t="s">
        <v>902</v>
      </c>
      <c r="B2582" s="3" t="s">
        <v>333</v>
      </c>
      <c r="C2582" s="3">
        <v>10</v>
      </c>
      <c r="D2582" s="189">
        <v>19954321.045000002</v>
      </c>
      <c r="E2582" s="3" t="s">
        <v>10</v>
      </c>
      <c r="F2582" s="189">
        <v>1553759.9680000001</v>
      </c>
      <c r="G2582" s="3" t="s">
        <v>335</v>
      </c>
      <c r="J2582" s="67">
        <v>1000</v>
      </c>
      <c r="K2582" s="119">
        <f>D2587</f>
        <v>256240.9</v>
      </c>
      <c r="L2582" s="119">
        <f>D2588</f>
        <v>243295.736</v>
      </c>
      <c r="M2582" s="18">
        <f t="shared" si="332"/>
        <v>5.3207525182438875E-2</v>
      </c>
      <c r="N2582" s="73">
        <f>D2589</f>
        <v>251369.23699999999</v>
      </c>
      <c r="O2582" s="22">
        <f t="shared" si="333"/>
        <v>1.9380505976552831E-2</v>
      </c>
    </row>
    <row r="2583" spans="1:15" ht="20" thickBot="1" x14ac:dyDescent="0.3">
      <c r="A2583" s="3" t="s">
        <v>903</v>
      </c>
      <c r="B2583" s="3" t="s">
        <v>333</v>
      </c>
      <c r="C2583" s="3">
        <v>10</v>
      </c>
      <c r="D2583" s="189">
        <v>22125955.046999998</v>
      </c>
      <c r="E2583" s="3" t="s">
        <v>10</v>
      </c>
      <c r="F2583" s="189">
        <v>1069694.1610000001</v>
      </c>
      <c r="G2583" s="3" t="s">
        <v>335</v>
      </c>
      <c r="J2583" s="68">
        <v>100</v>
      </c>
      <c r="K2583" s="120">
        <f>D2590</f>
        <v>92337.849000000002</v>
      </c>
      <c r="L2583" s="120">
        <f>D2591</f>
        <v>90839.088000000003</v>
      </c>
      <c r="M2583" s="19">
        <f t="shared" si="332"/>
        <v>1.6499075816349018E-2</v>
      </c>
      <c r="N2583" s="74">
        <f>D2592</f>
        <v>91533.726999999999</v>
      </c>
      <c r="O2583" s="23">
        <f t="shared" si="333"/>
        <v>8.784980425849076E-3</v>
      </c>
    </row>
    <row r="2584" spans="1:15" ht="20" thickBot="1" x14ac:dyDescent="0.3">
      <c r="A2584" s="3" t="s">
        <v>904</v>
      </c>
      <c r="B2584" s="3" t="s">
        <v>333</v>
      </c>
      <c r="C2584" s="3">
        <v>10</v>
      </c>
      <c r="D2584" s="189">
        <v>1960772.196</v>
      </c>
      <c r="E2584" s="3" t="s">
        <v>10</v>
      </c>
      <c r="F2584" s="189">
        <v>295969.652</v>
      </c>
      <c r="G2584" s="3" t="s">
        <v>335</v>
      </c>
    </row>
    <row r="2585" spans="1:15" x14ac:dyDescent="0.25">
      <c r="A2585" s="3" t="s">
        <v>905</v>
      </c>
      <c r="B2585" s="3" t="s">
        <v>333</v>
      </c>
      <c r="C2585" s="3">
        <v>10</v>
      </c>
      <c r="D2585" s="189">
        <v>1870428.665</v>
      </c>
      <c r="E2585" s="3" t="s">
        <v>10</v>
      </c>
      <c r="F2585" s="189">
        <v>163651.386</v>
      </c>
      <c r="G2585" s="3" t="s">
        <v>335</v>
      </c>
      <c r="J2585" s="105" t="str">
        <f>A2576</f>
        <v>groupBy2_90_mem</v>
      </c>
      <c r="K2585" s="72" t="s">
        <v>341</v>
      </c>
      <c r="L2585" s="72" t="s">
        <v>342</v>
      </c>
      <c r="M2585" s="21" t="s">
        <v>162</v>
      </c>
    </row>
    <row r="2586" spans="1:15" x14ac:dyDescent="0.25">
      <c r="A2586" s="3" t="s">
        <v>906</v>
      </c>
      <c r="B2586" s="3" t="s">
        <v>333</v>
      </c>
      <c r="C2586" s="3">
        <v>10</v>
      </c>
      <c r="D2586" s="189">
        <v>2170323.3539999998</v>
      </c>
      <c r="E2586" s="3" t="s">
        <v>10</v>
      </c>
      <c r="F2586" s="189">
        <v>165485.94399999999</v>
      </c>
      <c r="G2586" s="3" t="s">
        <v>335</v>
      </c>
      <c r="J2586" s="6">
        <v>100000</v>
      </c>
      <c r="K2586" s="119">
        <f>D2579</f>
        <v>76686811.119000003</v>
      </c>
      <c r="L2586" s="119">
        <f>D2580</f>
        <v>88677196.136000007</v>
      </c>
      <c r="M2586" s="22">
        <f>(K2586/L2586-1)</f>
        <v>-0.13521384910062917</v>
      </c>
    </row>
    <row r="2587" spans="1:15" x14ac:dyDescent="0.25">
      <c r="A2587" s="3" t="s">
        <v>907</v>
      </c>
      <c r="B2587" s="3" t="s">
        <v>333</v>
      </c>
      <c r="C2587" s="3">
        <v>10</v>
      </c>
      <c r="D2587" s="189">
        <v>256240.9</v>
      </c>
      <c r="E2587" s="3" t="s">
        <v>10</v>
      </c>
      <c r="F2587" s="189">
        <v>31452.998</v>
      </c>
      <c r="G2587" s="3" t="s">
        <v>335</v>
      </c>
      <c r="J2587" s="6">
        <v>50000</v>
      </c>
      <c r="K2587" s="119">
        <f>D2582</f>
        <v>19954321.045000002</v>
      </c>
      <c r="L2587" s="119">
        <f>D2583</f>
        <v>22125955.046999998</v>
      </c>
      <c r="M2587" s="22">
        <f t="shared" ref="M2587:M2590" si="334">(K2587/L2587-1)</f>
        <v>-9.8148712558938422E-2</v>
      </c>
    </row>
    <row r="2588" spans="1:15" x14ac:dyDescent="0.25">
      <c r="A2588" s="3" t="s">
        <v>908</v>
      </c>
      <c r="B2588" s="3" t="s">
        <v>333</v>
      </c>
      <c r="C2588" s="3">
        <v>10</v>
      </c>
      <c r="D2588" s="189">
        <v>243295.736</v>
      </c>
      <c r="E2588" s="3" t="s">
        <v>10</v>
      </c>
      <c r="F2588" s="189">
        <v>26394.880000000001</v>
      </c>
      <c r="G2588" s="3" t="s">
        <v>335</v>
      </c>
      <c r="J2588" s="6">
        <v>10000</v>
      </c>
      <c r="K2588" s="119">
        <f>D2585</f>
        <v>1870428.665</v>
      </c>
      <c r="L2588" s="119">
        <f>D2586</f>
        <v>2170323.3539999998</v>
      </c>
      <c r="M2588" s="22">
        <f t="shared" si="334"/>
        <v>-0.13817972720391225</v>
      </c>
    </row>
    <row r="2589" spans="1:15" x14ac:dyDescent="0.25">
      <c r="A2589" s="3" t="s">
        <v>909</v>
      </c>
      <c r="B2589" s="3" t="s">
        <v>333</v>
      </c>
      <c r="C2589" s="3">
        <v>10</v>
      </c>
      <c r="D2589" s="189">
        <v>251369.23699999999</v>
      </c>
      <c r="E2589" s="3" t="s">
        <v>10</v>
      </c>
      <c r="F2589" s="189">
        <v>23771.200000000001</v>
      </c>
      <c r="G2589" s="3" t="s">
        <v>335</v>
      </c>
      <c r="J2589" s="67">
        <v>1000</v>
      </c>
      <c r="K2589" s="119">
        <f>D2588</f>
        <v>243295.736</v>
      </c>
      <c r="L2589" s="119">
        <f>D2589</f>
        <v>251369.23699999999</v>
      </c>
      <c r="M2589" s="22">
        <f t="shared" si="334"/>
        <v>-3.2118094864567626E-2</v>
      </c>
    </row>
    <row r="2590" spans="1:15" ht="20" thickBot="1" x14ac:dyDescent="0.3">
      <c r="A2590" s="3" t="s">
        <v>910</v>
      </c>
      <c r="B2590" s="3" t="s">
        <v>333</v>
      </c>
      <c r="C2590" s="3">
        <v>10</v>
      </c>
      <c r="D2590" s="189">
        <v>92337.849000000002</v>
      </c>
      <c r="E2590" s="3" t="s">
        <v>10</v>
      </c>
      <c r="F2590" s="189">
        <v>5715.9279999999999</v>
      </c>
      <c r="G2590" s="3" t="s">
        <v>335</v>
      </c>
      <c r="J2590" s="68">
        <v>100</v>
      </c>
      <c r="K2590" s="120">
        <f>D2591</f>
        <v>90839.088000000003</v>
      </c>
      <c r="L2590" s="120">
        <f>D2592</f>
        <v>91533.726999999999</v>
      </c>
      <c r="M2590" s="23">
        <f t="shared" si="334"/>
        <v>-7.5888857885136884E-3</v>
      </c>
    </row>
    <row r="2591" spans="1:15" x14ac:dyDescent="0.25">
      <c r="A2591" s="3" t="s">
        <v>911</v>
      </c>
      <c r="B2591" s="3" t="s">
        <v>333</v>
      </c>
      <c r="C2591" s="3">
        <v>10</v>
      </c>
      <c r="D2591" s="189">
        <v>90839.088000000003</v>
      </c>
      <c r="E2591" s="3" t="s">
        <v>10</v>
      </c>
      <c r="F2591" s="189">
        <v>2078.7179999999998</v>
      </c>
      <c r="G2591" s="3" t="s">
        <v>335</v>
      </c>
    </row>
    <row r="2592" spans="1:15" x14ac:dyDescent="0.25">
      <c r="A2592" s="3" t="s">
        <v>912</v>
      </c>
      <c r="B2592" s="3" t="s">
        <v>333</v>
      </c>
      <c r="C2592" s="3">
        <v>10</v>
      </c>
      <c r="D2592" s="189">
        <v>91533.726999999999</v>
      </c>
      <c r="E2592" s="3" t="s">
        <v>10</v>
      </c>
      <c r="F2592" s="189">
        <v>2360.654</v>
      </c>
      <c r="G2592" s="3" t="s">
        <v>335</v>
      </c>
    </row>
    <row r="2594" spans="1:17" x14ac:dyDescent="0.25">
      <c r="A2594" s="3" t="s">
        <v>1144</v>
      </c>
    </row>
    <row r="2595" spans="1:17" ht="20" thickBot="1" x14ac:dyDescent="0.3">
      <c r="A2595" s="3" t="s">
        <v>2</v>
      </c>
      <c r="B2595" s="3" t="s">
        <v>3</v>
      </c>
      <c r="C2595" s="3" t="s">
        <v>4</v>
      </c>
      <c r="D2595" s="189" t="s">
        <v>5</v>
      </c>
      <c r="E2595" s="3" t="s">
        <v>6</v>
      </c>
      <c r="F2595" s="189" t="s">
        <v>7</v>
      </c>
    </row>
    <row r="2596" spans="1:17" x14ac:dyDescent="0.25">
      <c r="A2596" s="3" t="s">
        <v>944</v>
      </c>
      <c r="B2596" s="3" t="s">
        <v>333</v>
      </c>
      <c r="C2596" s="3">
        <v>10</v>
      </c>
      <c r="D2596" s="189">
        <v>2012542.2220000001</v>
      </c>
      <c r="E2596" s="3" t="s">
        <v>10</v>
      </c>
      <c r="F2596" s="189">
        <v>202819.02799999999</v>
      </c>
      <c r="G2596" s="3" t="s">
        <v>335</v>
      </c>
      <c r="J2596" s="106" t="str">
        <f>A2594</f>
        <v>plus2_mem</v>
      </c>
      <c r="K2596" s="72" t="s">
        <v>344</v>
      </c>
      <c r="L2596" s="72" t="s">
        <v>341</v>
      </c>
      <c r="M2596" s="17" t="s">
        <v>162</v>
      </c>
      <c r="N2596" s="72" t="s">
        <v>343</v>
      </c>
      <c r="O2596" s="17" t="s">
        <v>162</v>
      </c>
      <c r="P2596" s="72" t="s">
        <v>342</v>
      </c>
      <c r="Q2596" s="21" t="s">
        <v>162</v>
      </c>
    </row>
    <row r="2597" spans="1:17" x14ac:dyDescent="0.25">
      <c r="A2597" s="3" t="s">
        <v>945</v>
      </c>
      <c r="B2597" s="3" t="s">
        <v>333</v>
      </c>
      <c r="C2597" s="3">
        <v>10</v>
      </c>
      <c r="D2597" s="189">
        <v>727712.87</v>
      </c>
      <c r="E2597" s="3" t="s">
        <v>10</v>
      </c>
      <c r="F2597" s="189">
        <v>57626.402999999998</v>
      </c>
      <c r="G2597" s="3" t="s">
        <v>335</v>
      </c>
      <c r="J2597" s="6">
        <v>100000</v>
      </c>
      <c r="K2597" s="119">
        <f>D2596</f>
        <v>2012542.2220000001</v>
      </c>
      <c r="L2597" s="119">
        <f>D2597</f>
        <v>727712.87</v>
      </c>
      <c r="M2597" s="18">
        <f>(K2597/L2597-1)</f>
        <v>1.7655718415423931</v>
      </c>
      <c r="N2597" s="73">
        <f>D2598</f>
        <v>629616.86</v>
      </c>
      <c r="O2597" s="18">
        <f>(K2597/N2597-1)</f>
        <v>2.1964554157587206</v>
      </c>
      <c r="P2597" s="73">
        <f>D2599</f>
        <v>634618.11199999996</v>
      </c>
      <c r="Q2597" s="22">
        <f>(K2597/P2597-1)</f>
        <v>2.1712650237124027</v>
      </c>
    </row>
    <row r="2598" spans="1:17" x14ac:dyDescent="0.25">
      <c r="A2598" s="3" t="s">
        <v>946</v>
      </c>
      <c r="B2598" s="3" t="s">
        <v>333</v>
      </c>
      <c r="C2598" s="3">
        <v>10</v>
      </c>
      <c r="D2598" s="189">
        <v>629616.86</v>
      </c>
      <c r="E2598" s="3" t="s">
        <v>10</v>
      </c>
      <c r="F2598" s="189">
        <v>3810.9319999999998</v>
      </c>
      <c r="G2598" s="3" t="s">
        <v>335</v>
      </c>
      <c r="J2598" s="6">
        <v>50000</v>
      </c>
      <c r="K2598" s="119">
        <f>D2600</f>
        <v>931812.77899999998</v>
      </c>
      <c r="L2598" s="119">
        <f>D2601</f>
        <v>393173.76500000001</v>
      </c>
      <c r="M2598" s="18">
        <f t="shared" ref="M2598:M2601" si="335">(K2598/L2598-1)</f>
        <v>1.3699769973207645</v>
      </c>
      <c r="N2598" s="73">
        <f>D2602</f>
        <v>367083.07</v>
      </c>
      <c r="O2598" s="18">
        <f t="shared" ref="O2598:O2601" si="336">(K2598/N2598-1)</f>
        <v>1.5384248284727486</v>
      </c>
      <c r="P2598" s="73">
        <f>D2603</f>
        <v>354336.18699999998</v>
      </c>
      <c r="Q2598" s="22">
        <f t="shared" ref="Q2598:Q2601" si="337">(K2598/P2598-1)</f>
        <v>1.6297420731684964</v>
      </c>
    </row>
    <row r="2599" spans="1:17" x14ac:dyDescent="0.25">
      <c r="A2599" s="3" t="s">
        <v>947</v>
      </c>
      <c r="B2599" s="3" t="s">
        <v>333</v>
      </c>
      <c r="C2599" s="3">
        <v>10</v>
      </c>
      <c r="D2599" s="189">
        <v>634618.11199999996</v>
      </c>
      <c r="E2599" s="3" t="s">
        <v>10</v>
      </c>
      <c r="F2599" s="189">
        <v>37573.220999999998</v>
      </c>
      <c r="G2599" s="3" t="s">
        <v>335</v>
      </c>
      <c r="J2599" s="6">
        <v>10000</v>
      </c>
      <c r="K2599" s="119">
        <f>D2604</f>
        <v>274298.57500000001</v>
      </c>
      <c r="L2599" s="119">
        <f>D2605</f>
        <v>142448.122</v>
      </c>
      <c r="M2599" s="18">
        <f t="shared" si="335"/>
        <v>0.925603308410061</v>
      </c>
      <c r="N2599" s="73">
        <f>D2606</f>
        <v>135528.22</v>
      </c>
      <c r="O2599" s="18">
        <f t="shared" si="336"/>
        <v>1.0239222133958523</v>
      </c>
      <c r="P2599" s="73">
        <f>D2607</f>
        <v>136350.32399999999</v>
      </c>
      <c r="Q2599" s="22">
        <f t="shared" si="337"/>
        <v>1.0117192754158766</v>
      </c>
    </row>
    <row r="2600" spans="1:17" x14ac:dyDescent="0.25">
      <c r="A2600" s="3" t="s">
        <v>963</v>
      </c>
      <c r="B2600" s="3" t="s">
        <v>333</v>
      </c>
      <c r="C2600" s="3">
        <v>10</v>
      </c>
      <c r="D2600" s="189">
        <v>931812.77899999998</v>
      </c>
      <c r="E2600" s="3" t="s">
        <v>10</v>
      </c>
      <c r="F2600" s="189">
        <v>80760.91</v>
      </c>
      <c r="G2600" s="3" t="s">
        <v>335</v>
      </c>
      <c r="J2600" s="67">
        <v>1000</v>
      </c>
      <c r="K2600" s="119">
        <f>D2608</f>
        <v>98000.332999999999</v>
      </c>
      <c r="L2600" s="119">
        <f>D2609</f>
        <v>87243.596999999994</v>
      </c>
      <c r="M2600" s="18">
        <f t="shared" si="335"/>
        <v>0.12329542075162259</v>
      </c>
      <c r="N2600" s="73">
        <f>D2610</f>
        <v>87865.057000000001</v>
      </c>
      <c r="O2600" s="18">
        <f t="shared" si="336"/>
        <v>0.11535047430743717</v>
      </c>
      <c r="P2600" s="73">
        <f>D2611</f>
        <v>88457.528000000006</v>
      </c>
      <c r="Q2600" s="22">
        <f t="shared" si="337"/>
        <v>0.10788007777020403</v>
      </c>
    </row>
    <row r="2601" spans="1:17" ht="20" thickBot="1" x14ac:dyDescent="0.3">
      <c r="A2601" s="3" t="s">
        <v>948</v>
      </c>
      <c r="B2601" s="3" t="s">
        <v>333</v>
      </c>
      <c r="C2601" s="3">
        <v>10</v>
      </c>
      <c r="D2601" s="189">
        <v>393173.76500000001</v>
      </c>
      <c r="E2601" s="3" t="s">
        <v>10</v>
      </c>
      <c r="F2601" s="189">
        <v>18927.715</v>
      </c>
      <c r="G2601" s="3" t="s">
        <v>335</v>
      </c>
      <c r="J2601" s="68">
        <v>100</v>
      </c>
      <c r="K2601" s="120">
        <f>D2612</f>
        <v>86447.702999999994</v>
      </c>
      <c r="L2601" s="120">
        <f>D2613</f>
        <v>83327.53</v>
      </c>
      <c r="M2601" s="19">
        <f t="shared" si="335"/>
        <v>3.7444683647769095E-2</v>
      </c>
      <c r="N2601" s="74">
        <f>D2614</f>
        <v>81637.569000000003</v>
      </c>
      <c r="O2601" s="19">
        <f t="shared" si="336"/>
        <v>5.8920593287141942E-2</v>
      </c>
      <c r="P2601" s="74">
        <f>D2615</f>
        <v>83698.437999999995</v>
      </c>
      <c r="Q2601" s="23">
        <f t="shared" si="337"/>
        <v>3.2847267711256345E-2</v>
      </c>
    </row>
    <row r="2602" spans="1:17" ht="20" thickBot="1" x14ac:dyDescent="0.3">
      <c r="A2602" s="3" t="s">
        <v>949</v>
      </c>
      <c r="B2602" s="3" t="s">
        <v>333</v>
      </c>
      <c r="C2602" s="3">
        <v>10</v>
      </c>
      <c r="D2602" s="189">
        <v>367083.07</v>
      </c>
      <c r="E2602" s="3" t="s">
        <v>10</v>
      </c>
      <c r="F2602" s="189">
        <v>55473.951999999997</v>
      </c>
      <c r="G2602" s="3" t="s">
        <v>335</v>
      </c>
    </row>
    <row r="2603" spans="1:17" x14ac:dyDescent="0.25">
      <c r="A2603" s="3" t="s">
        <v>950</v>
      </c>
      <c r="B2603" s="3" t="s">
        <v>333</v>
      </c>
      <c r="C2603" s="3">
        <v>10</v>
      </c>
      <c r="D2603" s="189">
        <v>354336.18699999998</v>
      </c>
      <c r="E2603" s="3" t="s">
        <v>10</v>
      </c>
      <c r="F2603" s="189">
        <v>14653.87</v>
      </c>
      <c r="G2603" s="3" t="s">
        <v>335</v>
      </c>
      <c r="J2603" s="106" t="str">
        <f>A2594</f>
        <v>plus2_mem</v>
      </c>
      <c r="K2603" s="72" t="s">
        <v>341</v>
      </c>
      <c r="L2603" s="72" t="s">
        <v>342</v>
      </c>
      <c r="M2603" s="17" t="s">
        <v>162</v>
      </c>
      <c r="N2603" s="72" t="s">
        <v>343</v>
      </c>
      <c r="O2603" s="21" t="s">
        <v>162</v>
      </c>
    </row>
    <row r="2604" spans="1:17" x14ac:dyDescent="0.25">
      <c r="A2604" s="3" t="s">
        <v>951</v>
      </c>
      <c r="B2604" s="3" t="s">
        <v>333</v>
      </c>
      <c r="C2604" s="3">
        <v>10</v>
      </c>
      <c r="D2604" s="189">
        <v>274298.57500000001</v>
      </c>
      <c r="E2604" s="3" t="s">
        <v>10</v>
      </c>
      <c r="F2604" s="189">
        <v>10997.411</v>
      </c>
      <c r="G2604" s="3" t="s">
        <v>335</v>
      </c>
      <c r="J2604" s="6">
        <v>100000</v>
      </c>
      <c r="K2604" s="119">
        <f>D2597</f>
        <v>727712.87</v>
      </c>
      <c r="L2604" s="119">
        <f>D2599</f>
        <v>634618.11199999996</v>
      </c>
      <c r="M2604" s="18">
        <f>(K2604/L2604-1)</f>
        <v>0.14669413973485845</v>
      </c>
      <c r="N2604" s="73">
        <f>D2598</f>
        <v>629616.86</v>
      </c>
      <c r="O2604" s="22">
        <f>(K2604/N2604-1)</f>
        <v>0.15580270515627559</v>
      </c>
    </row>
    <row r="2605" spans="1:17" x14ac:dyDescent="0.25">
      <c r="A2605" s="3" t="s">
        <v>952</v>
      </c>
      <c r="B2605" s="3" t="s">
        <v>333</v>
      </c>
      <c r="C2605" s="3">
        <v>10</v>
      </c>
      <c r="D2605" s="189">
        <v>142448.122</v>
      </c>
      <c r="E2605" s="3" t="s">
        <v>10</v>
      </c>
      <c r="F2605" s="189">
        <v>2956.402</v>
      </c>
      <c r="G2605" s="3" t="s">
        <v>335</v>
      </c>
      <c r="J2605" s="6">
        <v>50000</v>
      </c>
      <c r="K2605" s="119">
        <f>D2601</f>
        <v>393173.76500000001</v>
      </c>
      <c r="L2605" s="119">
        <f>D2603</f>
        <v>354336.18699999998</v>
      </c>
      <c r="M2605" s="18">
        <f t="shared" ref="M2605:M2608" si="338">(K2605/L2605-1)</f>
        <v>0.10960658105179655</v>
      </c>
      <c r="N2605" s="73">
        <f>D2602</f>
        <v>367083.07</v>
      </c>
      <c r="O2605" s="22">
        <f t="shared" ref="O2605:O2608" si="339">(K2605/N2605-1)</f>
        <v>7.1075724086103964E-2</v>
      </c>
    </row>
    <row r="2606" spans="1:17" x14ac:dyDescent="0.25">
      <c r="A2606" s="3" t="s">
        <v>953</v>
      </c>
      <c r="B2606" s="3" t="s">
        <v>333</v>
      </c>
      <c r="C2606" s="3">
        <v>10</v>
      </c>
      <c r="D2606" s="189">
        <v>135528.22</v>
      </c>
      <c r="E2606" s="3" t="s">
        <v>10</v>
      </c>
      <c r="F2606" s="189">
        <v>2832.3679999999999</v>
      </c>
      <c r="G2606" s="3" t="s">
        <v>335</v>
      </c>
      <c r="J2606" s="6">
        <v>10000</v>
      </c>
      <c r="K2606" s="119">
        <f>D2605</f>
        <v>142448.122</v>
      </c>
      <c r="L2606" s="119">
        <f>D2607</f>
        <v>136350.32399999999</v>
      </c>
      <c r="M2606" s="18">
        <f t="shared" si="338"/>
        <v>4.4721551230050727E-2</v>
      </c>
      <c r="N2606" s="73">
        <f>D2606</f>
        <v>135528.22</v>
      </c>
      <c r="O2606" s="22">
        <f t="shared" si="339"/>
        <v>5.1058753667686307E-2</v>
      </c>
    </row>
    <row r="2607" spans="1:17" x14ac:dyDescent="0.25">
      <c r="A2607" s="3" t="s">
        <v>954</v>
      </c>
      <c r="B2607" s="3" t="s">
        <v>333</v>
      </c>
      <c r="C2607" s="3">
        <v>10</v>
      </c>
      <c r="D2607" s="189">
        <v>136350.32399999999</v>
      </c>
      <c r="E2607" s="3" t="s">
        <v>10</v>
      </c>
      <c r="F2607" s="189">
        <v>2648.8009999999999</v>
      </c>
      <c r="G2607" s="3" t="s">
        <v>335</v>
      </c>
      <c r="J2607" s="67">
        <v>1000</v>
      </c>
      <c r="K2607" s="119">
        <f>D2609</f>
        <v>87243.596999999994</v>
      </c>
      <c r="L2607" s="119">
        <f>D2611</f>
        <v>88457.528000000006</v>
      </c>
      <c r="M2607" s="18">
        <f t="shared" si="338"/>
        <v>-1.3723320416550777E-2</v>
      </c>
      <c r="N2607" s="73">
        <f>D2610</f>
        <v>87865.057000000001</v>
      </c>
      <c r="O2607" s="22">
        <f t="shared" si="339"/>
        <v>-7.0728913315336595E-3</v>
      </c>
    </row>
    <row r="2608" spans="1:17" ht="20" thickBot="1" x14ac:dyDescent="0.3">
      <c r="A2608" s="3" t="s">
        <v>955</v>
      </c>
      <c r="B2608" s="3" t="s">
        <v>333</v>
      </c>
      <c r="C2608" s="3">
        <v>10</v>
      </c>
      <c r="D2608" s="189">
        <v>98000.332999999999</v>
      </c>
      <c r="E2608" s="3" t="s">
        <v>10</v>
      </c>
      <c r="F2608" s="189">
        <v>10541.625</v>
      </c>
      <c r="G2608" s="3" t="s">
        <v>335</v>
      </c>
      <c r="J2608" s="68">
        <v>100</v>
      </c>
      <c r="K2608" s="120">
        <f>D2613</f>
        <v>83327.53</v>
      </c>
      <c r="L2608" s="120">
        <f>D2615</f>
        <v>83698.437999999995</v>
      </c>
      <c r="M2608" s="19">
        <f t="shared" si="338"/>
        <v>-4.4314805492546849E-3</v>
      </c>
      <c r="N2608" s="74">
        <f>D2614</f>
        <v>81637.569000000003</v>
      </c>
      <c r="O2608" s="23">
        <f t="shared" si="339"/>
        <v>2.0700775644115543E-2</v>
      </c>
    </row>
    <row r="2609" spans="1:15" x14ac:dyDescent="0.25">
      <c r="A2609" s="3" t="s">
        <v>956</v>
      </c>
      <c r="B2609" s="3" t="s">
        <v>333</v>
      </c>
      <c r="C2609" s="3">
        <v>10</v>
      </c>
      <c r="D2609" s="189">
        <v>87243.596999999994</v>
      </c>
      <c r="E2609" s="3" t="s">
        <v>10</v>
      </c>
      <c r="F2609" s="189">
        <v>2541.3440000000001</v>
      </c>
      <c r="G2609" s="3" t="s">
        <v>335</v>
      </c>
    </row>
    <row r="2610" spans="1:15" x14ac:dyDescent="0.25">
      <c r="A2610" s="3" t="s">
        <v>957</v>
      </c>
      <c r="B2610" s="3" t="s">
        <v>333</v>
      </c>
      <c r="C2610" s="3">
        <v>10</v>
      </c>
      <c r="D2610" s="189">
        <v>87865.057000000001</v>
      </c>
      <c r="E2610" s="3" t="s">
        <v>10</v>
      </c>
      <c r="F2610" s="189">
        <v>2583.1709999999998</v>
      </c>
      <c r="G2610" s="3" t="s">
        <v>335</v>
      </c>
    </row>
    <row r="2611" spans="1:15" x14ac:dyDescent="0.25">
      <c r="A2611" s="3" t="s">
        <v>958</v>
      </c>
      <c r="B2611" s="3" t="s">
        <v>333</v>
      </c>
      <c r="C2611" s="3">
        <v>10</v>
      </c>
      <c r="D2611" s="189">
        <v>88457.528000000006</v>
      </c>
      <c r="E2611" s="3" t="s">
        <v>10</v>
      </c>
      <c r="F2611" s="189">
        <v>6255.4570000000003</v>
      </c>
      <c r="G2611" s="3" t="s">
        <v>335</v>
      </c>
    </row>
    <row r="2612" spans="1:15" x14ac:dyDescent="0.25">
      <c r="A2612" s="3" t="s">
        <v>959</v>
      </c>
      <c r="B2612" s="3" t="s">
        <v>333</v>
      </c>
      <c r="C2612" s="3">
        <v>10</v>
      </c>
      <c r="D2612" s="189">
        <v>86447.702999999994</v>
      </c>
      <c r="E2612" s="3" t="s">
        <v>10</v>
      </c>
      <c r="F2612" s="189">
        <v>6090.97</v>
      </c>
      <c r="G2612" s="3" t="s">
        <v>335</v>
      </c>
    </row>
    <row r="2613" spans="1:15" x14ac:dyDescent="0.25">
      <c r="A2613" s="3" t="s">
        <v>960</v>
      </c>
      <c r="B2613" s="3" t="s">
        <v>333</v>
      </c>
      <c r="C2613" s="3">
        <v>10</v>
      </c>
      <c r="D2613" s="189">
        <v>83327.53</v>
      </c>
      <c r="E2613" s="3" t="s">
        <v>10</v>
      </c>
      <c r="F2613" s="189">
        <v>3952.1959999999999</v>
      </c>
      <c r="G2613" s="3" t="s">
        <v>335</v>
      </c>
    </row>
    <row r="2614" spans="1:15" x14ac:dyDescent="0.25">
      <c r="A2614" s="3" t="s">
        <v>961</v>
      </c>
      <c r="B2614" s="3" t="s">
        <v>333</v>
      </c>
      <c r="C2614" s="3">
        <v>10</v>
      </c>
      <c r="D2614" s="189">
        <v>81637.569000000003</v>
      </c>
      <c r="E2614" s="3" t="s">
        <v>10</v>
      </c>
      <c r="F2614" s="189">
        <v>1321.9549999999999</v>
      </c>
      <c r="G2614" s="3" t="s">
        <v>335</v>
      </c>
    </row>
    <row r="2615" spans="1:15" x14ac:dyDescent="0.25">
      <c r="A2615" s="3" t="s">
        <v>962</v>
      </c>
      <c r="B2615" s="3" t="s">
        <v>333</v>
      </c>
      <c r="C2615" s="3">
        <v>10</v>
      </c>
      <c r="D2615" s="189">
        <v>83698.437999999995</v>
      </c>
      <c r="E2615" s="3" t="s">
        <v>10</v>
      </c>
      <c r="F2615" s="189">
        <v>6081.4830000000002</v>
      </c>
      <c r="G2615" s="3" t="s">
        <v>335</v>
      </c>
    </row>
    <row r="2617" spans="1:15" x14ac:dyDescent="0.25">
      <c r="A2617" s="3" t="s">
        <v>1145</v>
      </c>
    </row>
    <row r="2618" spans="1:15" ht="20" thickBot="1" x14ac:dyDescent="0.3">
      <c r="A2618" s="3" t="s">
        <v>2</v>
      </c>
      <c r="B2618" s="3" t="s">
        <v>3</v>
      </c>
      <c r="C2618" s="3" t="s">
        <v>4</v>
      </c>
      <c r="D2618" s="189" t="s">
        <v>5</v>
      </c>
      <c r="E2618" s="3" t="s">
        <v>6</v>
      </c>
      <c r="F2618" s="189" t="s">
        <v>7</v>
      </c>
    </row>
    <row r="2619" spans="1:15" x14ac:dyDescent="0.25">
      <c r="A2619" s="3" t="s">
        <v>965</v>
      </c>
      <c r="B2619" s="3" t="s">
        <v>333</v>
      </c>
      <c r="C2619" s="3">
        <v>10</v>
      </c>
      <c r="D2619" s="189">
        <v>16527181.954</v>
      </c>
      <c r="E2619" s="3" t="s">
        <v>10</v>
      </c>
      <c r="F2619" s="189">
        <v>827009.14599999995</v>
      </c>
      <c r="G2619" s="3" t="s">
        <v>335</v>
      </c>
      <c r="J2619" s="105" t="str">
        <f>A2617</f>
        <v>sort2_mem</v>
      </c>
      <c r="K2619" s="72" t="s">
        <v>340</v>
      </c>
      <c r="L2619" s="72" t="s">
        <v>341</v>
      </c>
      <c r="M2619" s="17" t="s">
        <v>162</v>
      </c>
      <c r="N2619" s="72" t="s">
        <v>342</v>
      </c>
      <c r="O2619" s="21" t="s">
        <v>162</v>
      </c>
    </row>
    <row r="2620" spans="1:15" x14ac:dyDescent="0.25">
      <c r="A2620" s="3" t="s">
        <v>966</v>
      </c>
      <c r="B2620" s="3" t="s">
        <v>333</v>
      </c>
      <c r="C2620" s="3">
        <v>10</v>
      </c>
      <c r="D2620" s="189">
        <v>17785807.842</v>
      </c>
      <c r="E2620" s="3" t="s">
        <v>10</v>
      </c>
      <c r="F2620" s="189">
        <v>162126.98499999999</v>
      </c>
      <c r="G2620" s="3" t="s">
        <v>335</v>
      </c>
      <c r="J2620" s="6">
        <v>100000</v>
      </c>
      <c r="K2620" s="119">
        <f>D2619</f>
        <v>16527181.954</v>
      </c>
      <c r="L2620" s="119">
        <f>D2620</f>
        <v>17785807.842</v>
      </c>
      <c r="M2620" s="18">
        <f>(K2620/L2620-1)</f>
        <v>-7.0765741943294769E-2</v>
      </c>
      <c r="N2620" s="73">
        <f>D2621</f>
        <v>16654435.963</v>
      </c>
      <c r="O2620" s="22">
        <f>(K2620/N2620-1)</f>
        <v>-7.640847716651078E-3</v>
      </c>
    </row>
    <row r="2621" spans="1:15" x14ac:dyDescent="0.25">
      <c r="A2621" s="3" t="s">
        <v>967</v>
      </c>
      <c r="B2621" s="3" t="s">
        <v>333</v>
      </c>
      <c r="C2621" s="3">
        <v>10</v>
      </c>
      <c r="D2621" s="189">
        <v>16654435.963</v>
      </c>
      <c r="E2621" s="3" t="s">
        <v>10</v>
      </c>
      <c r="F2621" s="189">
        <v>1306345.493</v>
      </c>
      <c r="G2621" s="3" t="s">
        <v>335</v>
      </c>
      <c r="J2621" s="6">
        <v>50000</v>
      </c>
      <c r="K2621" s="119">
        <f>D2622</f>
        <v>7728741.4210000001</v>
      </c>
      <c r="L2621" s="119">
        <f>D2623</f>
        <v>8431070.5439999998</v>
      </c>
      <c r="M2621" s="18">
        <f t="shared" ref="M2621:M2624" si="340">(K2621/L2621-1)</f>
        <v>-8.3302484463235182E-2</v>
      </c>
      <c r="N2621" s="73">
        <f>D2624</f>
        <v>7844875.9249999998</v>
      </c>
      <c r="O2621" s="22">
        <f t="shared" ref="O2621:O2624" si="341">(K2621/N2621-1)</f>
        <v>-1.480386753216878E-2</v>
      </c>
    </row>
    <row r="2622" spans="1:15" x14ac:dyDescent="0.25">
      <c r="A2622" s="3" t="s">
        <v>968</v>
      </c>
      <c r="B2622" s="3" t="s">
        <v>333</v>
      </c>
      <c r="C2622" s="3">
        <v>10</v>
      </c>
      <c r="D2622" s="189">
        <v>7728741.4210000001</v>
      </c>
      <c r="E2622" s="3" t="s">
        <v>10</v>
      </c>
      <c r="F2622" s="189">
        <v>436054.087</v>
      </c>
      <c r="G2622" s="3" t="s">
        <v>335</v>
      </c>
      <c r="J2622" s="6">
        <v>10000</v>
      </c>
      <c r="K2622" s="119">
        <f>D2625</f>
        <v>1368735.581</v>
      </c>
      <c r="L2622" s="119">
        <f>D2626</f>
        <v>1503978.1810000001</v>
      </c>
      <c r="M2622" s="18">
        <f t="shared" si="340"/>
        <v>-8.9923246034112614E-2</v>
      </c>
      <c r="N2622" s="73">
        <f>D2627</f>
        <v>1405753.399</v>
      </c>
      <c r="O2622" s="22">
        <f t="shared" si="341"/>
        <v>-2.6333080913290341E-2</v>
      </c>
    </row>
    <row r="2623" spans="1:15" x14ac:dyDescent="0.25">
      <c r="A2623" s="3" t="s">
        <v>969</v>
      </c>
      <c r="B2623" s="3" t="s">
        <v>333</v>
      </c>
      <c r="C2623" s="3">
        <v>10</v>
      </c>
      <c r="D2623" s="189">
        <v>8431070.5439999998</v>
      </c>
      <c r="E2623" s="3" t="s">
        <v>10</v>
      </c>
      <c r="F2623" s="189">
        <v>258493.897</v>
      </c>
      <c r="G2623" s="3" t="s">
        <v>335</v>
      </c>
      <c r="J2623" s="67">
        <v>1000</v>
      </c>
      <c r="K2623" s="119">
        <f>D2628</f>
        <v>143769.18599999999</v>
      </c>
      <c r="L2623" s="119">
        <f>D2629</f>
        <v>161700.69</v>
      </c>
      <c r="M2623" s="18">
        <f t="shared" si="340"/>
        <v>-0.11089318171740647</v>
      </c>
      <c r="N2623" s="73">
        <f>D2630</f>
        <v>142908.15900000001</v>
      </c>
      <c r="O2623" s="22">
        <f t="shared" si="341"/>
        <v>6.0250373808257152E-3</v>
      </c>
    </row>
    <row r="2624" spans="1:15" ht="20" thickBot="1" x14ac:dyDescent="0.3">
      <c r="A2624" s="3" t="s">
        <v>970</v>
      </c>
      <c r="B2624" s="3" t="s">
        <v>333</v>
      </c>
      <c r="C2624" s="3">
        <v>10</v>
      </c>
      <c r="D2624" s="189">
        <v>7844875.9249999998</v>
      </c>
      <c r="E2624" s="3" t="s">
        <v>10</v>
      </c>
      <c r="F2624" s="189">
        <v>450447.70299999998</v>
      </c>
      <c r="G2624" s="3" t="s">
        <v>335</v>
      </c>
      <c r="J2624" s="68">
        <v>100</v>
      </c>
      <c r="K2624" s="120">
        <f>D2631</f>
        <v>88008.675000000003</v>
      </c>
      <c r="L2624" s="120">
        <f>D2632</f>
        <v>87762.801999999996</v>
      </c>
      <c r="M2624" s="19">
        <f t="shared" si="340"/>
        <v>2.8015627851081248E-3</v>
      </c>
      <c r="N2624" s="74">
        <f>D2633</f>
        <v>87329.395000000004</v>
      </c>
      <c r="O2624" s="23">
        <f t="shared" si="341"/>
        <v>7.7783660358576867E-3</v>
      </c>
    </row>
    <row r="2625" spans="1:15" ht="20" thickBot="1" x14ac:dyDescent="0.3">
      <c r="A2625" s="3" t="s">
        <v>971</v>
      </c>
      <c r="B2625" s="3" t="s">
        <v>333</v>
      </c>
      <c r="C2625" s="3">
        <v>10</v>
      </c>
      <c r="D2625" s="189">
        <v>1368735.581</v>
      </c>
      <c r="E2625" s="3" t="s">
        <v>10</v>
      </c>
      <c r="F2625" s="189">
        <v>133863.853</v>
      </c>
      <c r="G2625" s="3" t="s">
        <v>335</v>
      </c>
    </row>
    <row r="2626" spans="1:15" x14ac:dyDescent="0.25">
      <c r="A2626" s="3" t="s">
        <v>972</v>
      </c>
      <c r="B2626" s="3" t="s">
        <v>333</v>
      </c>
      <c r="C2626" s="3">
        <v>10</v>
      </c>
      <c r="D2626" s="189">
        <v>1503978.1810000001</v>
      </c>
      <c r="E2626" s="3" t="s">
        <v>10</v>
      </c>
      <c r="F2626" s="189">
        <v>165480.83900000001</v>
      </c>
      <c r="G2626" s="3" t="s">
        <v>335</v>
      </c>
      <c r="J2626" s="105" t="str">
        <f>A2617</f>
        <v>sort2_mem</v>
      </c>
      <c r="K2626" s="72" t="s">
        <v>341</v>
      </c>
      <c r="L2626" s="72" t="s">
        <v>342</v>
      </c>
      <c r="M2626" s="21" t="s">
        <v>162</v>
      </c>
    </row>
    <row r="2627" spans="1:15" x14ac:dyDescent="0.25">
      <c r="A2627" s="3" t="s">
        <v>973</v>
      </c>
      <c r="B2627" s="3" t="s">
        <v>333</v>
      </c>
      <c r="C2627" s="3">
        <v>10</v>
      </c>
      <c r="D2627" s="189">
        <v>1405753.399</v>
      </c>
      <c r="E2627" s="3" t="s">
        <v>10</v>
      </c>
      <c r="F2627" s="189">
        <v>78182.682000000001</v>
      </c>
      <c r="G2627" s="3" t="s">
        <v>335</v>
      </c>
      <c r="J2627" s="6">
        <v>100000</v>
      </c>
      <c r="K2627" s="119">
        <f>D2620</f>
        <v>17785807.842</v>
      </c>
      <c r="L2627" s="119">
        <f>D2621</f>
        <v>16654435.963</v>
      </c>
      <c r="M2627" s="22">
        <f>(K2627/L2627-1)</f>
        <v>6.7932164230208203E-2</v>
      </c>
    </row>
    <row r="2628" spans="1:15" x14ac:dyDescent="0.25">
      <c r="A2628" s="3" t="s">
        <v>974</v>
      </c>
      <c r="B2628" s="3" t="s">
        <v>333</v>
      </c>
      <c r="C2628" s="3">
        <v>10</v>
      </c>
      <c r="D2628" s="189">
        <v>143769.18599999999</v>
      </c>
      <c r="E2628" s="3" t="s">
        <v>10</v>
      </c>
      <c r="F2628" s="189">
        <v>6139.7910000000002</v>
      </c>
      <c r="G2628" s="3" t="s">
        <v>335</v>
      </c>
      <c r="J2628" s="6">
        <v>50000</v>
      </c>
      <c r="K2628" s="119">
        <f>D2623</f>
        <v>8431070.5439999998</v>
      </c>
      <c r="L2628" s="119">
        <f>D2624</f>
        <v>7844875.9249999998</v>
      </c>
      <c r="M2628" s="22">
        <f t="shared" ref="M2628:M2631" si="342">(K2628/L2628-1)</f>
        <v>7.4723249239917022E-2</v>
      </c>
    </row>
    <row r="2629" spans="1:15" x14ac:dyDescent="0.25">
      <c r="A2629" s="3" t="s">
        <v>975</v>
      </c>
      <c r="B2629" s="3" t="s">
        <v>333</v>
      </c>
      <c r="C2629" s="3">
        <v>10</v>
      </c>
      <c r="D2629" s="189">
        <v>161700.69</v>
      </c>
      <c r="E2629" s="3" t="s">
        <v>10</v>
      </c>
      <c r="F2629" s="189">
        <v>13194.516</v>
      </c>
      <c r="G2629" s="3" t="s">
        <v>335</v>
      </c>
      <c r="J2629" s="6">
        <v>10000</v>
      </c>
      <c r="K2629" s="119">
        <f>D2626</f>
        <v>1503978.1810000001</v>
      </c>
      <c r="L2629" s="119">
        <f>D2627</f>
        <v>1405753.399</v>
      </c>
      <c r="M2629" s="22">
        <f t="shared" si="342"/>
        <v>6.9873408856683916E-2</v>
      </c>
    </row>
    <row r="2630" spans="1:15" x14ac:dyDescent="0.25">
      <c r="A2630" s="3" t="s">
        <v>976</v>
      </c>
      <c r="B2630" s="3" t="s">
        <v>333</v>
      </c>
      <c r="C2630" s="3">
        <v>10</v>
      </c>
      <c r="D2630" s="189">
        <v>142908.15900000001</v>
      </c>
      <c r="E2630" s="3" t="s">
        <v>10</v>
      </c>
      <c r="F2630" s="189">
        <v>15985.385</v>
      </c>
      <c r="G2630" s="3" t="s">
        <v>335</v>
      </c>
      <c r="J2630" s="67">
        <v>1000</v>
      </c>
      <c r="K2630" s="119">
        <f>D2629</f>
        <v>161700.69</v>
      </c>
      <c r="L2630" s="119">
        <f>D2630</f>
        <v>142908.15900000001</v>
      </c>
      <c r="M2630" s="22">
        <f t="shared" si="342"/>
        <v>0.13150075637039027</v>
      </c>
    </row>
    <row r="2631" spans="1:15" ht="20" thickBot="1" x14ac:dyDescent="0.3">
      <c r="A2631" s="3" t="s">
        <v>977</v>
      </c>
      <c r="B2631" s="3" t="s">
        <v>333</v>
      </c>
      <c r="C2631" s="3">
        <v>10</v>
      </c>
      <c r="D2631" s="189">
        <v>88008.675000000003</v>
      </c>
      <c r="E2631" s="3" t="s">
        <v>10</v>
      </c>
      <c r="F2631" s="189">
        <v>4393.4570000000003</v>
      </c>
      <c r="G2631" s="3" t="s">
        <v>335</v>
      </c>
      <c r="J2631" s="68">
        <v>100</v>
      </c>
      <c r="K2631" s="120">
        <f>D2632</f>
        <v>87762.801999999996</v>
      </c>
      <c r="L2631" s="120">
        <f>D2633</f>
        <v>87329.395000000004</v>
      </c>
      <c r="M2631" s="23">
        <f t="shared" si="342"/>
        <v>4.962899376550034E-3</v>
      </c>
    </row>
    <row r="2632" spans="1:15" x14ac:dyDescent="0.25">
      <c r="A2632" s="3" t="s">
        <v>978</v>
      </c>
      <c r="B2632" s="3" t="s">
        <v>333</v>
      </c>
      <c r="C2632" s="3">
        <v>10</v>
      </c>
      <c r="D2632" s="189">
        <v>87762.801999999996</v>
      </c>
      <c r="E2632" s="3" t="s">
        <v>10</v>
      </c>
      <c r="F2632" s="189">
        <v>3171.2060000000001</v>
      </c>
      <c r="G2632" s="3" t="s">
        <v>335</v>
      </c>
    </row>
    <row r="2633" spans="1:15" x14ac:dyDescent="0.25">
      <c r="A2633" s="3" t="s">
        <v>979</v>
      </c>
      <c r="B2633" s="3" t="s">
        <v>333</v>
      </c>
      <c r="C2633" s="3">
        <v>10</v>
      </c>
      <c r="D2633" s="189">
        <v>87329.395000000004</v>
      </c>
      <c r="E2633" s="3" t="s">
        <v>10</v>
      </c>
      <c r="F2633" s="189">
        <v>2940.7489999999998</v>
      </c>
      <c r="G2633" s="3" t="s">
        <v>335</v>
      </c>
    </row>
    <row r="2635" spans="1:15" x14ac:dyDescent="0.25">
      <c r="A2635" s="3" t="s">
        <v>1146</v>
      </c>
    </row>
    <row r="2636" spans="1:15" ht="20" thickBot="1" x14ac:dyDescent="0.3">
      <c r="A2636" s="3" t="s">
        <v>2</v>
      </c>
      <c r="B2636" s="3" t="s">
        <v>3</v>
      </c>
      <c r="C2636" s="3" t="s">
        <v>4</v>
      </c>
      <c r="D2636" s="189" t="s">
        <v>5</v>
      </c>
      <c r="E2636" s="3" t="s">
        <v>6</v>
      </c>
      <c r="F2636" s="189" t="s">
        <v>7</v>
      </c>
    </row>
    <row r="2637" spans="1:15" x14ac:dyDescent="0.25">
      <c r="A2637" s="3" t="s">
        <v>829</v>
      </c>
      <c r="B2637" s="3" t="s">
        <v>333</v>
      </c>
      <c r="C2637" s="3">
        <v>10</v>
      </c>
      <c r="D2637" s="189">
        <v>658499.78700000001</v>
      </c>
      <c r="E2637" s="3" t="s">
        <v>10</v>
      </c>
      <c r="F2637" s="189">
        <v>54965.224999999999</v>
      </c>
      <c r="G2637" s="3" t="s">
        <v>335</v>
      </c>
      <c r="J2637" s="105" t="str">
        <f>A2635</f>
        <v>drop2_10_mem</v>
      </c>
      <c r="K2637" s="72" t="s">
        <v>340</v>
      </c>
      <c r="L2637" s="72" t="s">
        <v>341</v>
      </c>
      <c r="M2637" s="17" t="s">
        <v>162</v>
      </c>
      <c r="N2637" s="72" t="s">
        <v>342</v>
      </c>
      <c r="O2637" s="21" t="s">
        <v>162</v>
      </c>
    </row>
    <row r="2638" spans="1:15" x14ac:dyDescent="0.25">
      <c r="A2638" s="3" t="s">
        <v>830</v>
      </c>
      <c r="B2638" s="3" t="s">
        <v>333</v>
      </c>
      <c r="C2638" s="3">
        <v>10</v>
      </c>
      <c r="D2638" s="189">
        <v>360566.86200000002</v>
      </c>
      <c r="E2638" s="3" t="s">
        <v>10</v>
      </c>
      <c r="F2638" s="189">
        <v>19877.571</v>
      </c>
      <c r="G2638" s="3" t="s">
        <v>335</v>
      </c>
      <c r="J2638" s="6">
        <v>100000</v>
      </c>
      <c r="K2638" s="119">
        <f>D2637</f>
        <v>658499.78700000001</v>
      </c>
      <c r="L2638" s="119">
        <f>D2638</f>
        <v>360566.86200000002</v>
      </c>
      <c r="M2638" s="18">
        <f>(K2638/L2638-1)</f>
        <v>0.82629036774876985</v>
      </c>
      <c r="N2638" s="73">
        <f>D2639</f>
        <v>397982.565</v>
      </c>
      <c r="O2638" s="22">
        <f>(K2638/N2638-1)</f>
        <v>0.65459455994008175</v>
      </c>
    </row>
    <row r="2639" spans="1:15" x14ac:dyDescent="0.25">
      <c r="A2639" s="3" t="s">
        <v>831</v>
      </c>
      <c r="B2639" s="3" t="s">
        <v>333</v>
      </c>
      <c r="C2639" s="3">
        <v>10</v>
      </c>
      <c r="D2639" s="189">
        <v>397982.565</v>
      </c>
      <c r="E2639" s="3" t="s">
        <v>10</v>
      </c>
      <c r="F2639" s="189">
        <v>23847.904999999999</v>
      </c>
      <c r="G2639" s="3" t="s">
        <v>335</v>
      </c>
      <c r="J2639" s="6">
        <v>50000</v>
      </c>
      <c r="K2639" s="119">
        <f>D2640</f>
        <v>339730.58</v>
      </c>
      <c r="L2639" s="119">
        <f>D2641</f>
        <v>224742.14300000001</v>
      </c>
      <c r="M2639" s="18">
        <f t="shared" ref="M2639:M2642" si="343">(K2639/L2639-1)</f>
        <v>0.51164608232822628</v>
      </c>
      <c r="N2639" s="73">
        <f>D2642</f>
        <v>231376.09400000001</v>
      </c>
      <c r="O2639" s="22">
        <f t="shared" ref="O2639:O2642" si="344">(K2639/N2639-1)</f>
        <v>0.46830458638479744</v>
      </c>
    </row>
    <row r="2640" spans="1:15" x14ac:dyDescent="0.25">
      <c r="A2640" s="3" t="s">
        <v>832</v>
      </c>
      <c r="B2640" s="3" t="s">
        <v>333</v>
      </c>
      <c r="C2640" s="3">
        <v>10</v>
      </c>
      <c r="D2640" s="189">
        <v>339730.58</v>
      </c>
      <c r="E2640" s="3" t="s">
        <v>10</v>
      </c>
      <c r="F2640" s="189">
        <v>20969.638999999999</v>
      </c>
      <c r="G2640" s="3" t="s">
        <v>335</v>
      </c>
      <c r="J2640" s="6">
        <v>10000</v>
      </c>
      <c r="K2640" s="119">
        <f>D2643</f>
        <v>152723.83300000001</v>
      </c>
      <c r="L2640" s="119">
        <f>D2644</f>
        <v>114746.38800000001</v>
      </c>
      <c r="M2640" s="18">
        <f t="shared" si="343"/>
        <v>0.3309685442996253</v>
      </c>
      <c r="N2640" s="73">
        <f>D2645</f>
        <v>112442.454</v>
      </c>
      <c r="O2640" s="22">
        <f t="shared" si="344"/>
        <v>0.35823994912099666</v>
      </c>
    </row>
    <row r="2641" spans="1:15" x14ac:dyDescent="0.25">
      <c r="A2641" s="3" t="s">
        <v>833</v>
      </c>
      <c r="B2641" s="3" t="s">
        <v>333</v>
      </c>
      <c r="C2641" s="3">
        <v>10</v>
      </c>
      <c r="D2641" s="189">
        <v>224742.14300000001</v>
      </c>
      <c r="E2641" s="3" t="s">
        <v>10</v>
      </c>
      <c r="F2641" s="189">
        <v>9359.2950000000001</v>
      </c>
      <c r="G2641" s="3" t="s">
        <v>335</v>
      </c>
      <c r="J2641" s="67">
        <v>1000</v>
      </c>
      <c r="K2641" s="119">
        <f>D2646</f>
        <v>90423.24</v>
      </c>
      <c r="L2641" s="119">
        <f>D2647</f>
        <v>84965.773000000001</v>
      </c>
      <c r="M2641" s="18">
        <f t="shared" si="343"/>
        <v>6.4231358196435329E-2</v>
      </c>
      <c r="N2641" s="73">
        <f>D2648</f>
        <v>84753.077999999994</v>
      </c>
      <c r="O2641" s="22">
        <f t="shared" si="344"/>
        <v>6.6902136580809568E-2</v>
      </c>
    </row>
    <row r="2642" spans="1:15" ht="20" thickBot="1" x14ac:dyDescent="0.3">
      <c r="A2642" s="3" t="s">
        <v>834</v>
      </c>
      <c r="B2642" s="3" t="s">
        <v>333</v>
      </c>
      <c r="C2642" s="3">
        <v>10</v>
      </c>
      <c r="D2642" s="189">
        <v>231376.09400000001</v>
      </c>
      <c r="E2642" s="3" t="s">
        <v>10</v>
      </c>
      <c r="F2642" s="189">
        <v>6088.8429999999998</v>
      </c>
      <c r="G2642" s="3" t="s">
        <v>335</v>
      </c>
      <c r="J2642" s="68">
        <v>100</v>
      </c>
      <c r="K2642" s="120">
        <f>D2649</f>
        <v>84367.111000000004</v>
      </c>
      <c r="L2642" s="120">
        <f>D2650</f>
        <v>82349.263000000006</v>
      </c>
      <c r="M2642" s="19">
        <f t="shared" si="343"/>
        <v>2.4503534415359685E-2</v>
      </c>
      <c r="N2642" s="74">
        <f>D2651</f>
        <v>83468.106</v>
      </c>
      <c r="O2642" s="23">
        <f t="shared" si="344"/>
        <v>1.0770640943979393E-2</v>
      </c>
    </row>
    <row r="2643" spans="1:15" ht="20" thickBot="1" x14ac:dyDescent="0.3">
      <c r="A2643" s="3" t="s">
        <v>835</v>
      </c>
      <c r="B2643" s="3" t="s">
        <v>333</v>
      </c>
      <c r="C2643" s="3">
        <v>10</v>
      </c>
      <c r="D2643" s="189">
        <v>152723.83300000001</v>
      </c>
      <c r="E2643" s="3" t="s">
        <v>10</v>
      </c>
      <c r="F2643" s="189">
        <v>27598.894</v>
      </c>
      <c r="G2643" s="3" t="s">
        <v>335</v>
      </c>
    </row>
    <row r="2644" spans="1:15" x14ac:dyDescent="0.25">
      <c r="A2644" s="3" t="s">
        <v>836</v>
      </c>
      <c r="B2644" s="3" t="s">
        <v>333</v>
      </c>
      <c r="C2644" s="3">
        <v>10</v>
      </c>
      <c r="D2644" s="189">
        <v>114746.38800000001</v>
      </c>
      <c r="E2644" s="3" t="s">
        <v>10</v>
      </c>
      <c r="F2644" s="189">
        <v>13648.666999999999</v>
      </c>
      <c r="G2644" s="3" t="s">
        <v>335</v>
      </c>
      <c r="J2644" s="105" t="str">
        <f>A2635</f>
        <v>drop2_10_mem</v>
      </c>
      <c r="K2644" s="72" t="s">
        <v>341</v>
      </c>
      <c r="L2644" s="72" t="s">
        <v>342</v>
      </c>
      <c r="M2644" s="21" t="s">
        <v>162</v>
      </c>
    </row>
    <row r="2645" spans="1:15" x14ac:dyDescent="0.25">
      <c r="A2645" s="3" t="s">
        <v>837</v>
      </c>
      <c r="B2645" s="3" t="s">
        <v>333</v>
      </c>
      <c r="C2645" s="3">
        <v>10</v>
      </c>
      <c r="D2645" s="189">
        <v>112442.454</v>
      </c>
      <c r="E2645" s="3" t="s">
        <v>10</v>
      </c>
      <c r="F2645" s="189">
        <v>4795.7629999999999</v>
      </c>
      <c r="G2645" s="3" t="s">
        <v>335</v>
      </c>
      <c r="J2645" s="6">
        <v>100000</v>
      </c>
      <c r="K2645" s="119">
        <f>D2638</f>
        <v>360566.86200000002</v>
      </c>
      <c r="L2645" s="119">
        <f>D2639</f>
        <v>397982.565</v>
      </c>
      <c r="M2645" s="22">
        <f>(K2645/L2645-1)</f>
        <v>-9.4013422422160597E-2</v>
      </c>
    </row>
    <row r="2646" spans="1:15" x14ac:dyDescent="0.25">
      <c r="A2646" s="3" t="s">
        <v>838</v>
      </c>
      <c r="B2646" s="3" t="s">
        <v>333</v>
      </c>
      <c r="C2646" s="3">
        <v>10</v>
      </c>
      <c r="D2646" s="189">
        <v>90423.24</v>
      </c>
      <c r="E2646" s="3" t="s">
        <v>10</v>
      </c>
      <c r="F2646" s="189">
        <v>2582.8139999999999</v>
      </c>
      <c r="G2646" s="3" t="s">
        <v>335</v>
      </c>
      <c r="J2646" s="6">
        <v>50000</v>
      </c>
      <c r="K2646" s="119">
        <f>D2641</f>
        <v>224742.14300000001</v>
      </c>
      <c r="L2646" s="119">
        <f>D2642</f>
        <v>231376.09400000001</v>
      </c>
      <c r="M2646" s="22">
        <f t="shared" ref="M2646:M2649" si="345">(K2646/L2646-1)</f>
        <v>-2.8671721807180361E-2</v>
      </c>
    </row>
    <row r="2647" spans="1:15" x14ac:dyDescent="0.25">
      <c r="A2647" s="3" t="s">
        <v>839</v>
      </c>
      <c r="B2647" s="3" t="s">
        <v>333</v>
      </c>
      <c r="C2647" s="3">
        <v>10</v>
      </c>
      <c r="D2647" s="189">
        <v>84965.773000000001</v>
      </c>
      <c r="E2647" s="3" t="s">
        <v>10</v>
      </c>
      <c r="F2647" s="189">
        <v>3747.1729999999998</v>
      </c>
      <c r="G2647" s="3" t="s">
        <v>335</v>
      </c>
      <c r="J2647" s="6">
        <v>10000</v>
      </c>
      <c r="K2647" s="119">
        <f>D2644</f>
        <v>114746.38800000001</v>
      </c>
      <c r="L2647" s="119">
        <f>D2645</f>
        <v>112442.454</v>
      </c>
      <c r="M2647" s="22">
        <f t="shared" si="345"/>
        <v>2.0489894324078106E-2</v>
      </c>
    </row>
    <row r="2648" spans="1:15" x14ac:dyDescent="0.25">
      <c r="A2648" s="3" t="s">
        <v>840</v>
      </c>
      <c r="B2648" s="3" t="s">
        <v>333</v>
      </c>
      <c r="C2648" s="3">
        <v>10</v>
      </c>
      <c r="D2648" s="189">
        <v>84753.077999999994</v>
      </c>
      <c r="E2648" s="3" t="s">
        <v>10</v>
      </c>
      <c r="F2648" s="189">
        <v>1780.248</v>
      </c>
      <c r="G2648" s="3" t="s">
        <v>335</v>
      </c>
      <c r="J2648" s="67">
        <v>1000</v>
      </c>
      <c r="K2648" s="119">
        <f>D2647</f>
        <v>84965.773000000001</v>
      </c>
      <c r="L2648" s="119">
        <f>D2648</f>
        <v>84753.077999999994</v>
      </c>
      <c r="M2648" s="22">
        <f t="shared" si="345"/>
        <v>2.5095843716733679E-3</v>
      </c>
    </row>
    <row r="2649" spans="1:15" ht="20" thickBot="1" x14ac:dyDescent="0.3">
      <c r="A2649" s="3" t="s">
        <v>841</v>
      </c>
      <c r="B2649" s="3" t="s">
        <v>333</v>
      </c>
      <c r="C2649" s="3">
        <v>10</v>
      </c>
      <c r="D2649" s="189">
        <v>84367.111000000004</v>
      </c>
      <c r="E2649" s="3" t="s">
        <v>10</v>
      </c>
      <c r="F2649" s="189">
        <v>5151.2489999999998</v>
      </c>
      <c r="G2649" s="3" t="s">
        <v>335</v>
      </c>
      <c r="J2649" s="68">
        <v>100</v>
      </c>
      <c r="K2649" s="120">
        <f>D2650</f>
        <v>82349.263000000006</v>
      </c>
      <c r="L2649" s="120">
        <f>D2651</f>
        <v>83468.106</v>
      </c>
      <c r="M2649" s="23">
        <f t="shared" si="345"/>
        <v>-1.3404437378751521E-2</v>
      </c>
    </row>
    <row r="2650" spans="1:15" x14ac:dyDescent="0.25">
      <c r="A2650" s="3" t="s">
        <v>842</v>
      </c>
      <c r="B2650" s="3" t="s">
        <v>333</v>
      </c>
      <c r="C2650" s="3">
        <v>10</v>
      </c>
      <c r="D2650" s="189">
        <v>82349.263000000006</v>
      </c>
      <c r="E2650" s="3" t="s">
        <v>10</v>
      </c>
      <c r="F2650" s="189">
        <v>3229.096</v>
      </c>
      <c r="G2650" s="3" t="s">
        <v>335</v>
      </c>
    </row>
    <row r="2651" spans="1:15" x14ac:dyDescent="0.25">
      <c r="A2651" s="3" t="s">
        <v>843</v>
      </c>
      <c r="B2651" s="3" t="s">
        <v>333</v>
      </c>
      <c r="C2651" s="3">
        <v>10</v>
      </c>
      <c r="D2651" s="189">
        <v>83468.106</v>
      </c>
      <c r="E2651" s="3" t="s">
        <v>10</v>
      </c>
      <c r="F2651" s="189">
        <v>3900.9319999999998</v>
      </c>
      <c r="G2651" s="3" t="s">
        <v>335</v>
      </c>
    </row>
    <row r="2653" spans="1:15" x14ac:dyDescent="0.25">
      <c r="A2653" s="3" t="s">
        <v>1147</v>
      </c>
    </row>
    <row r="2654" spans="1:15" ht="20" thickBot="1" x14ac:dyDescent="0.3">
      <c r="A2654" s="3" t="s">
        <v>2</v>
      </c>
      <c r="B2654" s="3" t="s">
        <v>3</v>
      </c>
      <c r="C2654" s="3" t="s">
        <v>4</v>
      </c>
      <c r="D2654" s="189" t="s">
        <v>5</v>
      </c>
      <c r="E2654" s="3" t="s">
        <v>6</v>
      </c>
      <c r="F2654" s="189" t="s">
        <v>7</v>
      </c>
    </row>
    <row r="2655" spans="1:15" x14ac:dyDescent="0.25">
      <c r="A2655" s="3" t="s">
        <v>845</v>
      </c>
      <c r="B2655" s="3" t="s">
        <v>333</v>
      </c>
      <c r="C2655" s="3">
        <v>10</v>
      </c>
      <c r="D2655" s="189">
        <v>149552.65900000001</v>
      </c>
      <c r="E2655" s="3" t="s">
        <v>10</v>
      </c>
      <c r="F2655" s="189">
        <v>8896.4349999999995</v>
      </c>
      <c r="G2655" s="3" t="s">
        <v>335</v>
      </c>
      <c r="J2655" s="105" t="str">
        <f>A2653</f>
        <v>drop2_90_mem</v>
      </c>
      <c r="K2655" s="72" t="s">
        <v>340</v>
      </c>
      <c r="L2655" s="72" t="s">
        <v>341</v>
      </c>
      <c r="M2655" s="17" t="s">
        <v>162</v>
      </c>
      <c r="N2655" s="72" t="s">
        <v>342</v>
      </c>
      <c r="O2655" s="21" t="s">
        <v>162</v>
      </c>
    </row>
    <row r="2656" spans="1:15" x14ac:dyDescent="0.25">
      <c r="A2656" s="3" t="s">
        <v>846</v>
      </c>
      <c r="B2656" s="3" t="s">
        <v>333</v>
      </c>
      <c r="C2656" s="3">
        <v>10</v>
      </c>
      <c r="D2656" s="189">
        <v>148670.41099999999</v>
      </c>
      <c r="E2656" s="3" t="s">
        <v>10</v>
      </c>
      <c r="F2656" s="189">
        <v>5393.7520000000004</v>
      </c>
      <c r="G2656" s="3" t="s">
        <v>335</v>
      </c>
      <c r="J2656" s="6">
        <v>100000</v>
      </c>
      <c r="K2656" s="119">
        <f>D2655</f>
        <v>149552.65900000001</v>
      </c>
      <c r="L2656" s="119">
        <f>D2656</f>
        <v>148670.41099999999</v>
      </c>
      <c r="M2656" s="18">
        <f>(K2656/L2656-1)</f>
        <v>5.9342541267342064E-3</v>
      </c>
      <c r="N2656" s="73">
        <f>D2657</f>
        <v>224648.595</v>
      </c>
      <c r="O2656" s="22">
        <f>(K2656/N2656-1)</f>
        <v>-0.33428179686590065</v>
      </c>
    </row>
    <row r="2657" spans="1:15" x14ac:dyDescent="0.25">
      <c r="A2657" s="3" t="s">
        <v>847</v>
      </c>
      <c r="B2657" s="3" t="s">
        <v>333</v>
      </c>
      <c r="C2657" s="3">
        <v>10</v>
      </c>
      <c r="D2657" s="189">
        <v>224648.595</v>
      </c>
      <c r="E2657" s="3" t="s">
        <v>10</v>
      </c>
      <c r="F2657" s="189">
        <v>8528.7950000000001</v>
      </c>
      <c r="G2657" s="3" t="s">
        <v>335</v>
      </c>
      <c r="J2657" s="6">
        <v>50000</v>
      </c>
      <c r="K2657" s="119">
        <f>D2658</f>
        <v>115206.603</v>
      </c>
      <c r="L2657" s="119">
        <f>D2659</f>
        <v>131328.31099999999</v>
      </c>
      <c r="M2657" s="18">
        <f t="shared" ref="M2657:M2660" si="346">(K2657/L2657-1)</f>
        <v>-0.12275881626163598</v>
      </c>
      <c r="N2657" s="73">
        <f>D2660</f>
        <v>152628.495</v>
      </c>
      <c r="O2657" s="22">
        <f t="shared" ref="O2657:O2660" si="347">(K2657/N2657-1)</f>
        <v>-0.24518286706555015</v>
      </c>
    </row>
    <row r="2658" spans="1:15" x14ac:dyDescent="0.25">
      <c r="A2658" s="3" t="s">
        <v>848</v>
      </c>
      <c r="B2658" s="3" t="s">
        <v>333</v>
      </c>
      <c r="C2658" s="3">
        <v>10</v>
      </c>
      <c r="D2658" s="189">
        <v>115206.603</v>
      </c>
      <c r="E2658" s="3" t="s">
        <v>10</v>
      </c>
      <c r="F2658" s="189">
        <v>3856.9079999999999</v>
      </c>
      <c r="G2658" s="3" t="s">
        <v>335</v>
      </c>
      <c r="J2658" s="6">
        <v>10000</v>
      </c>
      <c r="K2658" s="119">
        <f>D2661</f>
        <v>91840.345000000001</v>
      </c>
      <c r="L2658" s="119">
        <f>D2662</f>
        <v>90735.652000000002</v>
      </c>
      <c r="M2658" s="18">
        <f t="shared" si="346"/>
        <v>1.2174850520719316E-2</v>
      </c>
      <c r="N2658" s="73">
        <f>D2663</f>
        <v>103164.70299999999</v>
      </c>
      <c r="O2658" s="22">
        <f t="shared" si="347"/>
        <v>-0.10976969516405233</v>
      </c>
    </row>
    <row r="2659" spans="1:15" x14ac:dyDescent="0.25">
      <c r="A2659" s="3" t="s">
        <v>849</v>
      </c>
      <c r="B2659" s="3" t="s">
        <v>333</v>
      </c>
      <c r="C2659" s="3">
        <v>10</v>
      </c>
      <c r="D2659" s="189">
        <v>131328.31099999999</v>
      </c>
      <c r="E2659" s="3" t="s">
        <v>10</v>
      </c>
      <c r="F2659" s="189">
        <v>12380.683000000001</v>
      </c>
      <c r="G2659" s="3" t="s">
        <v>335</v>
      </c>
      <c r="J2659" s="67">
        <v>1000</v>
      </c>
      <c r="K2659" s="119">
        <f>D2664</f>
        <v>82365.453999999998</v>
      </c>
      <c r="L2659" s="119">
        <f>D2665</f>
        <v>82629.971999999994</v>
      </c>
      <c r="M2659" s="18">
        <f t="shared" si="346"/>
        <v>-3.2012355032625672E-3</v>
      </c>
      <c r="N2659" s="73">
        <f>D2666</f>
        <v>85337.107000000004</v>
      </c>
      <c r="O2659" s="22">
        <f t="shared" si="347"/>
        <v>-3.4822518649478051E-2</v>
      </c>
    </row>
    <row r="2660" spans="1:15" ht="20" thickBot="1" x14ac:dyDescent="0.3">
      <c r="A2660" s="3" t="s">
        <v>850</v>
      </c>
      <c r="B2660" s="3" t="s">
        <v>333</v>
      </c>
      <c r="C2660" s="3">
        <v>10</v>
      </c>
      <c r="D2660" s="189">
        <v>152628.495</v>
      </c>
      <c r="E2660" s="3" t="s">
        <v>10</v>
      </c>
      <c r="F2660" s="189">
        <v>3535.2289999999998</v>
      </c>
      <c r="G2660" s="3" t="s">
        <v>335</v>
      </c>
      <c r="J2660" s="68">
        <v>100</v>
      </c>
      <c r="K2660" s="120">
        <f>D2667</f>
        <v>81481.808000000005</v>
      </c>
      <c r="L2660" s="120">
        <f>D2668</f>
        <v>81400.775999999998</v>
      </c>
      <c r="M2660" s="19">
        <f t="shared" si="346"/>
        <v>9.9546962549856843E-4</v>
      </c>
      <c r="N2660" s="74">
        <f>D2669</f>
        <v>81906.453999999998</v>
      </c>
      <c r="O2660" s="23">
        <f t="shared" si="347"/>
        <v>-5.1845242866941366E-3</v>
      </c>
    </row>
    <row r="2661" spans="1:15" ht="20" thickBot="1" x14ac:dyDescent="0.3">
      <c r="A2661" s="3" t="s">
        <v>851</v>
      </c>
      <c r="B2661" s="3" t="s">
        <v>333</v>
      </c>
      <c r="C2661" s="3">
        <v>10</v>
      </c>
      <c r="D2661" s="189">
        <v>91840.345000000001</v>
      </c>
      <c r="E2661" s="3" t="s">
        <v>10</v>
      </c>
      <c r="F2661" s="189">
        <v>2490.1350000000002</v>
      </c>
      <c r="G2661" s="3" t="s">
        <v>335</v>
      </c>
    </row>
    <row r="2662" spans="1:15" x14ac:dyDescent="0.25">
      <c r="A2662" s="3" t="s">
        <v>852</v>
      </c>
      <c r="B2662" s="3" t="s">
        <v>333</v>
      </c>
      <c r="C2662" s="3">
        <v>10</v>
      </c>
      <c r="D2662" s="189">
        <v>90735.652000000002</v>
      </c>
      <c r="E2662" s="3" t="s">
        <v>10</v>
      </c>
      <c r="F2662" s="189">
        <v>2685.5880000000002</v>
      </c>
      <c r="G2662" s="3" t="s">
        <v>335</v>
      </c>
      <c r="J2662" s="105" t="str">
        <f>A2653</f>
        <v>drop2_90_mem</v>
      </c>
      <c r="K2662" s="72" t="s">
        <v>341</v>
      </c>
      <c r="L2662" s="72" t="s">
        <v>342</v>
      </c>
      <c r="M2662" s="21" t="s">
        <v>162</v>
      </c>
    </row>
    <row r="2663" spans="1:15" x14ac:dyDescent="0.25">
      <c r="A2663" s="3" t="s">
        <v>853</v>
      </c>
      <c r="B2663" s="3" t="s">
        <v>333</v>
      </c>
      <c r="C2663" s="3">
        <v>10</v>
      </c>
      <c r="D2663" s="189">
        <v>103164.70299999999</v>
      </c>
      <c r="E2663" s="3" t="s">
        <v>10</v>
      </c>
      <c r="F2663" s="189">
        <v>2591.4169999999999</v>
      </c>
      <c r="G2663" s="3" t="s">
        <v>335</v>
      </c>
      <c r="J2663" s="6">
        <v>100000</v>
      </c>
      <c r="K2663" s="119">
        <f>D2656</f>
        <v>148670.41099999999</v>
      </c>
      <c r="L2663" s="119">
        <f>D2657</f>
        <v>224648.595</v>
      </c>
      <c r="M2663" s="22">
        <f>(K2663/L2663-1)</f>
        <v>-0.33820903264496271</v>
      </c>
    </row>
    <row r="2664" spans="1:15" x14ac:dyDescent="0.25">
      <c r="A2664" s="3" t="s">
        <v>854</v>
      </c>
      <c r="B2664" s="3" t="s">
        <v>333</v>
      </c>
      <c r="C2664" s="3">
        <v>10</v>
      </c>
      <c r="D2664" s="189">
        <v>82365.453999999998</v>
      </c>
      <c r="E2664" s="3" t="s">
        <v>10</v>
      </c>
      <c r="F2664" s="189">
        <v>2174.2089999999998</v>
      </c>
      <c r="G2664" s="3" t="s">
        <v>335</v>
      </c>
      <c r="J2664" s="6">
        <v>50000</v>
      </c>
      <c r="K2664" s="119">
        <f>D2659</f>
        <v>131328.31099999999</v>
      </c>
      <c r="L2664" s="119">
        <f>D2660</f>
        <v>152628.495</v>
      </c>
      <c r="M2664" s="22">
        <f t="shared" ref="M2664:M2667" si="348">(K2664/L2664-1)</f>
        <v>-0.13955574940315052</v>
      </c>
    </row>
    <row r="2665" spans="1:15" x14ac:dyDescent="0.25">
      <c r="A2665" s="3" t="s">
        <v>855</v>
      </c>
      <c r="B2665" s="3" t="s">
        <v>333</v>
      </c>
      <c r="C2665" s="3">
        <v>10</v>
      </c>
      <c r="D2665" s="189">
        <v>82629.971999999994</v>
      </c>
      <c r="E2665" s="3" t="s">
        <v>10</v>
      </c>
      <c r="F2665" s="189">
        <v>3033.8</v>
      </c>
      <c r="G2665" s="3" t="s">
        <v>335</v>
      </c>
      <c r="J2665" s="6">
        <v>10000</v>
      </c>
      <c r="K2665" s="119">
        <f>D2662</f>
        <v>90735.652000000002</v>
      </c>
      <c r="L2665" s="119">
        <f>D2663</f>
        <v>103164.70299999999</v>
      </c>
      <c r="M2665" s="22">
        <f t="shared" si="348"/>
        <v>-0.12047774712248227</v>
      </c>
    </row>
    <row r="2666" spans="1:15" x14ac:dyDescent="0.25">
      <c r="A2666" s="3" t="s">
        <v>856</v>
      </c>
      <c r="B2666" s="3" t="s">
        <v>333</v>
      </c>
      <c r="C2666" s="3">
        <v>10</v>
      </c>
      <c r="D2666" s="189">
        <v>85337.107000000004</v>
      </c>
      <c r="E2666" s="3" t="s">
        <v>10</v>
      </c>
      <c r="F2666" s="189">
        <v>3373.7040000000002</v>
      </c>
      <c r="G2666" s="3" t="s">
        <v>335</v>
      </c>
      <c r="J2666" s="67">
        <v>1000</v>
      </c>
      <c r="K2666" s="119">
        <f>D2665</f>
        <v>82629.971999999994</v>
      </c>
      <c r="L2666" s="119">
        <f>D2666</f>
        <v>85337.107000000004</v>
      </c>
      <c r="M2666" s="22">
        <f t="shared" si="348"/>
        <v>-3.1722835413204309E-2</v>
      </c>
    </row>
    <row r="2667" spans="1:15" ht="20" thickBot="1" x14ac:dyDescent="0.3">
      <c r="A2667" s="3" t="s">
        <v>857</v>
      </c>
      <c r="B2667" s="3" t="s">
        <v>333</v>
      </c>
      <c r="C2667" s="3">
        <v>10</v>
      </c>
      <c r="D2667" s="189">
        <v>81481.808000000005</v>
      </c>
      <c r="E2667" s="3" t="s">
        <v>10</v>
      </c>
      <c r="F2667" s="189">
        <v>1887.095</v>
      </c>
      <c r="G2667" s="3" t="s">
        <v>335</v>
      </c>
      <c r="J2667" s="68">
        <v>100</v>
      </c>
      <c r="K2667" s="120">
        <f>D2668</f>
        <v>81400.775999999998</v>
      </c>
      <c r="L2667" s="120">
        <f>D2669</f>
        <v>81906.453999999998</v>
      </c>
      <c r="M2667" s="23">
        <f t="shared" si="348"/>
        <v>-6.1738480340023383E-3</v>
      </c>
    </row>
    <row r="2668" spans="1:15" x14ac:dyDescent="0.25">
      <c r="A2668" s="3" t="s">
        <v>858</v>
      </c>
      <c r="B2668" s="3" t="s">
        <v>333</v>
      </c>
      <c r="C2668" s="3">
        <v>10</v>
      </c>
      <c r="D2668" s="189">
        <v>81400.775999999998</v>
      </c>
      <c r="E2668" s="3" t="s">
        <v>10</v>
      </c>
      <c r="F2668" s="189">
        <v>1307.8440000000001</v>
      </c>
      <c r="G2668" s="3" t="s">
        <v>335</v>
      </c>
    </row>
    <row r="2669" spans="1:15" x14ac:dyDescent="0.25">
      <c r="A2669" s="3" t="s">
        <v>859</v>
      </c>
      <c r="B2669" s="3" t="s">
        <v>333</v>
      </c>
      <c r="C2669" s="3">
        <v>10</v>
      </c>
      <c r="D2669" s="189">
        <v>81906.453999999998</v>
      </c>
      <c r="E2669" s="3" t="s">
        <v>10</v>
      </c>
      <c r="F2669" s="189">
        <v>2072.8679999999999</v>
      </c>
      <c r="G2669" s="3" t="s">
        <v>335</v>
      </c>
    </row>
    <row r="2671" spans="1:15" x14ac:dyDescent="0.25">
      <c r="A2671" s="3" t="s">
        <v>1148</v>
      </c>
    </row>
    <row r="2672" spans="1:15" ht="20" thickBot="1" x14ac:dyDescent="0.3">
      <c r="A2672" s="3" t="s">
        <v>2</v>
      </c>
      <c r="B2672" s="3" t="s">
        <v>3</v>
      </c>
      <c r="C2672" s="3" t="s">
        <v>4</v>
      </c>
      <c r="D2672" s="189" t="s">
        <v>5</v>
      </c>
      <c r="E2672" s="3" t="s">
        <v>6</v>
      </c>
      <c r="F2672" s="189" t="s">
        <v>7</v>
      </c>
    </row>
    <row r="2673" spans="1:15" x14ac:dyDescent="0.25">
      <c r="A2673" s="3" t="s">
        <v>981</v>
      </c>
      <c r="B2673" s="3" t="s">
        <v>333</v>
      </c>
      <c r="C2673" s="3">
        <v>10</v>
      </c>
      <c r="D2673" s="189">
        <v>151797.65400000001</v>
      </c>
      <c r="E2673" s="3" t="s">
        <v>10</v>
      </c>
      <c r="F2673" s="189">
        <v>11148.039000000001</v>
      </c>
      <c r="G2673" s="3" t="s">
        <v>335</v>
      </c>
      <c r="J2673" s="105" t="str">
        <f>A2671</f>
        <v>take2_10_mem</v>
      </c>
      <c r="K2673" s="72" t="s">
        <v>340</v>
      </c>
      <c r="L2673" s="72" t="s">
        <v>341</v>
      </c>
      <c r="M2673" s="17" t="s">
        <v>162</v>
      </c>
      <c r="N2673" s="72" t="s">
        <v>342</v>
      </c>
      <c r="O2673" s="21" t="s">
        <v>162</v>
      </c>
    </row>
    <row r="2674" spans="1:15" x14ac:dyDescent="0.25">
      <c r="A2674" s="3" t="s">
        <v>982</v>
      </c>
      <c r="B2674" s="3" t="s">
        <v>333</v>
      </c>
      <c r="C2674" s="3">
        <v>10</v>
      </c>
      <c r="D2674" s="189">
        <v>109470.625</v>
      </c>
      <c r="E2674" s="3" t="s">
        <v>10</v>
      </c>
      <c r="F2674" s="189">
        <v>1662.704</v>
      </c>
      <c r="G2674" s="3" t="s">
        <v>335</v>
      </c>
      <c r="J2674" s="6">
        <v>100000</v>
      </c>
      <c r="K2674" s="119">
        <f>D2673</f>
        <v>151797.65400000001</v>
      </c>
      <c r="L2674" s="119">
        <f>D2674</f>
        <v>109470.625</v>
      </c>
      <c r="M2674" s="18">
        <f>(K2674/L2674-1)</f>
        <v>0.38665193516525553</v>
      </c>
      <c r="N2674" s="73">
        <f>D2675</f>
        <v>125796.443</v>
      </c>
      <c r="O2674" s="22">
        <f>(K2674/N2674-1)</f>
        <v>0.20669273613722128</v>
      </c>
    </row>
    <row r="2675" spans="1:15" x14ac:dyDescent="0.25">
      <c r="A2675" s="3" t="s">
        <v>983</v>
      </c>
      <c r="B2675" s="3" t="s">
        <v>333</v>
      </c>
      <c r="C2675" s="3">
        <v>10</v>
      </c>
      <c r="D2675" s="189">
        <v>125796.443</v>
      </c>
      <c r="E2675" s="3" t="s">
        <v>10</v>
      </c>
      <c r="F2675" s="189">
        <v>7653.5749999999998</v>
      </c>
      <c r="G2675" s="3" t="s">
        <v>335</v>
      </c>
      <c r="J2675" s="6">
        <v>50000</v>
      </c>
      <c r="K2675" s="119">
        <f>D2676</f>
        <v>117518.519</v>
      </c>
      <c r="L2675" s="119">
        <f>D2677</f>
        <v>95184.017000000007</v>
      </c>
      <c r="M2675" s="18">
        <f t="shared" ref="M2675:M2678" si="349">(K2675/L2675-1)</f>
        <v>0.23464550776418691</v>
      </c>
      <c r="N2675" s="73">
        <f>D2678</f>
        <v>102680.512</v>
      </c>
      <c r="O2675" s="22">
        <f t="shared" ref="O2675:O2678" si="350">(K2675/N2675-1)</f>
        <v>0.14450655446673277</v>
      </c>
    </row>
    <row r="2676" spans="1:15" x14ac:dyDescent="0.25">
      <c r="A2676" s="3" t="s">
        <v>984</v>
      </c>
      <c r="B2676" s="3" t="s">
        <v>333</v>
      </c>
      <c r="C2676" s="3">
        <v>10</v>
      </c>
      <c r="D2676" s="189">
        <v>117518.519</v>
      </c>
      <c r="E2676" s="3" t="s">
        <v>10</v>
      </c>
      <c r="F2676" s="189">
        <v>3010.56</v>
      </c>
      <c r="G2676" s="3" t="s">
        <v>335</v>
      </c>
      <c r="J2676" s="6">
        <v>10000</v>
      </c>
      <c r="K2676" s="119">
        <f>D2679</f>
        <v>91944.523000000001</v>
      </c>
      <c r="L2676" s="119">
        <f>D2680</f>
        <v>85097.296000000002</v>
      </c>
      <c r="M2676" s="18">
        <f t="shared" si="349"/>
        <v>8.0463508499729608E-2</v>
      </c>
      <c r="N2676" s="73">
        <f>D2681</f>
        <v>89178.827000000005</v>
      </c>
      <c r="O2676" s="22">
        <f t="shared" si="350"/>
        <v>3.1012921934934212E-2</v>
      </c>
    </row>
    <row r="2677" spans="1:15" x14ac:dyDescent="0.25">
      <c r="A2677" s="3" t="s">
        <v>985</v>
      </c>
      <c r="B2677" s="3" t="s">
        <v>333</v>
      </c>
      <c r="C2677" s="3">
        <v>10</v>
      </c>
      <c r="D2677" s="189">
        <v>95184.017000000007</v>
      </c>
      <c r="E2677" s="3" t="s">
        <v>10</v>
      </c>
      <c r="F2677" s="189">
        <v>2040.057</v>
      </c>
      <c r="G2677" s="3" t="s">
        <v>335</v>
      </c>
      <c r="J2677" s="67">
        <v>1000</v>
      </c>
      <c r="K2677" s="119">
        <f>D2682</f>
        <v>85723.865999999995</v>
      </c>
      <c r="L2677" s="119">
        <f>D2683</f>
        <v>82496.572</v>
      </c>
      <c r="M2677" s="18">
        <f t="shared" si="349"/>
        <v>3.9120340660942832E-2</v>
      </c>
      <c r="N2677" s="73">
        <f>D2684</f>
        <v>81913.827000000005</v>
      </c>
      <c r="O2677" s="22">
        <f t="shared" si="350"/>
        <v>4.6512770060175512E-2</v>
      </c>
    </row>
    <row r="2678" spans="1:15" ht="20" thickBot="1" x14ac:dyDescent="0.3">
      <c r="A2678" s="3" t="s">
        <v>986</v>
      </c>
      <c r="B2678" s="3" t="s">
        <v>333</v>
      </c>
      <c r="C2678" s="3">
        <v>10</v>
      </c>
      <c r="D2678" s="189">
        <v>102680.512</v>
      </c>
      <c r="E2678" s="3" t="s">
        <v>10</v>
      </c>
      <c r="F2678" s="189">
        <v>2612.049</v>
      </c>
      <c r="G2678" s="3" t="s">
        <v>335</v>
      </c>
      <c r="J2678" s="68">
        <v>100</v>
      </c>
      <c r="K2678" s="120">
        <f>D2685</f>
        <v>82400.448000000004</v>
      </c>
      <c r="L2678" s="120">
        <f>D2686</f>
        <v>80281.975000000006</v>
      </c>
      <c r="M2678" s="19">
        <f t="shared" si="349"/>
        <v>2.638790338678132E-2</v>
      </c>
      <c r="N2678" s="74">
        <f>D2687</f>
        <v>81300.354999999996</v>
      </c>
      <c r="O2678" s="23">
        <f t="shared" si="350"/>
        <v>1.3531220128128796E-2</v>
      </c>
    </row>
    <row r="2679" spans="1:15" ht="20" thickBot="1" x14ac:dyDescent="0.3">
      <c r="A2679" s="3" t="s">
        <v>987</v>
      </c>
      <c r="B2679" s="3" t="s">
        <v>333</v>
      </c>
      <c r="C2679" s="3">
        <v>10</v>
      </c>
      <c r="D2679" s="189">
        <v>91944.523000000001</v>
      </c>
      <c r="E2679" s="3" t="s">
        <v>10</v>
      </c>
      <c r="F2679" s="189">
        <v>2963.9119999999998</v>
      </c>
      <c r="G2679" s="3" t="s">
        <v>335</v>
      </c>
    </row>
    <row r="2680" spans="1:15" x14ac:dyDescent="0.25">
      <c r="A2680" s="3" t="s">
        <v>988</v>
      </c>
      <c r="B2680" s="3" t="s">
        <v>333</v>
      </c>
      <c r="C2680" s="3">
        <v>10</v>
      </c>
      <c r="D2680" s="189">
        <v>85097.296000000002</v>
      </c>
      <c r="E2680" s="3" t="s">
        <v>10</v>
      </c>
      <c r="F2680" s="189">
        <v>4354.1019999999999</v>
      </c>
      <c r="G2680" s="3" t="s">
        <v>335</v>
      </c>
      <c r="J2680" s="105" t="str">
        <f>A2671</f>
        <v>take2_10_mem</v>
      </c>
      <c r="K2680" s="72" t="s">
        <v>341</v>
      </c>
      <c r="L2680" s="72" t="s">
        <v>342</v>
      </c>
      <c r="M2680" s="21" t="s">
        <v>162</v>
      </c>
    </row>
    <row r="2681" spans="1:15" x14ac:dyDescent="0.25">
      <c r="A2681" s="3" t="s">
        <v>989</v>
      </c>
      <c r="B2681" s="3" t="s">
        <v>333</v>
      </c>
      <c r="C2681" s="3">
        <v>10</v>
      </c>
      <c r="D2681" s="189">
        <v>89178.827000000005</v>
      </c>
      <c r="E2681" s="3" t="s">
        <v>10</v>
      </c>
      <c r="F2681" s="189">
        <v>7233.4629999999997</v>
      </c>
      <c r="G2681" s="3" t="s">
        <v>335</v>
      </c>
      <c r="J2681" s="6">
        <v>100000</v>
      </c>
      <c r="K2681" s="119">
        <f>D2674</f>
        <v>109470.625</v>
      </c>
      <c r="L2681" s="119">
        <f>D2675</f>
        <v>125796.443</v>
      </c>
      <c r="M2681" s="22">
        <f>(K2681/L2681-1)</f>
        <v>-0.12977964726713298</v>
      </c>
    </row>
    <row r="2682" spans="1:15" x14ac:dyDescent="0.25">
      <c r="A2682" s="3" t="s">
        <v>990</v>
      </c>
      <c r="B2682" s="3" t="s">
        <v>333</v>
      </c>
      <c r="C2682" s="3">
        <v>10</v>
      </c>
      <c r="D2682" s="189">
        <v>85723.865999999995</v>
      </c>
      <c r="E2682" s="3" t="s">
        <v>10</v>
      </c>
      <c r="F2682" s="189">
        <v>11191.07</v>
      </c>
      <c r="G2682" s="3" t="s">
        <v>335</v>
      </c>
      <c r="J2682" s="6">
        <v>50000</v>
      </c>
      <c r="K2682" s="119">
        <f>D2677</f>
        <v>95184.017000000007</v>
      </c>
      <c r="L2682" s="119">
        <f>D2678</f>
        <v>102680.512</v>
      </c>
      <c r="M2682" s="22">
        <f t="shared" ref="M2682:M2685" si="351">(K2682/L2682-1)</f>
        <v>-7.3007962796289849E-2</v>
      </c>
    </row>
    <row r="2683" spans="1:15" x14ac:dyDescent="0.25">
      <c r="A2683" s="3" t="s">
        <v>991</v>
      </c>
      <c r="B2683" s="3" t="s">
        <v>333</v>
      </c>
      <c r="C2683" s="3">
        <v>10</v>
      </c>
      <c r="D2683" s="189">
        <v>82496.572</v>
      </c>
      <c r="E2683" s="3" t="s">
        <v>10</v>
      </c>
      <c r="F2683" s="189">
        <v>3520.7629999999999</v>
      </c>
      <c r="G2683" s="3" t="s">
        <v>335</v>
      </c>
      <c r="J2683" s="6">
        <v>10000</v>
      </c>
      <c r="K2683" s="119">
        <f>D2680</f>
        <v>85097.296000000002</v>
      </c>
      <c r="L2683" s="119">
        <f>D2681</f>
        <v>89178.827000000005</v>
      </c>
      <c r="M2683" s="22">
        <f t="shared" si="351"/>
        <v>-4.5767937719118024E-2</v>
      </c>
    </row>
    <row r="2684" spans="1:15" x14ac:dyDescent="0.25">
      <c r="A2684" s="3" t="s">
        <v>992</v>
      </c>
      <c r="B2684" s="3" t="s">
        <v>333</v>
      </c>
      <c r="C2684" s="3">
        <v>10</v>
      </c>
      <c r="D2684" s="189">
        <v>81913.827000000005</v>
      </c>
      <c r="E2684" s="3" t="s">
        <v>10</v>
      </c>
      <c r="F2684" s="189">
        <v>1882.652</v>
      </c>
      <c r="G2684" s="3" t="s">
        <v>335</v>
      </c>
      <c r="J2684" s="67">
        <v>1000</v>
      </c>
      <c r="K2684" s="119">
        <f>D2683</f>
        <v>82496.572</v>
      </c>
      <c r="L2684" s="119">
        <f>D2684</f>
        <v>81913.827000000005</v>
      </c>
      <c r="M2684" s="22">
        <f t="shared" si="351"/>
        <v>7.1141225033961586E-3</v>
      </c>
    </row>
    <row r="2685" spans="1:15" ht="20" thickBot="1" x14ac:dyDescent="0.3">
      <c r="A2685" s="3" t="s">
        <v>993</v>
      </c>
      <c r="B2685" s="3" t="s">
        <v>333</v>
      </c>
      <c r="C2685" s="3">
        <v>10</v>
      </c>
      <c r="D2685" s="189">
        <v>82400.448000000004</v>
      </c>
      <c r="E2685" s="3" t="s">
        <v>10</v>
      </c>
      <c r="F2685" s="189">
        <v>5029.2920000000004</v>
      </c>
      <c r="G2685" s="3" t="s">
        <v>335</v>
      </c>
      <c r="J2685" s="68">
        <v>100</v>
      </c>
      <c r="K2685" s="120">
        <f>D2686</f>
        <v>80281.975000000006</v>
      </c>
      <c r="L2685" s="120">
        <f>D2687</f>
        <v>81300.354999999996</v>
      </c>
      <c r="M2685" s="23">
        <f t="shared" si="351"/>
        <v>-1.2526144566035291E-2</v>
      </c>
    </row>
    <row r="2686" spans="1:15" x14ac:dyDescent="0.25">
      <c r="A2686" s="3" t="s">
        <v>994</v>
      </c>
      <c r="B2686" s="3" t="s">
        <v>333</v>
      </c>
      <c r="C2686" s="3">
        <v>10</v>
      </c>
      <c r="D2686" s="189">
        <v>80281.975000000006</v>
      </c>
      <c r="E2686" s="3" t="s">
        <v>10</v>
      </c>
      <c r="F2686" s="189">
        <v>1847.69</v>
      </c>
      <c r="G2686" s="3" t="s">
        <v>335</v>
      </c>
    </row>
    <row r="2687" spans="1:15" x14ac:dyDescent="0.25">
      <c r="A2687" s="3" t="s">
        <v>995</v>
      </c>
      <c r="B2687" s="3" t="s">
        <v>333</v>
      </c>
      <c r="C2687" s="3">
        <v>10</v>
      </c>
      <c r="D2687" s="189">
        <v>81300.354999999996</v>
      </c>
      <c r="E2687" s="3" t="s">
        <v>10</v>
      </c>
      <c r="F2687" s="189">
        <v>1324.182</v>
      </c>
      <c r="G2687" s="3" t="s">
        <v>335</v>
      </c>
    </row>
    <row r="2689" spans="1:15" x14ac:dyDescent="0.25">
      <c r="A2689" s="3" t="s">
        <v>1149</v>
      </c>
    </row>
    <row r="2690" spans="1:15" ht="20" thickBot="1" x14ac:dyDescent="0.3">
      <c r="A2690" s="3" t="s">
        <v>2</v>
      </c>
      <c r="B2690" s="3" t="s">
        <v>3</v>
      </c>
      <c r="C2690" s="3" t="s">
        <v>4</v>
      </c>
      <c r="D2690" s="189" t="s">
        <v>5</v>
      </c>
      <c r="E2690" s="3" t="s">
        <v>6</v>
      </c>
      <c r="F2690" s="189" t="s">
        <v>7</v>
      </c>
    </row>
    <row r="2691" spans="1:15" x14ac:dyDescent="0.25">
      <c r="A2691" s="3" t="s">
        <v>997</v>
      </c>
      <c r="B2691" s="3" t="s">
        <v>333</v>
      </c>
      <c r="C2691" s="3">
        <v>10</v>
      </c>
      <c r="D2691" s="189">
        <v>685029.48100000003</v>
      </c>
      <c r="E2691" s="3" t="s">
        <v>10</v>
      </c>
      <c r="F2691" s="189">
        <v>70685.278000000006</v>
      </c>
      <c r="G2691" s="3" t="s">
        <v>335</v>
      </c>
      <c r="J2691" s="105" t="str">
        <f>A2689</f>
        <v>take2_90_mem</v>
      </c>
      <c r="K2691" s="72" t="s">
        <v>340</v>
      </c>
      <c r="L2691" s="72" t="s">
        <v>341</v>
      </c>
      <c r="M2691" s="17" t="s">
        <v>162</v>
      </c>
      <c r="N2691" s="72" t="s">
        <v>342</v>
      </c>
      <c r="O2691" s="21" t="s">
        <v>162</v>
      </c>
    </row>
    <row r="2692" spans="1:15" x14ac:dyDescent="0.25">
      <c r="A2692" s="30" t="s">
        <v>998</v>
      </c>
      <c r="B2692" s="30" t="s">
        <v>333</v>
      </c>
      <c r="C2692" s="30">
        <v>10</v>
      </c>
      <c r="D2692" s="190">
        <v>336123.63299999997</v>
      </c>
      <c r="E2692" s="30" t="s">
        <v>10</v>
      </c>
      <c r="F2692" s="190">
        <v>2337.3330000000001</v>
      </c>
      <c r="G2692" s="30" t="s">
        <v>335</v>
      </c>
      <c r="H2692" s="30"/>
      <c r="J2692" s="6">
        <v>100000</v>
      </c>
      <c r="K2692" s="119">
        <f>D2691</f>
        <v>685029.48100000003</v>
      </c>
      <c r="L2692" s="119">
        <f>D2692</f>
        <v>336123.63299999997</v>
      </c>
      <c r="M2692" s="18">
        <f>(K2692/L2692-1)</f>
        <v>1.0380283138258242</v>
      </c>
      <c r="N2692" s="73">
        <f>D2693</f>
        <v>422559.04499999998</v>
      </c>
      <c r="O2692" s="22">
        <f>(K2692/N2692-1)</f>
        <v>0.62114499525149225</v>
      </c>
    </row>
    <row r="2693" spans="1:15" x14ac:dyDescent="0.25">
      <c r="A2693" s="30" t="s">
        <v>999</v>
      </c>
      <c r="B2693" s="30" t="s">
        <v>333</v>
      </c>
      <c r="C2693" s="30">
        <v>10</v>
      </c>
      <c r="D2693" s="190">
        <v>422559.04499999998</v>
      </c>
      <c r="E2693" s="30" t="s">
        <v>10</v>
      </c>
      <c r="F2693" s="190">
        <v>3114.27</v>
      </c>
      <c r="G2693" s="30" t="s">
        <v>335</v>
      </c>
      <c r="H2693" s="30"/>
      <c r="J2693" s="6">
        <v>50000</v>
      </c>
      <c r="K2693" s="119">
        <f>D2694</f>
        <v>365550.22700000001</v>
      </c>
      <c r="L2693" s="119">
        <f>D2695</f>
        <v>210893.337</v>
      </c>
      <c r="M2693" s="18">
        <f t="shared" ref="M2693:M2696" si="352">(K2693/L2693-1)</f>
        <v>0.73334175560036785</v>
      </c>
      <c r="N2693" s="73">
        <f>D2696</f>
        <v>251448.63200000001</v>
      </c>
      <c r="O2693" s="22">
        <f t="shared" ref="O2693:O2696" si="353">(K2693/N2693-1)</f>
        <v>0.45377695671853968</v>
      </c>
    </row>
    <row r="2694" spans="1:15" x14ac:dyDescent="0.25">
      <c r="A2694" s="30" t="s">
        <v>1000</v>
      </c>
      <c r="B2694" s="30" t="s">
        <v>333</v>
      </c>
      <c r="C2694" s="30">
        <v>10</v>
      </c>
      <c r="D2694" s="190">
        <v>365550.22700000001</v>
      </c>
      <c r="E2694" s="30" t="s">
        <v>10</v>
      </c>
      <c r="F2694" s="190">
        <v>30687.087</v>
      </c>
      <c r="G2694" s="30" t="s">
        <v>335</v>
      </c>
      <c r="H2694" s="30"/>
      <c r="J2694" s="6">
        <v>10000</v>
      </c>
      <c r="K2694" s="119">
        <f>D2697</f>
        <v>146784.71599999999</v>
      </c>
      <c r="L2694" s="119">
        <f>D2698</f>
        <v>108143.789</v>
      </c>
      <c r="M2694" s="18">
        <f t="shared" si="352"/>
        <v>0.35731064499691212</v>
      </c>
      <c r="N2694" s="73">
        <f>D2699</f>
        <v>120580.689</v>
      </c>
      <c r="O2694" s="22">
        <f t="shared" si="353"/>
        <v>0.21731528669569955</v>
      </c>
    </row>
    <row r="2695" spans="1:15" x14ac:dyDescent="0.25">
      <c r="A2695" s="30" t="s">
        <v>1001</v>
      </c>
      <c r="B2695" s="30" t="s">
        <v>333</v>
      </c>
      <c r="C2695" s="30">
        <v>10</v>
      </c>
      <c r="D2695" s="190">
        <v>210893.337</v>
      </c>
      <c r="E2695" s="30" t="s">
        <v>10</v>
      </c>
      <c r="F2695" s="190">
        <v>2775.88</v>
      </c>
      <c r="G2695" s="30" t="s">
        <v>335</v>
      </c>
      <c r="H2695" s="30"/>
      <c r="J2695" s="67">
        <v>1000</v>
      </c>
      <c r="K2695" s="119">
        <f>D2700</f>
        <v>92550.066999999995</v>
      </c>
      <c r="L2695" s="119">
        <f>D2701</f>
        <v>83106.107999999993</v>
      </c>
      <c r="M2695" s="18">
        <f t="shared" si="352"/>
        <v>0.11363736345347819</v>
      </c>
      <c r="N2695" s="73">
        <f>D2702</f>
        <v>86577.36</v>
      </c>
      <c r="O2695" s="22">
        <f t="shared" si="353"/>
        <v>6.8986938386663699E-2</v>
      </c>
    </row>
    <row r="2696" spans="1:15" ht="20" thickBot="1" x14ac:dyDescent="0.3">
      <c r="A2696" s="30" t="s">
        <v>1002</v>
      </c>
      <c r="B2696" s="30" t="s">
        <v>333</v>
      </c>
      <c r="C2696" s="30">
        <v>10</v>
      </c>
      <c r="D2696" s="190">
        <v>251448.63200000001</v>
      </c>
      <c r="E2696" s="30" t="s">
        <v>10</v>
      </c>
      <c r="F2696" s="190">
        <v>4418.5810000000001</v>
      </c>
      <c r="G2696" s="30" t="s">
        <v>335</v>
      </c>
      <c r="H2696" s="30"/>
      <c r="J2696" s="68">
        <v>100</v>
      </c>
      <c r="K2696" s="120">
        <f>D2703</f>
        <v>83094.308000000005</v>
      </c>
      <c r="L2696" s="120">
        <f>D2704</f>
        <v>81537.509999999995</v>
      </c>
      <c r="M2696" s="19">
        <f t="shared" si="352"/>
        <v>1.9093028472417339E-2</v>
      </c>
      <c r="N2696" s="74">
        <f>D2705</f>
        <v>83008.513000000006</v>
      </c>
      <c r="O2696" s="23">
        <f t="shared" si="353"/>
        <v>1.0335686895150964E-3</v>
      </c>
    </row>
    <row r="2697" spans="1:15" ht="20" thickBot="1" x14ac:dyDescent="0.3">
      <c r="A2697" s="30" t="s">
        <v>1003</v>
      </c>
      <c r="B2697" s="30" t="s">
        <v>333</v>
      </c>
      <c r="C2697" s="30">
        <v>10</v>
      </c>
      <c r="D2697" s="190">
        <v>146784.71599999999</v>
      </c>
      <c r="E2697" s="30" t="s">
        <v>10</v>
      </c>
      <c r="F2697" s="190">
        <v>12139.781999999999</v>
      </c>
      <c r="G2697" s="30" t="s">
        <v>335</v>
      </c>
      <c r="H2697" s="30"/>
    </row>
    <row r="2698" spans="1:15" x14ac:dyDescent="0.25">
      <c r="A2698" s="30" t="s">
        <v>1004</v>
      </c>
      <c r="B2698" s="30" t="s">
        <v>333</v>
      </c>
      <c r="C2698" s="30">
        <v>10</v>
      </c>
      <c r="D2698" s="190">
        <v>108143.789</v>
      </c>
      <c r="E2698" s="30" t="s">
        <v>10</v>
      </c>
      <c r="F2698" s="190">
        <v>2357.7150000000001</v>
      </c>
      <c r="G2698" s="30" t="s">
        <v>335</v>
      </c>
      <c r="H2698" s="30"/>
      <c r="J2698" s="105" t="str">
        <f>A2689</f>
        <v>take2_90_mem</v>
      </c>
      <c r="K2698" s="72" t="s">
        <v>341</v>
      </c>
      <c r="L2698" s="72" t="s">
        <v>342</v>
      </c>
      <c r="M2698" s="21" t="s">
        <v>162</v>
      </c>
    </row>
    <row r="2699" spans="1:15" x14ac:dyDescent="0.25">
      <c r="A2699" s="30" t="s">
        <v>1005</v>
      </c>
      <c r="B2699" s="30" t="s">
        <v>333</v>
      </c>
      <c r="C2699" s="30">
        <v>10</v>
      </c>
      <c r="D2699" s="190">
        <v>120580.689</v>
      </c>
      <c r="E2699" s="30" t="s">
        <v>10</v>
      </c>
      <c r="F2699" s="190">
        <v>3091.1970000000001</v>
      </c>
      <c r="G2699" s="30" t="s">
        <v>335</v>
      </c>
      <c r="H2699" s="30"/>
      <c r="J2699" s="6">
        <v>100000</v>
      </c>
      <c r="K2699" s="119">
        <f>D2692</f>
        <v>336123.63299999997</v>
      </c>
      <c r="L2699" s="119">
        <f>D2693</f>
        <v>422559.04499999998</v>
      </c>
      <c r="M2699" s="22">
        <f>(K2699/L2699-1)</f>
        <v>-0.20455227032236412</v>
      </c>
    </row>
    <row r="2700" spans="1:15" x14ac:dyDescent="0.25">
      <c r="A2700" s="30" t="s">
        <v>1006</v>
      </c>
      <c r="B2700" s="30" t="s">
        <v>333</v>
      </c>
      <c r="C2700" s="30">
        <v>10</v>
      </c>
      <c r="D2700" s="190">
        <v>92550.066999999995</v>
      </c>
      <c r="E2700" s="30" t="s">
        <v>10</v>
      </c>
      <c r="F2700" s="190">
        <v>3763.2310000000002</v>
      </c>
      <c r="G2700" s="30" t="s">
        <v>335</v>
      </c>
      <c r="H2700" s="30"/>
      <c r="J2700" s="6">
        <v>50000</v>
      </c>
      <c r="K2700" s="119">
        <f>D2695</f>
        <v>210893.337</v>
      </c>
      <c r="L2700" s="119">
        <f>D2696</f>
        <v>251448.63200000001</v>
      </c>
      <c r="M2700" s="22">
        <f t="shared" ref="M2700:M2703" si="354">(K2700/L2700-1)</f>
        <v>-0.16128660027866049</v>
      </c>
    </row>
    <row r="2701" spans="1:15" x14ac:dyDescent="0.25">
      <c r="A2701" s="30" t="s">
        <v>1007</v>
      </c>
      <c r="B2701" s="30" t="s">
        <v>333</v>
      </c>
      <c r="C2701" s="30">
        <v>10</v>
      </c>
      <c r="D2701" s="190">
        <v>83106.107999999993</v>
      </c>
      <c r="E2701" s="30" t="s">
        <v>10</v>
      </c>
      <c r="F2701" s="190">
        <v>982.91</v>
      </c>
      <c r="G2701" s="30" t="s">
        <v>335</v>
      </c>
      <c r="H2701" s="30"/>
      <c r="J2701" s="6">
        <v>10000</v>
      </c>
      <c r="K2701" s="119">
        <f>D2698</f>
        <v>108143.789</v>
      </c>
      <c r="L2701" s="119">
        <f>D2699</f>
        <v>120580.689</v>
      </c>
      <c r="M2701" s="22">
        <f t="shared" si="354"/>
        <v>-0.1031417228010697</v>
      </c>
    </row>
    <row r="2702" spans="1:15" x14ac:dyDescent="0.25">
      <c r="A2702" s="30" t="s">
        <v>1008</v>
      </c>
      <c r="B2702" s="30" t="s">
        <v>333</v>
      </c>
      <c r="C2702" s="30">
        <v>10</v>
      </c>
      <c r="D2702" s="190">
        <v>86577.36</v>
      </c>
      <c r="E2702" s="30" t="s">
        <v>10</v>
      </c>
      <c r="F2702" s="190">
        <v>3049.5810000000001</v>
      </c>
      <c r="G2702" s="30" t="s">
        <v>335</v>
      </c>
      <c r="H2702" s="30"/>
      <c r="J2702" s="67">
        <v>1000</v>
      </c>
      <c r="K2702" s="119">
        <f>D2701</f>
        <v>83106.107999999993</v>
      </c>
      <c r="L2702" s="119">
        <f>D2702</f>
        <v>86577.36</v>
      </c>
      <c r="M2702" s="22">
        <f t="shared" si="354"/>
        <v>-4.0094223247278626E-2</v>
      </c>
    </row>
    <row r="2703" spans="1:15" ht="20" thickBot="1" x14ac:dyDescent="0.3">
      <c r="A2703" s="30" t="s">
        <v>1009</v>
      </c>
      <c r="B2703" s="30" t="s">
        <v>333</v>
      </c>
      <c r="C2703" s="30">
        <v>10</v>
      </c>
      <c r="D2703" s="190">
        <v>83094.308000000005</v>
      </c>
      <c r="E2703" s="30" t="s">
        <v>10</v>
      </c>
      <c r="F2703" s="190">
        <v>1984.8030000000001</v>
      </c>
      <c r="G2703" s="30" t="s">
        <v>335</v>
      </c>
      <c r="H2703" s="30"/>
      <c r="J2703" s="68">
        <v>100</v>
      </c>
      <c r="K2703" s="120">
        <f>D2704</f>
        <v>81537.509999999995</v>
      </c>
      <c r="L2703" s="120">
        <f>D2705</f>
        <v>83008.513000000006</v>
      </c>
      <c r="M2703" s="23">
        <f t="shared" si="354"/>
        <v>-1.7721110122765449E-2</v>
      </c>
    </row>
    <row r="2704" spans="1:15" x14ac:dyDescent="0.25">
      <c r="A2704" s="30" t="s">
        <v>1010</v>
      </c>
      <c r="B2704" s="30" t="s">
        <v>333</v>
      </c>
      <c r="C2704" s="30">
        <v>10</v>
      </c>
      <c r="D2704" s="190">
        <v>81537.509999999995</v>
      </c>
      <c r="E2704" s="30" t="s">
        <v>10</v>
      </c>
      <c r="F2704" s="190">
        <v>2000.675</v>
      </c>
      <c r="G2704" s="30" t="s">
        <v>335</v>
      </c>
      <c r="H2704" s="30"/>
    </row>
    <row r="2705" spans="1:15" x14ac:dyDescent="0.25">
      <c r="A2705" s="30" t="s">
        <v>1011</v>
      </c>
      <c r="B2705" s="30" t="s">
        <v>333</v>
      </c>
      <c r="C2705" s="30">
        <v>10</v>
      </c>
      <c r="D2705" s="190">
        <v>83008.513000000006</v>
      </c>
      <c r="E2705" s="30" t="s">
        <v>10</v>
      </c>
      <c r="F2705" s="190">
        <v>2747.9110000000001</v>
      </c>
      <c r="G2705" s="30" t="s">
        <v>335</v>
      </c>
      <c r="H2705" s="30"/>
    </row>
    <row r="2707" spans="1:15" x14ac:dyDescent="0.25">
      <c r="A2707" s="2" t="s">
        <v>0</v>
      </c>
      <c r="B2707" s="3" t="s">
        <v>1</v>
      </c>
    </row>
    <row r="2708" spans="1:15" ht="20" thickBot="1" x14ac:dyDescent="0.3">
      <c r="A2708" s="2" t="s">
        <v>2</v>
      </c>
      <c r="B2708" s="3" t="s">
        <v>3</v>
      </c>
      <c r="C2708" s="3" t="s">
        <v>4</v>
      </c>
      <c r="D2708" s="189" t="s">
        <v>5</v>
      </c>
      <c r="E2708" s="3" t="s">
        <v>6</v>
      </c>
      <c r="F2708" s="189" t="s">
        <v>7</v>
      </c>
    </row>
    <row r="2709" spans="1:15" x14ac:dyDescent="0.25">
      <c r="A2709" s="3" t="s">
        <v>776</v>
      </c>
      <c r="B2709" s="3" t="s">
        <v>333</v>
      </c>
      <c r="C2709" s="3">
        <v>10</v>
      </c>
      <c r="D2709" s="189">
        <v>62487.462</v>
      </c>
      <c r="E2709" s="3" t="s">
        <v>10</v>
      </c>
      <c r="F2709" s="189">
        <v>216.39599999999999</v>
      </c>
      <c r="G2709" s="3" t="s">
        <v>335</v>
      </c>
      <c r="J2709" s="5" t="s">
        <v>627</v>
      </c>
      <c r="K2709" s="72" t="s">
        <v>340</v>
      </c>
      <c r="L2709" s="72" t="s">
        <v>341</v>
      </c>
      <c r="M2709" s="21" t="s">
        <v>162</v>
      </c>
      <c r="N2709" s="72" t="s">
        <v>342</v>
      </c>
      <c r="O2709" s="21" t="s">
        <v>162</v>
      </c>
    </row>
    <row r="2710" spans="1:15" x14ac:dyDescent="0.25">
      <c r="A2710" s="2" t="s">
        <v>777</v>
      </c>
      <c r="B2710" s="3" t="s">
        <v>333</v>
      </c>
      <c r="C2710" s="3">
        <v>10</v>
      </c>
      <c r="D2710" s="189">
        <v>29117.712</v>
      </c>
      <c r="E2710" s="3" t="s">
        <v>10</v>
      </c>
      <c r="F2710" s="189">
        <v>726.08699999999999</v>
      </c>
      <c r="G2710" s="3" t="s">
        <v>335</v>
      </c>
      <c r="J2710" s="6">
        <v>1</v>
      </c>
      <c r="K2710" s="119">
        <f>D2709</f>
        <v>62487.462</v>
      </c>
      <c r="L2710" s="119">
        <f>D2710</f>
        <v>29117.712</v>
      </c>
      <c r="M2710" s="18">
        <f t="shared" ref="M2710:M2713" si="355">(K2710/L2710-1)</f>
        <v>1.1460292621892818</v>
      </c>
      <c r="N2710" s="73">
        <f>D2711</f>
        <v>77425.620999999999</v>
      </c>
      <c r="O2710" s="22">
        <f t="shared" ref="O2710:O2713" si="356">(K2710/N2710-1)</f>
        <v>-0.19293560461077863</v>
      </c>
    </row>
    <row r="2711" spans="1:15" x14ac:dyDescent="0.25">
      <c r="A2711" s="2" t="s">
        <v>1172</v>
      </c>
      <c r="B2711" s="3" t="s">
        <v>333</v>
      </c>
      <c r="C2711" s="3">
        <v>10</v>
      </c>
      <c r="D2711" s="189">
        <v>77425.620999999999</v>
      </c>
      <c r="E2711" s="3" t="s">
        <v>10</v>
      </c>
      <c r="F2711" s="189">
        <v>2848.3510000000001</v>
      </c>
      <c r="G2711" s="3" t="s">
        <v>335</v>
      </c>
      <c r="J2711" s="6">
        <v>2</v>
      </c>
      <c r="K2711" s="119">
        <f>D2712</f>
        <v>89917.422000000006</v>
      </c>
      <c r="L2711" s="119">
        <f>D2713</f>
        <v>115740.77899999999</v>
      </c>
      <c r="M2711" s="18">
        <f t="shared" si="355"/>
        <v>-0.22311373072752505</v>
      </c>
      <c r="N2711" s="73">
        <f>D2714</f>
        <v>65369.065999999999</v>
      </c>
      <c r="O2711" s="22">
        <f t="shared" si="356"/>
        <v>0.37553475217161592</v>
      </c>
    </row>
    <row r="2712" spans="1:15" x14ac:dyDescent="0.25">
      <c r="A2712" s="2" t="s">
        <v>621</v>
      </c>
      <c r="B2712" s="3" t="s">
        <v>333</v>
      </c>
      <c r="C2712" s="3">
        <v>10</v>
      </c>
      <c r="D2712" s="189">
        <v>89917.422000000006</v>
      </c>
      <c r="E2712" s="3" t="s">
        <v>10</v>
      </c>
      <c r="F2712" s="189">
        <v>558.69100000000003</v>
      </c>
      <c r="G2712" s="3" t="s">
        <v>335</v>
      </c>
      <c r="J2712" s="67">
        <v>3</v>
      </c>
      <c r="K2712" s="119">
        <f>D2715</f>
        <v>118395.27099999999</v>
      </c>
      <c r="L2712" s="119">
        <f>D2716</f>
        <v>219521.587</v>
      </c>
      <c r="M2712" s="18">
        <f t="shared" si="355"/>
        <v>-0.46066684093350696</v>
      </c>
      <c r="N2712" s="73">
        <f>D2717</f>
        <v>134733.103</v>
      </c>
      <c r="O2712" s="22">
        <f t="shared" si="356"/>
        <v>-0.1212607120018605</v>
      </c>
    </row>
    <row r="2713" spans="1:15" x14ac:dyDescent="0.25">
      <c r="A2713" s="2" t="s">
        <v>622</v>
      </c>
      <c r="B2713" s="3" t="s">
        <v>333</v>
      </c>
      <c r="C2713" s="3">
        <v>10</v>
      </c>
      <c r="D2713" s="189">
        <v>115740.77899999999</v>
      </c>
      <c r="E2713" s="3" t="s">
        <v>10</v>
      </c>
      <c r="F2713" s="189">
        <v>2734.694</v>
      </c>
      <c r="G2713" s="3" t="s">
        <v>335</v>
      </c>
      <c r="J2713" s="67">
        <v>5</v>
      </c>
      <c r="K2713" s="119">
        <f>D2718</f>
        <v>173046.478</v>
      </c>
      <c r="L2713" s="119">
        <f>D2719</f>
        <v>355852.234</v>
      </c>
      <c r="M2713" s="18">
        <f t="shared" si="355"/>
        <v>-0.51371254283034795</v>
      </c>
      <c r="N2713" s="73">
        <f>D2720</f>
        <v>209967.89600000001</v>
      </c>
      <c r="O2713" s="22">
        <f t="shared" si="356"/>
        <v>-0.17584315842265719</v>
      </c>
    </row>
    <row r="2714" spans="1:15" ht="20" thickBot="1" x14ac:dyDescent="0.3">
      <c r="A2714" s="2" t="s">
        <v>1173</v>
      </c>
      <c r="B2714" s="3" t="s">
        <v>333</v>
      </c>
      <c r="C2714" s="3">
        <v>10</v>
      </c>
      <c r="D2714" s="189">
        <v>65369.065999999999</v>
      </c>
      <c r="E2714" s="3" t="s">
        <v>10</v>
      </c>
      <c r="F2714" s="189">
        <v>2866.5030000000002</v>
      </c>
      <c r="G2714" s="3" t="s">
        <v>335</v>
      </c>
      <c r="J2714" s="7">
        <v>10</v>
      </c>
      <c r="K2714" s="120">
        <f>Измерения!D2721</f>
        <v>292926.64600000001</v>
      </c>
      <c r="L2714" s="120">
        <f>D2722</f>
        <v>514403.7</v>
      </c>
      <c r="M2714" s="19">
        <f>(K2714/L2714-1)</f>
        <v>-0.4305510516351263</v>
      </c>
      <c r="N2714" s="74">
        <f>D2723</f>
        <v>337575.51899999997</v>
      </c>
      <c r="O2714" s="23">
        <f>(K2714/N2714-1)</f>
        <v>-0.13226336178720344</v>
      </c>
    </row>
    <row r="2715" spans="1:15" x14ac:dyDescent="0.25">
      <c r="A2715" s="2" t="s">
        <v>623</v>
      </c>
      <c r="B2715" s="3" t="s">
        <v>333</v>
      </c>
      <c r="C2715" s="3">
        <v>10</v>
      </c>
      <c r="D2715" s="189">
        <v>118395.27099999999</v>
      </c>
      <c r="E2715" s="3" t="s">
        <v>10</v>
      </c>
      <c r="F2715" s="189">
        <v>3167.174</v>
      </c>
      <c r="G2715" s="3" t="s">
        <v>335</v>
      </c>
      <c r="N2715" s="3"/>
      <c r="O2715" s="3"/>
    </row>
    <row r="2716" spans="1:15" x14ac:dyDescent="0.25">
      <c r="A2716" s="2" t="s">
        <v>624</v>
      </c>
      <c r="B2716" s="3" t="s">
        <v>333</v>
      </c>
      <c r="C2716" s="3">
        <v>10</v>
      </c>
      <c r="D2716" s="189">
        <v>219521.587</v>
      </c>
      <c r="E2716" s="3" t="s">
        <v>10</v>
      </c>
      <c r="F2716" s="189">
        <v>716.48</v>
      </c>
      <c r="G2716" s="3" t="s">
        <v>335</v>
      </c>
    </row>
    <row r="2717" spans="1:15" x14ac:dyDescent="0.25">
      <c r="A2717" s="2" t="s">
        <v>1174</v>
      </c>
      <c r="B2717" s="3" t="s">
        <v>333</v>
      </c>
      <c r="C2717" s="3">
        <v>10</v>
      </c>
      <c r="D2717" s="189">
        <v>134733.103</v>
      </c>
      <c r="E2717" s="3" t="s">
        <v>10</v>
      </c>
      <c r="F2717" s="189">
        <v>6865.05</v>
      </c>
      <c r="G2717" s="3" t="s">
        <v>335</v>
      </c>
    </row>
    <row r="2718" spans="1:15" x14ac:dyDescent="0.25">
      <c r="A2718" s="2" t="s">
        <v>625</v>
      </c>
      <c r="B2718" s="3" t="s">
        <v>333</v>
      </c>
      <c r="C2718" s="3">
        <v>10</v>
      </c>
      <c r="D2718" s="189">
        <v>173046.478</v>
      </c>
      <c r="E2718" s="3" t="s">
        <v>10</v>
      </c>
      <c r="F2718" s="189">
        <v>11571.669</v>
      </c>
      <c r="G2718" s="3" t="s">
        <v>335</v>
      </c>
    </row>
    <row r="2719" spans="1:15" x14ac:dyDescent="0.25">
      <c r="A2719" s="2" t="s">
        <v>626</v>
      </c>
      <c r="B2719" s="3" t="s">
        <v>333</v>
      </c>
      <c r="C2719" s="3">
        <v>10</v>
      </c>
      <c r="D2719" s="189">
        <v>355852.234</v>
      </c>
      <c r="E2719" s="3" t="s">
        <v>10</v>
      </c>
      <c r="F2719" s="189">
        <v>3811.846</v>
      </c>
      <c r="G2719" s="3" t="s">
        <v>335</v>
      </c>
    </row>
    <row r="2720" spans="1:15" x14ac:dyDescent="0.25">
      <c r="A2720" s="2" t="s">
        <v>1175</v>
      </c>
      <c r="B2720" s="3" t="s">
        <v>333</v>
      </c>
      <c r="C2720" s="3">
        <v>10</v>
      </c>
      <c r="D2720" s="189">
        <v>209967.89600000001</v>
      </c>
      <c r="E2720" s="3" t="s">
        <v>10</v>
      </c>
      <c r="F2720" s="189">
        <v>1583.13</v>
      </c>
      <c r="G2720" s="3" t="s">
        <v>335</v>
      </c>
    </row>
    <row r="2721" spans="1:19" x14ac:dyDescent="0.25">
      <c r="A2721" s="2" t="s">
        <v>619</v>
      </c>
      <c r="B2721" s="3" t="s">
        <v>333</v>
      </c>
      <c r="C2721" s="3">
        <v>10</v>
      </c>
      <c r="D2721" s="189">
        <v>292926.64600000001</v>
      </c>
      <c r="E2721" s="3" t="s">
        <v>10</v>
      </c>
      <c r="F2721" s="189">
        <v>7184.3639999999996</v>
      </c>
      <c r="G2721" s="3" t="s">
        <v>335</v>
      </c>
    </row>
    <row r="2722" spans="1:19" x14ac:dyDescent="0.25">
      <c r="A2722" s="2" t="s">
        <v>620</v>
      </c>
      <c r="B2722" s="3" t="s">
        <v>333</v>
      </c>
      <c r="C2722" s="3">
        <v>10</v>
      </c>
      <c r="D2722" s="189">
        <v>514403.7</v>
      </c>
      <c r="E2722" s="3" t="s">
        <v>10</v>
      </c>
      <c r="F2722" s="189">
        <v>13138.181</v>
      </c>
      <c r="G2722" s="3" t="s">
        <v>335</v>
      </c>
    </row>
    <row r="2723" spans="1:19" x14ac:dyDescent="0.25">
      <c r="A2723" s="2" t="s">
        <v>1171</v>
      </c>
      <c r="B2723" s="3" t="s">
        <v>333</v>
      </c>
      <c r="C2723" s="3">
        <v>10</v>
      </c>
      <c r="D2723" s="189">
        <v>337575.51899999997</v>
      </c>
      <c r="E2723" s="3" t="s">
        <v>10</v>
      </c>
      <c r="F2723" s="189">
        <v>6640.3710000000001</v>
      </c>
      <c r="G2723" s="3" t="s">
        <v>335</v>
      </c>
    </row>
    <row r="2724" spans="1:19" ht="20" thickBot="1" x14ac:dyDescent="0.3">
      <c r="J2724" s="85">
        <v>10000</v>
      </c>
    </row>
    <row r="2725" spans="1:19" x14ac:dyDescent="0.25">
      <c r="A2725" s="2" t="s">
        <v>2</v>
      </c>
      <c r="B2725" s="3" t="s">
        <v>3</v>
      </c>
      <c r="C2725" s="3" t="s">
        <v>4</v>
      </c>
      <c r="D2725" s="189" t="s">
        <v>5</v>
      </c>
      <c r="E2725" s="3" t="s">
        <v>6</v>
      </c>
      <c r="F2725" s="189" t="s">
        <v>7</v>
      </c>
      <c r="J2725" s="5" t="s">
        <v>1180</v>
      </c>
      <c r="K2725" s="72" t="s">
        <v>340</v>
      </c>
      <c r="L2725" s="72" t="s">
        <v>341</v>
      </c>
      <c r="M2725" s="17" t="s">
        <v>162</v>
      </c>
      <c r="N2725" s="72" t="s">
        <v>1182</v>
      </c>
      <c r="O2725" s="17" t="s">
        <v>162</v>
      </c>
      <c r="P2725" s="72" t="s">
        <v>342</v>
      </c>
      <c r="Q2725" s="17" t="s">
        <v>162</v>
      </c>
      <c r="R2725" s="111" t="s">
        <v>1183</v>
      </c>
      <c r="S2725" s="112" t="s">
        <v>1184</v>
      </c>
    </row>
    <row r="2726" spans="1:19" x14ac:dyDescent="0.25">
      <c r="A2726" s="2" t="s">
        <v>1176</v>
      </c>
      <c r="B2726" s="3" t="s">
        <v>333</v>
      </c>
      <c r="C2726" s="3">
        <v>10</v>
      </c>
      <c r="D2726" s="189">
        <v>1116122.676</v>
      </c>
      <c r="E2726" s="3" t="s">
        <v>10</v>
      </c>
      <c r="F2726" s="189">
        <v>31929.609</v>
      </c>
      <c r="G2726" s="3" t="s">
        <v>335</v>
      </c>
      <c r="J2726" s="6" t="s">
        <v>1181</v>
      </c>
      <c r="K2726" s="119">
        <f>D2726</f>
        <v>1116122.676</v>
      </c>
      <c r="L2726" s="119">
        <f>D2727</f>
        <v>1168951.398</v>
      </c>
      <c r="M2726" s="18">
        <f t="shared" ref="M2726" si="357">(K2726/L2726-1)</f>
        <v>-4.5193257897964467E-2</v>
      </c>
      <c r="N2726" s="73">
        <f>D2728</f>
        <v>1182581.702</v>
      </c>
      <c r="O2726" s="18">
        <f t="shared" ref="O2726" si="358">(K2726/N2726-1)</f>
        <v>-5.6198253268762377E-2</v>
      </c>
      <c r="P2726" s="73">
        <f>D2729</f>
        <v>1124630.311</v>
      </c>
      <c r="Q2726" s="18">
        <f t="shared" ref="Q2726:Q2747" si="359">(K2726/P2726-1)</f>
        <v>-7.5648281188821498E-3</v>
      </c>
      <c r="R2726" s="18">
        <f t="shared" ref="R2726:R2747" si="360">(L2726/P2726-1)</f>
        <v>3.9409472220778508E-2</v>
      </c>
      <c r="S2726" s="22">
        <f>(N2726/P2726-1)</f>
        <v>5.1529280718452863E-2</v>
      </c>
    </row>
    <row r="2727" spans="1:19" x14ac:dyDescent="0.25">
      <c r="A2727" s="2" t="s">
        <v>1177</v>
      </c>
      <c r="B2727" s="3" t="s">
        <v>333</v>
      </c>
      <c r="C2727" s="3">
        <v>10</v>
      </c>
      <c r="D2727" s="189">
        <v>1168951.398</v>
      </c>
      <c r="E2727" s="3" t="s">
        <v>10</v>
      </c>
      <c r="F2727" s="189">
        <v>2630.4760000000001</v>
      </c>
      <c r="G2727" s="3" t="s">
        <v>335</v>
      </c>
      <c r="J2727" s="6" t="s">
        <v>1185</v>
      </c>
      <c r="K2727" s="119">
        <f>D2730</f>
        <v>134250.856</v>
      </c>
      <c r="L2727" s="119">
        <f>D2731</f>
        <v>161195.481</v>
      </c>
      <c r="M2727" s="18">
        <f t="shared" ref="M2727" si="361">(K2727/L2727-1)</f>
        <v>-0.16715496509483418</v>
      </c>
      <c r="N2727" s="73">
        <f>D2732</f>
        <v>153344.00700000001</v>
      </c>
      <c r="O2727" s="18">
        <f t="shared" ref="O2727" si="362">(K2727/N2727-1)</f>
        <v>-0.12451188261957968</v>
      </c>
      <c r="P2727" s="73">
        <f>D2733</f>
        <v>189508.465</v>
      </c>
      <c r="Q2727" s="18">
        <f t="shared" si="359"/>
        <v>-0.29158385616178151</v>
      </c>
      <c r="R2727" s="18">
        <f t="shared" si="360"/>
        <v>-0.14940221271909937</v>
      </c>
      <c r="S2727" s="22">
        <f>(N2727/P2727-1)</f>
        <v>-0.19083294247568294</v>
      </c>
    </row>
    <row r="2728" spans="1:19" x14ac:dyDescent="0.25">
      <c r="A2728" s="2" t="s">
        <v>1178</v>
      </c>
      <c r="B2728" s="3" t="s">
        <v>333</v>
      </c>
      <c r="C2728" s="3">
        <v>10</v>
      </c>
      <c r="D2728" s="189">
        <v>1182581.702</v>
      </c>
      <c r="E2728" s="3" t="s">
        <v>10</v>
      </c>
      <c r="F2728" s="189">
        <v>23600.513999999999</v>
      </c>
      <c r="G2728" s="3" t="s">
        <v>335</v>
      </c>
      <c r="J2728" s="6" t="s">
        <v>1186</v>
      </c>
      <c r="K2728" s="119">
        <f>D2734</f>
        <v>265054.58</v>
      </c>
      <c r="L2728" s="119">
        <f>D2735</f>
        <v>318428.28200000001</v>
      </c>
      <c r="M2728" s="18">
        <f t="shared" ref="M2728" si="363">(K2728/L2728-1)</f>
        <v>-0.16761608505616343</v>
      </c>
      <c r="N2728" s="73">
        <f>D2736</f>
        <v>243101.75700000001</v>
      </c>
      <c r="O2728" s="18">
        <f t="shared" ref="O2728" si="364">(K2728/N2728-1)</f>
        <v>9.0303020722306115E-2</v>
      </c>
      <c r="P2728" s="73">
        <f>D2737</f>
        <v>266285.35499999998</v>
      </c>
      <c r="Q2728" s="18">
        <f t="shared" si="359"/>
        <v>-4.6220153564208166E-3</v>
      </c>
      <c r="R2728" s="18">
        <f t="shared" si="360"/>
        <v>0.19581597718732979</v>
      </c>
      <c r="S2728" s="22">
        <f>(N2728/P2728-1)</f>
        <v>-8.706298549539071E-2</v>
      </c>
    </row>
    <row r="2729" spans="1:19" x14ac:dyDescent="0.25">
      <c r="A2729" s="2" t="s">
        <v>1179</v>
      </c>
      <c r="B2729" s="3" t="s">
        <v>333</v>
      </c>
      <c r="C2729" s="3">
        <v>10</v>
      </c>
      <c r="D2729" s="189">
        <v>1124630.311</v>
      </c>
      <c r="E2729" s="3" t="s">
        <v>10</v>
      </c>
      <c r="F2729" s="189">
        <v>6645.366</v>
      </c>
      <c r="G2729" s="3" t="s">
        <v>335</v>
      </c>
      <c r="J2729" s="6" t="s">
        <v>1187</v>
      </c>
      <c r="K2729" s="119">
        <f>D2738</f>
        <v>80140.683999999994</v>
      </c>
      <c r="L2729" s="119">
        <f>D2739</f>
        <v>55675.103999999999</v>
      </c>
      <c r="M2729" s="18">
        <f t="shared" ref="M2729" si="365">(K2729/L2729-1)</f>
        <v>0.43943483248814408</v>
      </c>
      <c r="N2729" s="73"/>
      <c r="O2729" s="18"/>
      <c r="P2729" s="73">
        <f>D2740</f>
        <v>61410.196000000004</v>
      </c>
      <c r="Q2729" s="18">
        <f t="shared" si="359"/>
        <v>0.30500615891211269</v>
      </c>
      <c r="R2729" s="18">
        <f t="shared" si="360"/>
        <v>-9.3389898967266016E-2</v>
      </c>
      <c r="S2729" s="22"/>
    </row>
    <row r="2730" spans="1:19" x14ac:dyDescent="0.25">
      <c r="A2730" s="2" t="s">
        <v>105</v>
      </c>
      <c r="B2730" s="3" t="s">
        <v>333</v>
      </c>
      <c r="C2730" s="3">
        <v>10</v>
      </c>
      <c r="D2730" s="189">
        <v>134250.856</v>
      </c>
      <c r="E2730" s="3" t="s">
        <v>10</v>
      </c>
      <c r="F2730" s="189">
        <v>5041.55</v>
      </c>
      <c r="G2730" s="3" t="s">
        <v>335</v>
      </c>
      <c r="J2730" s="6" t="s">
        <v>1188</v>
      </c>
      <c r="K2730" s="119">
        <f>D2741</f>
        <v>41234.262999999999</v>
      </c>
      <c r="L2730" s="119">
        <f>D2742</f>
        <v>14059.196</v>
      </c>
      <c r="M2730" s="18">
        <f t="shared" ref="M2730" si="366">(K2730/L2730-1)</f>
        <v>1.9329033466778611</v>
      </c>
      <c r="N2730" s="73"/>
      <c r="O2730" s="18"/>
      <c r="P2730" s="73">
        <f>D2743</f>
        <v>29590.920999999998</v>
      </c>
      <c r="Q2730" s="18">
        <f t="shared" si="359"/>
        <v>0.39347683703389968</v>
      </c>
      <c r="R2730" s="18">
        <f t="shared" si="360"/>
        <v>-0.52488143238258789</v>
      </c>
      <c r="S2730" s="22"/>
    </row>
    <row r="2731" spans="1:19" x14ac:dyDescent="0.25">
      <c r="A2731" s="2" t="s">
        <v>106</v>
      </c>
      <c r="B2731" s="3" t="s">
        <v>333</v>
      </c>
      <c r="C2731" s="3">
        <v>10</v>
      </c>
      <c r="D2731" s="189">
        <v>161195.481</v>
      </c>
      <c r="E2731" s="3" t="s">
        <v>10</v>
      </c>
      <c r="F2731" s="189">
        <v>1019.439</v>
      </c>
      <c r="G2731" s="3" t="s">
        <v>335</v>
      </c>
      <c r="J2731" s="6" t="s">
        <v>1189</v>
      </c>
      <c r="K2731" s="119">
        <f>D2744</f>
        <v>49509.065999999999</v>
      </c>
      <c r="L2731" s="119">
        <f>D2745</f>
        <v>47496.811000000002</v>
      </c>
      <c r="M2731" s="18">
        <f t="shared" ref="M2731" si="367">(K2731/L2731-1)</f>
        <v>4.2366107484563376E-2</v>
      </c>
      <c r="N2731" s="73"/>
      <c r="O2731" s="18"/>
      <c r="P2731" s="73">
        <f>D2746</f>
        <v>49164.760999999999</v>
      </c>
      <c r="Q2731" s="18">
        <f t="shared" si="359"/>
        <v>7.0030849941484785E-3</v>
      </c>
      <c r="R2731" s="18">
        <f t="shared" si="360"/>
        <v>-3.3925721717634194E-2</v>
      </c>
      <c r="S2731" s="22"/>
    </row>
    <row r="2732" spans="1:19" x14ac:dyDescent="0.25">
      <c r="A2732" s="2" t="s">
        <v>107</v>
      </c>
      <c r="B2732" s="3" t="s">
        <v>333</v>
      </c>
      <c r="C2732" s="3">
        <v>10</v>
      </c>
      <c r="D2732" s="189">
        <v>153344.00700000001</v>
      </c>
      <c r="E2732" s="3" t="s">
        <v>10</v>
      </c>
      <c r="F2732" s="189">
        <v>10093.375</v>
      </c>
      <c r="G2732" s="3" t="s">
        <v>335</v>
      </c>
      <c r="J2732" s="6" t="s">
        <v>1190</v>
      </c>
      <c r="K2732" s="119">
        <f>D2747</f>
        <v>91303.633000000002</v>
      </c>
      <c r="L2732" s="119">
        <f>D2748</f>
        <v>58797.637999999999</v>
      </c>
      <c r="M2732" s="18">
        <f t="shared" ref="M2732" si="368">(K2732/L2732-1)</f>
        <v>0.55284525204907053</v>
      </c>
      <c r="N2732" s="73"/>
      <c r="O2732" s="18"/>
      <c r="P2732" s="73">
        <f>D2749</f>
        <v>76534.263000000006</v>
      </c>
      <c r="Q2732" s="18">
        <f t="shared" si="359"/>
        <v>0.19297722903531445</v>
      </c>
      <c r="R2732" s="18">
        <f t="shared" si="360"/>
        <v>-0.23174751156877282</v>
      </c>
      <c r="S2732" s="22"/>
    </row>
    <row r="2733" spans="1:19" x14ac:dyDescent="0.25">
      <c r="A2733" s="2" t="s">
        <v>108</v>
      </c>
      <c r="B2733" s="3" t="s">
        <v>333</v>
      </c>
      <c r="C2733" s="3">
        <v>10</v>
      </c>
      <c r="D2733" s="189">
        <v>189508.465</v>
      </c>
      <c r="E2733" s="3" t="s">
        <v>10</v>
      </c>
      <c r="F2733" s="189">
        <v>19551.108</v>
      </c>
      <c r="G2733" s="3" t="s">
        <v>335</v>
      </c>
      <c r="J2733" s="6" t="s">
        <v>168</v>
      </c>
      <c r="K2733" s="119">
        <f>D2750</f>
        <v>480156.48</v>
      </c>
      <c r="L2733" s="119">
        <f>D2751</f>
        <v>582553.74300000002</v>
      </c>
      <c r="M2733" s="18">
        <f t="shared" ref="M2733:M2734" si="369">(K2733/L2733-1)</f>
        <v>-0.17577307541220288</v>
      </c>
      <c r="N2733" s="73">
        <f>D2752</f>
        <v>368554.54800000001</v>
      </c>
      <c r="O2733" s="18">
        <f>(K2733/N2733-1)</f>
        <v>0.3028098082241002</v>
      </c>
      <c r="P2733" s="73">
        <f>D2753</f>
        <v>1252654.1499999999</v>
      </c>
      <c r="Q2733" s="18">
        <f t="shared" si="359"/>
        <v>-0.61668870853140101</v>
      </c>
      <c r="R2733" s="18">
        <f t="shared" si="360"/>
        <v>-0.53494446731366352</v>
      </c>
      <c r="S2733" s="22">
        <f>(N2733/P2733-1)</f>
        <v>-0.70578108251188088</v>
      </c>
    </row>
    <row r="2734" spans="1:19" x14ac:dyDescent="0.25">
      <c r="A2734" s="2" t="s">
        <v>125</v>
      </c>
      <c r="B2734" s="3" t="s">
        <v>333</v>
      </c>
      <c r="C2734" s="3">
        <v>10</v>
      </c>
      <c r="D2734" s="189">
        <v>265054.58</v>
      </c>
      <c r="E2734" s="3" t="s">
        <v>10</v>
      </c>
      <c r="F2734" s="189">
        <v>10957.736000000001</v>
      </c>
      <c r="G2734" s="3" t="s">
        <v>335</v>
      </c>
      <c r="J2734" s="6" t="s">
        <v>1191</v>
      </c>
      <c r="K2734" s="119">
        <f>D2754</f>
        <v>165697.90700000001</v>
      </c>
      <c r="L2734" s="119">
        <f>D2755</f>
        <v>128220.367</v>
      </c>
      <c r="M2734" s="18">
        <f t="shared" si="369"/>
        <v>0.29229006964236826</v>
      </c>
      <c r="N2734" s="73"/>
      <c r="O2734" s="18"/>
      <c r="P2734" s="73">
        <f>D2756</f>
        <v>219021.68400000001</v>
      </c>
      <c r="Q2734" s="18">
        <f t="shared" si="359"/>
        <v>-0.2434634599923905</v>
      </c>
      <c r="R2734" s="18">
        <f t="shared" si="360"/>
        <v>-0.41457683705874537</v>
      </c>
      <c r="S2734" s="22"/>
    </row>
    <row r="2735" spans="1:19" x14ac:dyDescent="0.25">
      <c r="A2735" s="2" t="s">
        <v>126</v>
      </c>
      <c r="B2735" s="3" t="s">
        <v>333</v>
      </c>
      <c r="C2735" s="3">
        <v>10</v>
      </c>
      <c r="D2735" s="189">
        <v>318428.28200000001</v>
      </c>
      <c r="E2735" s="3" t="s">
        <v>10</v>
      </c>
      <c r="F2735" s="189">
        <v>6697.92</v>
      </c>
      <c r="G2735" s="3" t="s">
        <v>335</v>
      </c>
      <c r="J2735" s="6" t="s">
        <v>1192</v>
      </c>
      <c r="K2735" s="119">
        <f>D2757</f>
        <v>386331.81400000001</v>
      </c>
      <c r="L2735" s="119">
        <f>D2758</f>
        <v>374155.03</v>
      </c>
      <c r="M2735" s="18">
        <f t="shared" ref="M2735" si="370">(K2735/L2735-1)</f>
        <v>3.2544755578990836E-2</v>
      </c>
      <c r="N2735" s="73"/>
      <c r="O2735" s="18"/>
      <c r="P2735" s="73">
        <f>D2759</f>
        <v>381326.86200000002</v>
      </c>
      <c r="Q2735" s="18">
        <f t="shared" si="359"/>
        <v>1.3125096862439234E-2</v>
      </c>
      <c r="R2735" s="18">
        <f t="shared" si="360"/>
        <v>-1.8807570917991123E-2</v>
      </c>
      <c r="S2735" s="22"/>
    </row>
    <row r="2736" spans="1:19" x14ac:dyDescent="0.25">
      <c r="A2736" s="2" t="s">
        <v>127</v>
      </c>
      <c r="B2736" s="3" t="s">
        <v>333</v>
      </c>
      <c r="C2736" s="3">
        <v>10</v>
      </c>
      <c r="D2736" s="189">
        <v>243101.75700000001</v>
      </c>
      <c r="E2736" s="3" t="s">
        <v>10</v>
      </c>
      <c r="F2736" s="189">
        <v>3457.3510000000001</v>
      </c>
      <c r="G2736" s="3" t="s">
        <v>335</v>
      </c>
      <c r="J2736" s="6" t="s">
        <v>1193</v>
      </c>
      <c r="K2736" s="119">
        <f>D2760</f>
        <v>63116.591999999997</v>
      </c>
      <c r="L2736" s="119">
        <f>D2761</f>
        <v>41617.688999999998</v>
      </c>
      <c r="M2736" s="18">
        <f t="shared" ref="M2736" si="371">(K2736/L2736-1)</f>
        <v>0.516580894244272</v>
      </c>
      <c r="N2736" s="73"/>
      <c r="O2736" s="18"/>
      <c r="P2736" s="73">
        <f>D2762</f>
        <v>59577.391000000003</v>
      </c>
      <c r="Q2736" s="18">
        <f t="shared" si="359"/>
        <v>5.9405102180456248E-2</v>
      </c>
      <c r="R2736" s="18">
        <f t="shared" si="360"/>
        <v>-0.30145163624234572</v>
      </c>
      <c r="S2736" s="22"/>
    </row>
    <row r="2737" spans="1:19" x14ac:dyDescent="0.25">
      <c r="A2737" s="2" t="s">
        <v>128</v>
      </c>
      <c r="B2737" s="3" t="s">
        <v>333</v>
      </c>
      <c r="C2737" s="3">
        <v>10</v>
      </c>
      <c r="D2737" s="189">
        <v>266285.35499999998</v>
      </c>
      <c r="E2737" s="3" t="s">
        <v>10</v>
      </c>
      <c r="F2737" s="189">
        <v>21257.128000000001</v>
      </c>
      <c r="G2737" s="3" t="s">
        <v>335</v>
      </c>
      <c r="J2737" s="6" t="s">
        <v>1194</v>
      </c>
      <c r="K2737" s="119">
        <f>D2763</f>
        <v>99782.607999999993</v>
      </c>
      <c r="L2737" s="119">
        <f>D2764</f>
        <v>69551.403000000006</v>
      </c>
      <c r="M2737" s="18">
        <f t="shared" ref="M2737" si="372">(K2737/L2737-1)</f>
        <v>0.43465988745043704</v>
      </c>
      <c r="N2737" s="73"/>
      <c r="O2737" s="18"/>
      <c r="P2737" s="73">
        <f>D2765</f>
        <v>77686.801000000007</v>
      </c>
      <c r="Q2737" s="18">
        <f t="shared" si="359"/>
        <v>0.28442163553626032</v>
      </c>
      <c r="R2737" s="18">
        <f t="shared" si="360"/>
        <v>-0.10472046596435347</v>
      </c>
      <c r="S2737" s="22"/>
    </row>
    <row r="2738" spans="1:19" x14ac:dyDescent="0.25">
      <c r="A2738" s="2" t="s">
        <v>635</v>
      </c>
      <c r="B2738" s="3" t="s">
        <v>333</v>
      </c>
      <c r="C2738" s="3">
        <v>10</v>
      </c>
      <c r="D2738" s="189">
        <v>80140.683999999994</v>
      </c>
      <c r="E2738" s="3" t="s">
        <v>10</v>
      </c>
      <c r="F2738" s="189">
        <v>2483.6999999999998</v>
      </c>
      <c r="G2738" s="3" t="s">
        <v>335</v>
      </c>
      <c r="J2738" s="6" t="s">
        <v>1195</v>
      </c>
      <c r="K2738" s="119">
        <f>D2766</f>
        <v>135394.43799999999</v>
      </c>
      <c r="L2738" s="119">
        <f>D2767</f>
        <v>134042.356</v>
      </c>
      <c r="M2738" s="18">
        <f t="shared" ref="M2738" si="373">(K2738/L2738-1)</f>
        <v>1.008697579144302E-2</v>
      </c>
      <c r="N2738" s="73"/>
      <c r="O2738" s="18"/>
      <c r="P2738" s="73">
        <f>D2768</f>
        <v>146089.383</v>
      </c>
      <c r="Q2738" s="18">
        <f t="shared" si="359"/>
        <v>-7.3208228964866007E-2</v>
      </c>
      <c r="R2738" s="18">
        <f t="shared" si="360"/>
        <v>-8.2463398452439218E-2</v>
      </c>
      <c r="S2738" s="22"/>
    </row>
    <row r="2739" spans="1:19" x14ac:dyDescent="0.25">
      <c r="A2739" s="2" t="s">
        <v>636</v>
      </c>
      <c r="B2739" s="3" t="s">
        <v>333</v>
      </c>
      <c r="C2739" s="3">
        <v>10</v>
      </c>
      <c r="D2739" s="189">
        <v>55675.103999999999</v>
      </c>
      <c r="E2739" s="3" t="s">
        <v>10</v>
      </c>
      <c r="F2739" s="189">
        <v>2021.1949999999999</v>
      </c>
      <c r="G2739" s="3" t="s">
        <v>335</v>
      </c>
      <c r="J2739" s="6" t="s">
        <v>1196</v>
      </c>
      <c r="K2739" s="119">
        <f>D2769</f>
        <v>207119.307</v>
      </c>
      <c r="L2739" s="119">
        <f>D2770</f>
        <v>251186.372</v>
      </c>
      <c r="M2739" s="18">
        <f t="shared" ref="M2739" si="374">(K2739/L2739-1)</f>
        <v>-0.17543573183978312</v>
      </c>
      <c r="N2739" s="73"/>
      <c r="O2739" s="18"/>
      <c r="P2739" s="73">
        <f>D2771</f>
        <v>285688.42200000002</v>
      </c>
      <c r="Q2739" s="18">
        <f t="shared" si="359"/>
        <v>-0.27501679784559141</v>
      </c>
      <c r="R2739" s="18">
        <f t="shared" si="360"/>
        <v>-0.12076810729137644</v>
      </c>
      <c r="S2739" s="22"/>
    </row>
    <row r="2740" spans="1:19" x14ac:dyDescent="0.25">
      <c r="A2740" s="2" t="s">
        <v>637</v>
      </c>
      <c r="B2740" s="3" t="s">
        <v>333</v>
      </c>
      <c r="C2740" s="3">
        <v>10</v>
      </c>
      <c r="D2740" s="189">
        <v>61410.196000000004</v>
      </c>
      <c r="E2740" s="3" t="s">
        <v>10</v>
      </c>
      <c r="F2740" s="189">
        <v>2385.6239999999998</v>
      </c>
      <c r="G2740" s="3" t="s">
        <v>335</v>
      </c>
      <c r="J2740" s="6" t="s">
        <v>1197</v>
      </c>
      <c r="K2740" s="119">
        <f>D2772</f>
        <v>381354.80699999997</v>
      </c>
      <c r="L2740" s="119">
        <f>D2773</f>
        <v>833594.603</v>
      </c>
      <c r="M2740" s="18">
        <f t="shared" ref="M2740" si="375">(K2740/L2740-1)</f>
        <v>-0.54251766310919847</v>
      </c>
      <c r="N2740" s="73"/>
      <c r="O2740" s="18"/>
      <c r="P2740" s="73">
        <f>D2774</f>
        <v>568364.67599999998</v>
      </c>
      <c r="Q2740" s="18">
        <f t="shared" si="359"/>
        <v>-0.32903147731862215</v>
      </c>
      <c r="R2740" s="18">
        <f t="shared" si="360"/>
        <v>0.46665448821805389</v>
      </c>
      <c r="S2740" s="22"/>
    </row>
    <row r="2741" spans="1:19" x14ac:dyDescent="0.25">
      <c r="A2741" s="2" t="s">
        <v>651</v>
      </c>
      <c r="B2741" s="3" t="s">
        <v>333</v>
      </c>
      <c r="C2741" s="3">
        <v>10</v>
      </c>
      <c r="D2741" s="189">
        <v>41234.262999999999</v>
      </c>
      <c r="E2741" s="3" t="s">
        <v>10</v>
      </c>
      <c r="F2741" s="189">
        <v>408.22699999999998</v>
      </c>
      <c r="G2741" s="3" t="s">
        <v>335</v>
      </c>
      <c r="J2741" s="6" t="s">
        <v>1198</v>
      </c>
      <c r="K2741" s="119">
        <f>D2775</f>
        <v>173200.272</v>
      </c>
      <c r="L2741" s="119">
        <f>D2776</f>
        <v>199777.451</v>
      </c>
      <c r="M2741" s="18">
        <f t="shared" ref="M2741" si="376">(K2741/L2741-1)</f>
        <v>-0.13303392783803214</v>
      </c>
      <c r="N2741" s="73"/>
      <c r="O2741" s="18"/>
      <c r="P2741" s="73">
        <f>D2777</f>
        <v>188716.53</v>
      </c>
      <c r="Q2741" s="18">
        <f t="shared" si="359"/>
        <v>-8.221992000382794E-2</v>
      </c>
      <c r="R2741" s="18">
        <f t="shared" si="360"/>
        <v>5.8611299179780474E-2</v>
      </c>
      <c r="S2741" s="22"/>
    </row>
    <row r="2742" spans="1:19" x14ac:dyDescent="0.25">
      <c r="A2742" s="3" t="s">
        <v>652</v>
      </c>
      <c r="B2742" s="3" t="s">
        <v>333</v>
      </c>
      <c r="C2742" s="3">
        <v>10</v>
      </c>
      <c r="D2742" s="189">
        <v>14059.196</v>
      </c>
      <c r="E2742" s="3" t="s">
        <v>10</v>
      </c>
      <c r="F2742" s="189">
        <v>104.646</v>
      </c>
      <c r="G2742" s="3" t="s">
        <v>335</v>
      </c>
      <c r="J2742" s="6" t="s">
        <v>1199</v>
      </c>
      <c r="K2742" s="119">
        <f>D2778</f>
        <v>120476.662</v>
      </c>
      <c r="L2742" s="119">
        <f>D2779</f>
        <v>95677.706000000006</v>
      </c>
      <c r="M2742" s="18">
        <f t="shared" ref="M2742:M2743" si="377">(K2742/L2742-1)</f>
        <v>0.25919262738176418</v>
      </c>
      <c r="N2742" s="73"/>
      <c r="O2742" s="18"/>
      <c r="P2742" s="73">
        <f>D2780</f>
        <v>88249.804999999993</v>
      </c>
      <c r="Q2742" s="18">
        <f t="shared" si="359"/>
        <v>0.36517765676649372</v>
      </c>
      <c r="R2742" s="18">
        <f t="shared" si="360"/>
        <v>8.4169035840929274E-2</v>
      </c>
      <c r="S2742" s="22"/>
    </row>
    <row r="2743" spans="1:19" x14ac:dyDescent="0.25">
      <c r="A2743" s="2" t="s">
        <v>653</v>
      </c>
      <c r="B2743" s="3" t="s">
        <v>333</v>
      </c>
      <c r="C2743" s="3">
        <v>10</v>
      </c>
      <c r="D2743" s="189">
        <v>29590.920999999998</v>
      </c>
      <c r="E2743" s="3" t="s">
        <v>10</v>
      </c>
      <c r="F2743" s="189">
        <v>312.54399999999998</v>
      </c>
      <c r="G2743" s="3" t="s">
        <v>335</v>
      </c>
      <c r="J2743" s="6" t="s">
        <v>681</v>
      </c>
      <c r="K2743" s="119">
        <f>D2781</f>
        <v>97535.667000000001</v>
      </c>
      <c r="L2743" s="119">
        <f>D2782</f>
        <v>118154.323</v>
      </c>
      <c r="M2743" s="18">
        <f t="shared" si="377"/>
        <v>-0.17450614989347446</v>
      </c>
      <c r="N2743" s="73">
        <f>D2783</f>
        <v>136408.74799999999</v>
      </c>
      <c r="O2743" s="18">
        <f>(K2743/N2743-1)</f>
        <v>-0.28497498562188983</v>
      </c>
      <c r="P2743" s="73">
        <f>D2784</f>
        <v>129910.749</v>
      </c>
      <c r="Q2743" s="18">
        <f t="shared" si="359"/>
        <v>-0.2492101866028037</v>
      </c>
      <c r="R2743" s="18">
        <f t="shared" si="360"/>
        <v>-9.049617595538606E-2</v>
      </c>
      <c r="S2743" s="22">
        <f>(N2743/P2743-1)</f>
        <v>5.0018948008682562E-2</v>
      </c>
    </row>
    <row r="2744" spans="1:19" x14ac:dyDescent="0.25">
      <c r="A2744" s="2" t="s">
        <v>77</v>
      </c>
      <c r="B2744" s="3" t="s">
        <v>333</v>
      </c>
      <c r="C2744" s="3">
        <v>10</v>
      </c>
      <c r="D2744" s="189">
        <v>49509.065999999999</v>
      </c>
      <c r="E2744" s="3" t="s">
        <v>10</v>
      </c>
      <c r="F2744" s="189">
        <v>2113.7449999999999</v>
      </c>
      <c r="G2744" s="3" t="s">
        <v>335</v>
      </c>
      <c r="J2744" s="6" t="s">
        <v>573</v>
      </c>
      <c r="K2744" s="119">
        <f>D2785</f>
        <v>1067645.933</v>
      </c>
      <c r="L2744" s="119">
        <f>D2786</f>
        <v>1920203.6329999999</v>
      </c>
      <c r="M2744" s="18">
        <f t="shared" ref="M2744" si="378">(K2744/L2744-1)</f>
        <v>-0.44399337932093164</v>
      </c>
      <c r="N2744" s="73"/>
      <c r="O2744" s="18"/>
      <c r="P2744" s="73">
        <f>D2787</f>
        <v>2368433.889</v>
      </c>
      <c r="Q2744" s="18">
        <f t="shared" si="359"/>
        <v>-0.54921860476722806</v>
      </c>
      <c r="R2744" s="18">
        <f t="shared" si="360"/>
        <v>-0.18925174904892605</v>
      </c>
      <c r="S2744" s="22"/>
    </row>
    <row r="2745" spans="1:19" x14ac:dyDescent="0.25">
      <c r="A2745" s="2" t="s">
        <v>78</v>
      </c>
      <c r="B2745" s="3" t="s">
        <v>333</v>
      </c>
      <c r="C2745" s="3">
        <v>10</v>
      </c>
      <c r="D2745" s="189">
        <v>47496.811000000002</v>
      </c>
      <c r="E2745" s="3" t="s">
        <v>10</v>
      </c>
      <c r="F2745" s="189">
        <v>565.63199999999995</v>
      </c>
      <c r="G2745" s="3" t="s">
        <v>335</v>
      </c>
      <c r="J2745" s="6" t="s">
        <v>268</v>
      </c>
      <c r="K2745" s="119">
        <f>D2788</f>
        <v>1012289.286</v>
      </c>
      <c r="L2745" s="119">
        <f>D2789</f>
        <v>1005283.5550000001</v>
      </c>
      <c r="M2745" s="18">
        <f>(K2745/L2745-1)</f>
        <v>6.9689103787238249E-3</v>
      </c>
      <c r="N2745" s="73"/>
      <c r="O2745" s="18"/>
      <c r="P2745" s="73">
        <f>D2790</f>
        <v>1008809.71</v>
      </c>
      <c r="Q2745" s="18">
        <f t="shared" si="359"/>
        <v>3.4491896395405508E-3</v>
      </c>
      <c r="R2745" s="18">
        <f t="shared" si="360"/>
        <v>-3.4953618755314553E-3</v>
      </c>
      <c r="S2745" s="22"/>
    </row>
    <row r="2746" spans="1:19" x14ac:dyDescent="0.25">
      <c r="A2746" s="2" t="s">
        <v>79</v>
      </c>
      <c r="B2746" s="3" t="s">
        <v>333</v>
      </c>
      <c r="C2746" s="3">
        <v>10</v>
      </c>
      <c r="D2746" s="189">
        <v>49164.760999999999</v>
      </c>
      <c r="E2746" s="3" t="s">
        <v>10</v>
      </c>
      <c r="F2746" s="189">
        <v>1550.539</v>
      </c>
      <c r="G2746" s="3" t="s">
        <v>335</v>
      </c>
      <c r="J2746" s="6" t="s">
        <v>1200</v>
      </c>
      <c r="K2746" s="119">
        <f>D2791</f>
        <v>40740.330999999998</v>
      </c>
      <c r="L2746" s="119">
        <f>D2792</f>
        <v>5487.4530000000004</v>
      </c>
      <c r="M2746" s="18">
        <f>(K2746/L2746-1)</f>
        <v>6.424269693061607</v>
      </c>
      <c r="N2746" s="73"/>
      <c r="O2746" s="18"/>
      <c r="P2746" s="73">
        <f>D2793</f>
        <v>6391.3720000000003</v>
      </c>
      <c r="Q2746" s="18">
        <f t="shared" si="359"/>
        <v>5.3742700315362644</v>
      </c>
      <c r="R2746" s="18">
        <f t="shared" si="360"/>
        <v>-0.14142800638110253</v>
      </c>
      <c r="S2746" s="22"/>
    </row>
    <row r="2747" spans="1:19" ht="20" thickBot="1" x14ac:dyDescent="0.3">
      <c r="A2747" s="2" t="s">
        <v>92</v>
      </c>
      <c r="B2747" s="3" t="s">
        <v>333</v>
      </c>
      <c r="C2747" s="3">
        <v>10</v>
      </c>
      <c r="D2747" s="189">
        <v>91303.633000000002</v>
      </c>
      <c r="E2747" s="3" t="s">
        <v>10</v>
      </c>
      <c r="F2747" s="189">
        <v>1161.5920000000001</v>
      </c>
      <c r="G2747" s="3" t="s">
        <v>335</v>
      </c>
      <c r="J2747" s="7" t="s">
        <v>1201</v>
      </c>
      <c r="K2747" s="120">
        <f>D2794</f>
        <v>81540.877999999997</v>
      </c>
      <c r="L2747" s="120">
        <f>D2795</f>
        <v>49839.777999999998</v>
      </c>
      <c r="M2747" s="19">
        <f>(K2747/L2747-1)</f>
        <v>0.63606021680112623</v>
      </c>
      <c r="N2747" s="74"/>
      <c r="O2747" s="19"/>
      <c r="P2747" s="74">
        <f>D2796</f>
        <v>69398.312000000005</v>
      </c>
      <c r="Q2747" s="19">
        <f t="shared" si="359"/>
        <v>0.17496918368850234</v>
      </c>
      <c r="R2747" s="19">
        <f t="shared" si="360"/>
        <v>-0.28183011137216141</v>
      </c>
      <c r="S2747" s="23"/>
    </row>
    <row r="2748" spans="1:19" x14ac:dyDescent="0.25">
      <c r="A2748" s="2" t="s">
        <v>93</v>
      </c>
      <c r="B2748" s="3" t="s">
        <v>333</v>
      </c>
      <c r="C2748" s="3">
        <v>10</v>
      </c>
      <c r="D2748" s="189">
        <v>58797.637999999999</v>
      </c>
      <c r="E2748" s="3" t="s">
        <v>10</v>
      </c>
      <c r="F2748" s="189">
        <v>839.68100000000004</v>
      </c>
      <c r="G2748" s="3" t="s">
        <v>335</v>
      </c>
    </row>
    <row r="2749" spans="1:19" x14ac:dyDescent="0.25">
      <c r="A2749" s="2" t="s">
        <v>94</v>
      </c>
      <c r="B2749" s="3" t="s">
        <v>333</v>
      </c>
      <c r="C2749" s="3">
        <v>10</v>
      </c>
      <c r="D2749" s="189">
        <v>76534.263000000006</v>
      </c>
      <c r="E2749" s="3" t="s">
        <v>10</v>
      </c>
      <c r="F2749" s="189">
        <v>1268.989</v>
      </c>
      <c r="G2749" s="3" t="s">
        <v>335</v>
      </c>
    </row>
    <row r="2750" spans="1:19" x14ac:dyDescent="0.25">
      <c r="A2750" s="2" t="s">
        <v>145</v>
      </c>
      <c r="B2750" s="3" t="s">
        <v>333</v>
      </c>
      <c r="C2750" s="3">
        <v>10</v>
      </c>
      <c r="D2750" s="189">
        <v>480156.48</v>
      </c>
      <c r="E2750" s="3" t="s">
        <v>10</v>
      </c>
      <c r="F2750" s="189">
        <v>4801.3010000000004</v>
      </c>
      <c r="G2750" s="3" t="s">
        <v>335</v>
      </c>
    </row>
    <row r="2751" spans="1:19" x14ac:dyDescent="0.25">
      <c r="A2751" s="2" t="s">
        <v>146</v>
      </c>
      <c r="B2751" s="3" t="s">
        <v>333</v>
      </c>
      <c r="C2751" s="3">
        <v>10</v>
      </c>
      <c r="D2751" s="189">
        <v>582553.74300000002</v>
      </c>
      <c r="E2751" s="3" t="s">
        <v>10</v>
      </c>
      <c r="F2751" s="189">
        <v>12459.36</v>
      </c>
      <c r="G2751" s="3" t="s">
        <v>335</v>
      </c>
    </row>
    <row r="2752" spans="1:19" x14ac:dyDescent="0.25">
      <c r="A2752" s="2" t="s">
        <v>147</v>
      </c>
      <c r="B2752" s="3" t="s">
        <v>333</v>
      </c>
      <c r="C2752" s="3">
        <v>10</v>
      </c>
      <c r="D2752" s="189">
        <v>368554.54800000001</v>
      </c>
      <c r="E2752" s="3" t="s">
        <v>10</v>
      </c>
      <c r="F2752" s="189">
        <v>4247.9279999999999</v>
      </c>
      <c r="G2752" s="3" t="s">
        <v>335</v>
      </c>
    </row>
    <row r="2753" spans="1:7" x14ac:dyDescent="0.25">
      <c r="A2753" s="2" t="s">
        <v>148</v>
      </c>
      <c r="B2753" s="3" t="s">
        <v>333</v>
      </c>
      <c r="C2753" s="3">
        <v>10</v>
      </c>
      <c r="D2753" s="189">
        <v>1252654.1499999999</v>
      </c>
      <c r="E2753" s="3" t="s">
        <v>10</v>
      </c>
      <c r="F2753" s="189">
        <v>45774.087</v>
      </c>
      <c r="G2753" s="3" t="s">
        <v>335</v>
      </c>
    </row>
    <row r="2754" spans="1:7" x14ac:dyDescent="0.25">
      <c r="A2754" s="2" t="s">
        <v>177</v>
      </c>
      <c r="B2754" s="3" t="s">
        <v>333</v>
      </c>
      <c r="C2754" s="3">
        <v>10</v>
      </c>
      <c r="D2754" s="189">
        <v>165697.90700000001</v>
      </c>
      <c r="E2754" s="3" t="s">
        <v>10</v>
      </c>
      <c r="F2754" s="189">
        <v>5426.9089999999997</v>
      </c>
      <c r="G2754" s="3" t="s">
        <v>335</v>
      </c>
    </row>
    <row r="2755" spans="1:7" x14ac:dyDescent="0.25">
      <c r="A2755" s="2" t="s">
        <v>178</v>
      </c>
      <c r="B2755" s="3" t="s">
        <v>333</v>
      </c>
      <c r="C2755" s="3">
        <v>10</v>
      </c>
      <c r="D2755" s="189">
        <v>128220.367</v>
      </c>
      <c r="E2755" s="3" t="s">
        <v>10</v>
      </c>
      <c r="F2755" s="189">
        <v>2851.8539999999998</v>
      </c>
      <c r="G2755" s="3" t="s">
        <v>335</v>
      </c>
    </row>
    <row r="2756" spans="1:7" x14ac:dyDescent="0.25">
      <c r="A2756" s="2" t="s">
        <v>179</v>
      </c>
      <c r="B2756" s="3" t="s">
        <v>333</v>
      </c>
      <c r="C2756" s="3">
        <v>10</v>
      </c>
      <c r="D2756" s="189">
        <v>219021.68400000001</v>
      </c>
      <c r="E2756" s="3" t="s">
        <v>10</v>
      </c>
      <c r="F2756" s="189">
        <v>8467.0120000000006</v>
      </c>
      <c r="G2756" s="3" t="s">
        <v>335</v>
      </c>
    </row>
    <row r="2757" spans="1:7" x14ac:dyDescent="0.25">
      <c r="A2757" s="2" t="s">
        <v>192</v>
      </c>
      <c r="B2757" s="3" t="s">
        <v>333</v>
      </c>
      <c r="C2757" s="3">
        <v>10</v>
      </c>
      <c r="D2757" s="189">
        <v>386331.81400000001</v>
      </c>
      <c r="E2757" s="3" t="s">
        <v>10</v>
      </c>
      <c r="F2757" s="189">
        <v>10445.558000000001</v>
      </c>
      <c r="G2757" s="3" t="s">
        <v>335</v>
      </c>
    </row>
    <row r="2758" spans="1:7" x14ac:dyDescent="0.25">
      <c r="A2758" s="2" t="s">
        <v>193</v>
      </c>
      <c r="B2758" s="3" t="s">
        <v>333</v>
      </c>
      <c r="C2758" s="3">
        <v>10</v>
      </c>
      <c r="D2758" s="189">
        <v>374155.03</v>
      </c>
      <c r="E2758" s="3" t="s">
        <v>10</v>
      </c>
      <c r="F2758" s="189">
        <v>10086.183000000001</v>
      </c>
      <c r="G2758" s="3" t="s">
        <v>335</v>
      </c>
    </row>
    <row r="2759" spans="1:7" x14ac:dyDescent="0.25">
      <c r="A2759" s="2" t="s">
        <v>194</v>
      </c>
      <c r="B2759" s="3" t="s">
        <v>333</v>
      </c>
      <c r="C2759" s="3">
        <v>10</v>
      </c>
      <c r="D2759" s="189">
        <v>381326.86200000002</v>
      </c>
      <c r="E2759" s="3" t="s">
        <v>10</v>
      </c>
      <c r="F2759" s="189">
        <v>2260.2280000000001</v>
      </c>
      <c r="G2759" s="3" t="s">
        <v>335</v>
      </c>
    </row>
    <row r="2760" spans="1:7" x14ac:dyDescent="0.25">
      <c r="A2760" s="3" t="s">
        <v>766</v>
      </c>
      <c r="B2760" s="3" t="s">
        <v>333</v>
      </c>
      <c r="C2760" s="3">
        <v>10</v>
      </c>
      <c r="D2760" s="189">
        <v>63116.591999999997</v>
      </c>
      <c r="E2760" s="3" t="s">
        <v>10</v>
      </c>
      <c r="F2760" s="189">
        <v>692.88499999999999</v>
      </c>
      <c r="G2760" s="3" t="s">
        <v>335</v>
      </c>
    </row>
    <row r="2761" spans="1:7" x14ac:dyDescent="0.25">
      <c r="A2761" s="2" t="s">
        <v>767</v>
      </c>
      <c r="B2761" s="3" t="s">
        <v>333</v>
      </c>
      <c r="C2761" s="3">
        <v>10</v>
      </c>
      <c r="D2761" s="189">
        <v>41617.688999999998</v>
      </c>
      <c r="E2761" s="3" t="s">
        <v>10</v>
      </c>
      <c r="F2761" s="189">
        <v>503.89</v>
      </c>
      <c r="G2761" s="3" t="s">
        <v>335</v>
      </c>
    </row>
    <row r="2762" spans="1:7" x14ac:dyDescent="0.25">
      <c r="A2762" s="2" t="s">
        <v>768</v>
      </c>
      <c r="B2762" s="3" t="s">
        <v>333</v>
      </c>
      <c r="C2762" s="3">
        <v>10</v>
      </c>
      <c r="D2762" s="189">
        <v>59577.391000000003</v>
      </c>
      <c r="E2762" s="3" t="s">
        <v>10</v>
      </c>
      <c r="F2762" s="189">
        <v>2533.4</v>
      </c>
      <c r="G2762" s="3" t="s">
        <v>335</v>
      </c>
    </row>
    <row r="2763" spans="1:7" x14ac:dyDescent="0.25">
      <c r="A2763" s="2" t="s">
        <v>62</v>
      </c>
      <c r="B2763" s="3" t="s">
        <v>333</v>
      </c>
      <c r="C2763" s="3">
        <v>10</v>
      </c>
      <c r="D2763" s="189">
        <v>99782.607999999993</v>
      </c>
      <c r="E2763" s="3" t="s">
        <v>10</v>
      </c>
      <c r="F2763" s="189">
        <v>984.71799999999996</v>
      </c>
      <c r="G2763" s="3" t="s">
        <v>335</v>
      </c>
    </row>
    <row r="2764" spans="1:7" x14ac:dyDescent="0.25">
      <c r="A2764" s="2" t="s">
        <v>63</v>
      </c>
      <c r="B2764" s="3" t="s">
        <v>333</v>
      </c>
      <c r="C2764" s="3">
        <v>10</v>
      </c>
      <c r="D2764" s="189">
        <v>69551.403000000006</v>
      </c>
      <c r="E2764" s="3" t="s">
        <v>10</v>
      </c>
      <c r="F2764" s="189">
        <v>1480.991</v>
      </c>
      <c r="G2764" s="3" t="s">
        <v>335</v>
      </c>
    </row>
    <row r="2765" spans="1:7" x14ac:dyDescent="0.25">
      <c r="A2765" s="2" t="s">
        <v>64</v>
      </c>
      <c r="B2765" s="3" t="s">
        <v>333</v>
      </c>
      <c r="C2765" s="3">
        <v>10</v>
      </c>
      <c r="D2765" s="189">
        <v>77686.801000000007</v>
      </c>
      <c r="E2765" s="3" t="s">
        <v>10</v>
      </c>
      <c r="F2765" s="189">
        <v>252.66</v>
      </c>
      <c r="G2765" s="3" t="s">
        <v>335</v>
      </c>
    </row>
    <row r="2766" spans="1:7" x14ac:dyDescent="0.25">
      <c r="A2766" s="2" t="s">
        <v>47</v>
      </c>
      <c r="B2766" s="3" t="s">
        <v>333</v>
      </c>
      <c r="C2766" s="3">
        <v>10</v>
      </c>
      <c r="D2766" s="189">
        <v>135394.43799999999</v>
      </c>
      <c r="E2766" s="3" t="s">
        <v>10</v>
      </c>
      <c r="F2766" s="189">
        <v>3609.3</v>
      </c>
      <c r="G2766" s="3" t="s">
        <v>335</v>
      </c>
    </row>
    <row r="2767" spans="1:7" x14ac:dyDescent="0.25">
      <c r="A2767" s="2" t="s">
        <v>48</v>
      </c>
      <c r="B2767" s="3" t="s">
        <v>333</v>
      </c>
      <c r="C2767" s="3">
        <v>10</v>
      </c>
      <c r="D2767" s="189">
        <v>134042.356</v>
      </c>
      <c r="E2767" s="3" t="s">
        <v>10</v>
      </c>
      <c r="F2767" s="189">
        <v>3010.3229999999999</v>
      </c>
      <c r="G2767" s="3" t="s">
        <v>335</v>
      </c>
    </row>
    <row r="2768" spans="1:7" x14ac:dyDescent="0.25">
      <c r="A2768" s="2" t="s">
        <v>49</v>
      </c>
      <c r="B2768" s="3" t="s">
        <v>333</v>
      </c>
      <c r="C2768" s="3">
        <v>10</v>
      </c>
      <c r="D2768" s="189">
        <v>146089.383</v>
      </c>
      <c r="E2768" s="3" t="s">
        <v>10</v>
      </c>
      <c r="F2768" s="189">
        <v>9582.4770000000008</v>
      </c>
      <c r="G2768" s="3" t="s">
        <v>335</v>
      </c>
    </row>
    <row r="2769" spans="1:7" x14ac:dyDescent="0.25">
      <c r="A2769" s="2" t="s">
        <v>32</v>
      </c>
      <c r="B2769" s="3" t="s">
        <v>333</v>
      </c>
      <c r="C2769" s="3">
        <v>10</v>
      </c>
      <c r="D2769" s="189">
        <v>207119.307</v>
      </c>
      <c r="E2769" s="3" t="s">
        <v>10</v>
      </c>
      <c r="F2769" s="189">
        <v>605.71799999999996</v>
      </c>
      <c r="G2769" s="3" t="s">
        <v>335</v>
      </c>
    </row>
    <row r="2770" spans="1:7" x14ac:dyDescent="0.25">
      <c r="A2770" s="2" t="s">
        <v>33</v>
      </c>
      <c r="B2770" s="3" t="s">
        <v>333</v>
      </c>
      <c r="C2770" s="3">
        <v>10</v>
      </c>
      <c r="D2770" s="189">
        <v>251186.372</v>
      </c>
      <c r="E2770" s="3" t="s">
        <v>10</v>
      </c>
      <c r="F2770" s="189">
        <v>1425.36</v>
      </c>
      <c r="G2770" s="3" t="s">
        <v>335</v>
      </c>
    </row>
    <row r="2771" spans="1:7" x14ac:dyDescent="0.25">
      <c r="A2771" s="2" t="s">
        <v>34</v>
      </c>
      <c r="B2771" s="3" t="s">
        <v>333</v>
      </c>
      <c r="C2771" s="3">
        <v>10</v>
      </c>
      <c r="D2771" s="189">
        <v>285688.42200000002</v>
      </c>
      <c r="E2771" s="3" t="s">
        <v>10</v>
      </c>
      <c r="F2771" s="189">
        <v>1169.701</v>
      </c>
      <c r="G2771" s="3" t="s">
        <v>335</v>
      </c>
    </row>
    <row r="2772" spans="1:7" x14ac:dyDescent="0.25">
      <c r="A2772" s="2" t="s">
        <v>17</v>
      </c>
      <c r="B2772" s="3" t="s">
        <v>333</v>
      </c>
      <c r="C2772" s="3">
        <v>10</v>
      </c>
      <c r="D2772" s="189">
        <v>381354.80699999997</v>
      </c>
      <c r="E2772" s="3" t="s">
        <v>10</v>
      </c>
      <c r="F2772" s="189">
        <v>2020.4179999999999</v>
      </c>
      <c r="G2772" s="3" t="s">
        <v>335</v>
      </c>
    </row>
    <row r="2773" spans="1:7" x14ac:dyDescent="0.25">
      <c r="A2773" s="2" t="s">
        <v>18</v>
      </c>
      <c r="B2773" s="3" t="s">
        <v>333</v>
      </c>
      <c r="C2773" s="3">
        <v>10</v>
      </c>
      <c r="D2773" s="189">
        <v>833594.603</v>
      </c>
      <c r="E2773" s="3" t="s">
        <v>10</v>
      </c>
      <c r="F2773" s="189">
        <v>22001.383000000002</v>
      </c>
      <c r="G2773" s="3" t="s">
        <v>335</v>
      </c>
    </row>
    <row r="2774" spans="1:7" x14ac:dyDescent="0.25">
      <c r="A2774" s="2" t="s">
        <v>19</v>
      </c>
      <c r="B2774" s="3" t="s">
        <v>333</v>
      </c>
      <c r="C2774" s="3">
        <v>10</v>
      </c>
      <c r="D2774" s="189">
        <v>568364.67599999998</v>
      </c>
      <c r="E2774" s="3" t="s">
        <v>10</v>
      </c>
      <c r="F2774" s="189">
        <v>6644.7</v>
      </c>
      <c r="G2774" s="3" t="s">
        <v>335</v>
      </c>
    </row>
    <row r="2775" spans="1:7" x14ac:dyDescent="0.25">
      <c r="A2775" s="2" t="s">
        <v>222</v>
      </c>
      <c r="B2775" s="3" t="s">
        <v>333</v>
      </c>
      <c r="C2775" s="3">
        <v>10</v>
      </c>
      <c r="D2775" s="189">
        <v>173200.272</v>
      </c>
      <c r="E2775" s="3" t="s">
        <v>10</v>
      </c>
      <c r="F2775" s="189">
        <v>1398.81</v>
      </c>
      <c r="G2775" s="3" t="s">
        <v>335</v>
      </c>
    </row>
    <row r="2776" spans="1:7" x14ac:dyDescent="0.25">
      <c r="A2776" s="2" t="s">
        <v>223</v>
      </c>
      <c r="B2776" s="3" t="s">
        <v>333</v>
      </c>
      <c r="C2776" s="3">
        <v>10</v>
      </c>
      <c r="D2776" s="189">
        <v>199777.451</v>
      </c>
      <c r="E2776" s="3" t="s">
        <v>10</v>
      </c>
      <c r="F2776" s="189">
        <v>4371.13</v>
      </c>
      <c r="G2776" s="3" t="s">
        <v>335</v>
      </c>
    </row>
    <row r="2777" spans="1:7" x14ac:dyDescent="0.25">
      <c r="A2777" s="2" t="s">
        <v>224</v>
      </c>
      <c r="B2777" s="3" t="s">
        <v>333</v>
      </c>
      <c r="C2777" s="3">
        <v>10</v>
      </c>
      <c r="D2777" s="189">
        <v>188716.53</v>
      </c>
      <c r="E2777" s="3" t="s">
        <v>10</v>
      </c>
      <c r="F2777" s="189">
        <v>1593.442</v>
      </c>
      <c r="G2777" s="3" t="s">
        <v>335</v>
      </c>
    </row>
    <row r="2778" spans="1:7" x14ac:dyDescent="0.25">
      <c r="A2778" s="3" t="s">
        <v>237</v>
      </c>
      <c r="B2778" s="3" t="s">
        <v>333</v>
      </c>
      <c r="C2778" s="3">
        <v>10</v>
      </c>
      <c r="D2778" s="189">
        <v>120476.662</v>
      </c>
      <c r="E2778" s="3" t="s">
        <v>10</v>
      </c>
      <c r="F2778" s="189">
        <v>2795.1509999999998</v>
      </c>
      <c r="G2778" s="3" t="s">
        <v>335</v>
      </c>
    </row>
    <row r="2779" spans="1:7" x14ac:dyDescent="0.25">
      <c r="A2779" s="2" t="s">
        <v>238</v>
      </c>
      <c r="B2779" s="3" t="s">
        <v>333</v>
      </c>
      <c r="C2779" s="3">
        <v>10</v>
      </c>
      <c r="D2779" s="189">
        <v>95677.706000000006</v>
      </c>
      <c r="E2779" s="3" t="s">
        <v>10</v>
      </c>
      <c r="F2779" s="189">
        <v>592.77599999999995</v>
      </c>
      <c r="G2779" s="3" t="s">
        <v>335</v>
      </c>
    </row>
    <row r="2780" spans="1:7" x14ac:dyDescent="0.25">
      <c r="A2780" s="2" t="s">
        <v>239</v>
      </c>
      <c r="B2780" s="3" t="s">
        <v>333</v>
      </c>
      <c r="C2780" s="3">
        <v>10</v>
      </c>
      <c r="D2780" s="189">
        <v>88249.804999999993</v>
      </c>
      <c r="E2780" s="3" t="s">
        <v>10</v>
      </c>
      <c r="F2780" s="189">
        <v>2244.3870000000002</v>
      </c>
      <c r="G2780" s="3" t="s">
        <v>335</v>
      </c>
    </row>
    <row r="2781" spans="1:7" x14ac:dyDescent="0.25">
      <c r="A2781" s="2" t="s">
        <v>686</v>
      </c>
      <c r="B2781" s="3" t="s">
        <v>333</v>
      </c>
      <c r="C2781" s="3">
        <v>10</v>
      </c>
      <c r="D2781" s="189">
        <v>97535.667000000001</v>
      </c>
      <c r="E2781" s="3" t="s">
        <v>10</v>
      </c>
      <c r="F2781" s="189">
        <v>977.11099999999999</v>
      </c>
      <c r="G2781" s="3" t="s">
        <v>335</v>
      </c>
    </row>
    <row r="2782" spans="1:7" x14ac:dyDescent="0.25">
      <c r="A2782" s="2" t="s">
        <v>687</v>
      </c>
      <c r="B2782" s="3" t="s">
        <v>333</v>
      </c>
      <c r="C2782" s="3">
        <v>10</v>
      </c>
      <c r="D2782" s="189">
        <v>118154.323</v>
      </c>
      <c r="E2782" s="3" t="s">
        <v>10</v>
      </c>
      <c r="F2782" s="189">
        <v>613.50400000000002</v>
      </c>
      <c r="G2782" s="3" t="s">
        <v>335</v>
      </c>
    </row>
    <row r="2783" spans="1:7" x14ac:dyDescent="0.25">
      <c r="A2783" s="3" t="s">
        <v>688</v>
      </c>
      <c r="B2783" s="3" t="s">
        <v>333</v>
      </c>
      <c r="C2783" s="3">
        <v>10</v>
      </c>
      <c r="D2783" s="189">
        <v>136408.74799999999</v>
      </c>
      <c r="E2783" s="4" t="s">
        <v>10</v>
      </c>
      <c r="F2783" s="189">
        <v>345.86599999999999</v>
      </c>
      <c r="G2783" s="3" t="s">
        <v>335</v>
      </c>
    </row>
    <row r="2784" spans="1:7" x14ac:dyDescent="0.25">
      <c r="A2784" s="3" t="s">
        <v>689</v>
      </c>
      <c r="B2784" s="2" t="s">
        <v>333</v>
      </c>
      <c r="C2784" s="3">
        <v>10</v>
      </c>
      <c r="D2784" s="189">
        <v>129910.749</v>
      </c>
      <c r="E2784" s="4" t="s">
        <v>10</v>
      </c>
      <c r="F2784" s="189">
        <v>3145.473</v>
      </c>
      <c r="G2784" s="3" t="s">
        <v>335</v>
      </c>
    </row>
    <row r="2785" spans="1:19" x14ac:dyDescent="0.25">
      <c r="A2785" s="2" t="s">
        <v>319</v>
      </c>
      <c r="B2785" s="3" t="s">
        <v>333</v>
      </c>
      <c r="C2785" s="3">
        <v>10</v>
      </c>
      <c r="D2785" s="189">
        <v>1067645.933</v>
      </c>
      <c r="E2785" s="3" t="s">
        <v>10</v>
      </c>
      <c r="F2785" s="189">
        <v>27547.605</v>
      </c>
      <c r="G2785" s="3" t="s">
        <v>335</v>
      </c>
    </row>
    <row r="2786" spans="1:19" x14ac:dyDescent="0.25">
      <c r="A2786" s="2" t="s">
        <v>320</v>
      </c>
      <c r="B2786" s="3" t="s">
        <v>333</v>
      </c>
      <c r="C2786" s="3">
        <v>10</v>
      </c>
      <c r="D2786" s="189">
        <v>1920203.6329999999</v>
      </c>
      <c r="E2786" s="3" t="s">
        <v>10</v>
      </c>
      <c r="F2786" s="189">
        <v>12004.347</v>
      </c>
      <c r="G2786" s="3" t="s">
        <v>335</v>
      </c>
    </row>
    <row r="2787" spans="1:19" x14ac:dyDescent="0.25">
      <c r="A2787" s="2" t="s">
        <v>321</v>
      </c>
      <c r="B2787" s="3" t="s">
        <v>333</v>
      </c>
      <c r="C2787" s="3">
        <v>10</v>
      </c>
      <c r="D2787" s="189">
        <v>2368433.889</v>
      </c>
      <c r="E2787" s="3" t="s">
        <v>10</v>
      </c>
      <c r="F2787" s="189">
        <v>59864.794999999998</v>
      </c>
      <c r="G2787" s="3" t="s">
        <v>335</v>
      </c>
    </row>
    <row r="2788" spans="1:19" x14ac:dyDescent="0.25">
      <c r="A2788" s="2" t="s">
        <v>207</v>
      </c>
      <c r="B2788" s="3" t="s">
        <v>333</v>
      </c>
      <c r="C2788" s="3">
        <v>10</v>
      </c>
      <c r="D2788" s="189">
        <v>1012289.286</v>
      </c>
      <c r="E2788" s="3" t="s">
        <v>10</v>
      </c>
      <c r="F2788" s="189">
        <v>19337.056</v>
      </c>
      <c r="G2788" s="3" t="s">
        <v>335</v>
      </c>
    </row>
    <row r="2789" spans="1:19" x14ac:dyDescent="0.25">
      <c r="A2789" s="2" t="s">
        <v>208</v>
      </c>
      <c r="B2789" s="3" t="s">
        <v>333</v>
      </c>
      <c r="C2789" s="3">
        <v>10</v>
      </c>
      <c r="D2789" s="189">
        <v>1005283.5550000001</v>
      </c>
      <c r="E2789" s="3" t="s">
        <v>10</v>
      </c>
      <c r="F2789" s="189">
        <v>21664.206999999999</v>
      </c>
      <c r="G2789" s="3" t="s">
        <v>335</v>
      </c>
    </row>
    <row r="2790" spans="1:19" x14ac:dyDescent="0.25">
      <c r="A2790" s="2" t="s">
        <v>209</v>
      </c>
      <c r="B2790" s="3" t="s">
        <v>333</v>
      </c>
      <c r="C2790" s="3">
        <v>10</v>
      </c>
      <c r="D2790" s="189">
        <v>1008809.71</v>
      </c>
      <c r="E2790" s="3" t="s">
        <v>10</v>
      </c>
      <c r="F2790" s="189">
        <v>1319.886</v>
      </c>
      <c r="G2790" s="3" t="s">
        <v>335</v>
      </c>
    </row>
    <row r="2791" spans="1:19" x14ac:dyDescent="0.25">
      <c r="A2791" s="2" t="s">
        <v>593</v>
      </c>
      <c r="B2791" s="3" t="s">
        <v>333</v>
      </c>
      <c r="C2791" s="3">
        <v>10</v>
      </c>
      <c r="D2791" s="189">
        <v>40740.330999999998</v>
      </c>
      <c r="E2791" s="3" t="s">
        <v>10</v>
      </c>
      <c r="F2791" s="189">
        <v>365.57900000000001</v>
      </c>
      <c r="G2791" s="3" t="s">
        <v>335</v>
      </c>
    </row>
    <row r="2792" spans="1:19" x14ac:dyDescent="0.25">
      <c r="A2792" s="2" t="s">
        <v>594</v>
      </c>
      <c r="B2792" s="3" t="s">
        <v>333</v>
      </c>
      <c r="C2792" s="3">
        <v>10</v>
      </c>
      <c r="D2792" s="189">
        <v>5487.4530000000004</v>
      </c>
      <c r="E2792" s="3" t="s">
        <v>10</v>
      </c>
      <c r="F2792" s="189">
        <v>18.303999999999998</v>
      </c>
      <c r="G2792" s="3" t="s">
        <v>335</v>
      </c>
    </row>
    <row r="2793" spans="1:19" x14ac:dyDescent="0.25">
      <c r="A2793" s="2" t="s">
        <v>595</v>
      </c>
      <c r="B2793" s="3" t="s">
        <v>333</v>
      </c>
      <c r="C2793" s="3">
        <v>10</v>
      </c>
      <c r="D2793" s="189">
        <v>6391.3720000000003</v>
      </c>
      <c r="E2793" s="3" t="s">
        <v>10</v>
      </c>
      <c r="F2793" s="189">
        <v>57.567999999999998</v>
      </c>
      <c r="G2793" s="3" t="s">
        <v>335</v>
      </c>
    </row>
    <row r="2794" spans="1:19" x14ac:dyDescent="0.25">
      <c r="A2794" s="2" t="s">
        <v>609</v>
      </c>
      <c r="B2794" s="3" t="s">
        <v>333</v>
      </c>
      <c r="C2794" s="3">
        <v>10</v>
      </c>
      <c r="D2794" s="189">
        <v>81540.877999999997</v>
      </c>
      <c r="E2794" s="3" t="s">
        <v>10</v>
      </c>
      <c r="F2794" s="189">
        <v>83.659000000000006</v>
      </c>
      <c r="G2794" s="3" t="s">
        <v>335</v>
      </c>
    </row>
    <row r="2795" spans="1:19" x14ac:dyDescent="0.25">
      <c r="A2795" s="2" t="s">
        <v>610</v>
      </c>
      <c r="B2795" s="3" t="s">
        <v>333</v>
      </c>
      <c r="C2795" s="3">
        <v>10</v>
      </c>
      <c r="D2795" s="189">
        <v>49839.777999999998</v>
      </c>
      <c r="E2795" s="3" t="s">
        <v>10</v>
      </c>
      <c r="F2795" s="189">
        <v>589.46299999999997</v>
      </c>
      <c r="G2795" s="3" t="s">
        <v>335</v>
      </c>
    </row>
    <row r="2796" spans="1:19" x14ac:dyDescent="0.25">
      <c r="A2796" s="3" t="s">
        <v>611</v>
      </c>
      <c r="B2796" s="3" t="s">
        <v>333</v>
      </c>
      <c r="C2796" s="3">
        <v>10</v>
      </c>
      <c r="D2796" s="189">
        <v>69398.312000000005</v>
      </c>
      <c r="E2796" s="3" t="s">
        <v>10</v>
      </c>
      <c r="F2796" s="189">
        <v>267.14699999999999</v>
      </c>
      <c r="G2796" s="3" t="s">
        <v>335</v>
      </c>
    </row>
    <row r="2797" spans="1:19" ht="20" thickBot="1" x14ac:dyDescent="0.3">
      <c r="J2797" s="85">
        <v>10000</v>
      </c>
    </row>
    <row r="2798" spans="1:19" x14ac:dyDescent="0.25">
      <c r="A2798" s="2" t="s">
        <v>2</v>
      </c>
      <c r="B2798" s="3" t="s">
        <v>3</v>
      </c>
      <c r="C2798" s="3" t="s">
        <v>4</v>
      </c>
      <c r="D2798" s="189" t="s">
        <v>5</v>
      </c>
      <c r="E2798" s="3" t="s">
        <v>6</v>
      </c>
      <c r="F2798" s="189" t="s">
        <v>7</v>
      </c>
      <c r="J2798" s="5" t="s">
        <v>1180</v>
      </c>
      <c r="K2798" s="72" t="s">
        <v>340</v>
      </c>
      <c r="L2798" s="72" t="s">
        <v>341</v>
      </c>
      <c r="M2798" s="17" t="s">
        <v>162</v>
      </c>
      <c r="N2798" s="72" t="s">
        <v>1182</v>
      </c>
      <c r="O2798" s="17" t="s">
        <v>162</v>
      </c>
      <c r="P2798" s="72" t="s">
        <v>342</v>
      </c>
      <c r="Q2798" s="17" t="s">
        <v>162</v>
      </c>
      <c r="R2798" s="111" t="s">
        <v>1183</v>
      </c>
      <c r="S2798" s="112" t="s">
        <v>1184</v>
      </c>
    </row>
    <row r="2799" spans="1:19" x14ac:dyDescent="0.25">
      <c r="A2799" s="2" t="s">
        <v>1176</v>
      </c>
      <c r="B2799" s="3" t="s">
        <v>333</v>
      </c>
      <c r="C2799" s="3">
        <v>10</v>
      </c>
      <c r="D2799" s="189">
        <v>1100663.611</v>
      </c>
      <c r="E2799" s="3" t="s">
        <v>10</v>
      </c>
      <c r="F2799" s="189">
        <v>29572.830999999998</v>
      </c>
      <c r="G2799" s="3" t="s">
        <v>335</v>
      </c>
      <c r="J2799" s="6" t="s">
        <v>1181</v>
      </c>
      <c r="K2799" s="119">
        <f>D2799</f>
        <v>1100663.611</v>
      </c>
      <c r="L2799" s="119">
        <f>D2800</f>
        <v>1160494.656</v>
      </c>
      <c r="M2799" s="18">
        <f t="shared" ref="M2799:M2817" si="379">(K2799/L2799-1)</f>
        <v>-5.1556501954283851E-2</v>
      </c>
      <c r="N2799" s="73">
        <f>D2801</f>
        <v>1144659.8770000001</v>
      </c>
      <c r="O2799" s="18">
        <f t="shared" ref="O2799:O2801" si="380">(K2799/N2799-1)</f>
        <v>-3.8436103932731891E-2</v>
      </c>
      <c r="P2799" s="73">
        <f>D2802</f>
        <v>1116096.493</v>
      </c>
      <c r="Q2799" s="18">
        <f t="shared" ref="Q2799:Q2820" si="381">(K2799/P2799-1)</f>
        <v>-1.3827551736604216E-2</v>
      </c>
      <c r="R2799" s="18">
        <f t="shared" ref="R2799:R2820" si="382">(L2799/P2799-1)</f>
        <v>3.977986068270889E-2</v>
      </c>
      <c r="S2799" s="22">
        <f>(N2799/P2799-1)</f>
        <v>2.5592217320944632E-2</v>
      </c>
    </row>
    <row r="2800" spans="1:19" x14ac:dyDescent="0.25">
      <c r="A2800" s="2" t="s">
        <v>1177</v>
      </c>
      <c r="B2800" s="3" t="s">
        <v>333</v>
      </c>
      <c r="C2800" s="3">
        <v>10</v>
      </c>
      <c r="D2800" s="189">
        <v>1160494.656</v>
      </c>
      <c r="E2800" s="3" t="s">
        <v>10</v>
      </c>
      <c r="F2800" s="189">
        <v>7603.701</v>
      </c>
      <c r="G2800" s="3" t="s">
        <v>335</v>
      </c>
      <c r="J2800" s="6" t="s">
        <v>1185</v>
      </c>
      <c r="K2800" s="119">
        <f>D2803</f>
        <v>146575.745</v>
      </c>
      <c r="L2800" s="119">
        <f>D2804</f>
        <v>192790.91800000001</v>
      </c>
      <c r="M2800" s="18">
        <f t="shared" si="379"/>
        <v>-0.23971654619124749</v>
      </c>
      <c r="N2800" s="73">
        <f>D2805</f>
        <v>136471.10999999999</v>
      </c>
      <c r="O2800" s="18">
        <f t="shared" si="380"/>
        <v>7.4042300967582131E-2</v>
      </c>
      <c r="P2800" s="73">
        <f>D2806</f>
        <v>139023.50700000001</v>
      </c>
      <c r="Q2800" s="18">
        <f t="shared" si="381"/>
        <v>5.4323460564118742E-2</v>
      </c>
      <c r="R2800" s="18">
        <f t="shared" si="382"/>
        <v>0.38675050112208709</v>
      </c>
      <c r="S2800" s="22">
        <f>(N2800/P2800-1)</f>
        <v>-1.8359463482675809E-2</v>
      </c>
    </row>
    <row r="2801" spans="1:19" x14ac:dyDescent="0.25">
      <c r="A2801" s="2" t="s">
        <v>1178</v>
      </c>
      <c r="B2801" s="3" t="s">
        <v>333</v>
      </c>
      <c r="C2801" s="3">
        <v>10</v>
      </c>
      <c r="D2801" s="189">
        <v>1144659.8770000001</v>
      </c>
      <c r="E2801" s="3" t="s">
        <v>10</v>
      </c>
      <c r="F2801" s="189">
        <v>33558.464999999997</v>
      </c>
      <c r="G2801" s="3" t="s">
        <v>335</v>
      </c>
      <c r="J2801" s="6" t="s">
        <v>1186</v>
      </c>
      <c r="K2801" s="119">
        <f>D2807</f>
        <v>235577.709</v>
      </c>
      <c r="L2801" s="119">
        <f>D2808</f>
        <v>268782.511</v>
      </c>
      <c r="M2801" s="18">
        <f t="shared" si="379"/>
        <v>-0.12353780711573159</v>
      </c>
      <c r="N2801" s="73">
        <f>D2809</f>
        <v>202091.55</v>
      </c>
      <c r="O2801" s="18">
        <f t="shared" si="380"/>
        <v>0.16569796708471984</v>
      </c>
      <c r="P2801" s="73">
        <f>D2810</f>
        <v>236784.128</v>
      </c>
      <c r="Q2801" s="18">
        <f t="shared" si="381"/>
        <v>-5.0950163348786326E-3</v>
      </c>
      <c r="R2801" s="18">
        <f t="shared" si="382"/>
        <v>0.13513736444361668</v>
      </c>
      <c r="S2801" s="22">
        <f>(N2801/P2801-1)</f>
        <v>-0.14651563976450321</v>
      </c>
    </row>
    <row r="2802" spans="1:19" x14ac:dyDescent="0.25">
      <c r="A2802" s="2" t="s">
        <v>1179</v>
      </c>
      <c r="B2802" s="3" t="s">
        <v>333</v>
      </c>
      <c r="C2802" s="3">
        <v>10</v>
      </c>
      <c r="D2802" s="189">
        <v>1116096.493</v>
      </c>
      <c r="E2802" s="3" t="s">
        <v>10</v>
      </c>
      <c r="F2802" s="189">
        <v>4571.424</v>
      </c>
      <c r="G2802" s="3" t="s">
        <v>335</v>
      </c>
      <c r="J2802" s="6" t="s">
        <v>1187</v>
      </c>
      <c r="K2802" s="119">
        <f>D2811</f>
        <v>59113.938000000002</v>
      </c>
      <c r="L2802" s="119">
        <f>D2812</f>
        <v>25977.832999999999</v>
      </c>
      <c r="M2802" s="18">
        <f t="shared" si="379"/>
        <v>1.2755530840466949</v>
      </c>
      <c r="N2802" s="73"/>
      <c r="O2802" s="18"/>
      <c r="P2802" s="73">
        <f>D2813</f>
        <v>55827.071000000004</v>
      </c>
      <c r="Q2802" s="18">
        <f t="shared" si="381"/>
        <v>5.8875863288618602E-2</v>
      </c>
      <c r="R2802" s="18">
        <f t="shared" si="382"/>
        <v>-0.53467318749357284</v>
      </c>
      <c r="S2802" s="22"/>
    </row>
    <row r="2803" spans="1:19" x14ac:dyDescent="0.25">
      <c r="A2803" s="2" t="s">
        <v>105</v>
      </c>
      <c r="B2803" s="3" t="s">
        <v>333</v>
      </c>
      <c r="C2803" s="3">
        <v>10</v>
      </c>
      <c r="D2803" s="189">
        <v>146575.745</v>
      </c>
      <c r="E2803" s="3" t="s">
        <v>10</v>
      </c>
      <c r="F2803" s="189">
        <v>2408.7199999999998</v>
      </c>
      <c r="G2803" s="3" t="s">
        <v>335</v>
      </c>
      <c r="J2803" s="6" t="s">
        <v>1188</v>
      </c>
      <c r="K2803" s="119">
        <f>D2814</f>
        <v>38488.675999999999</v>
      </c>
      <c r="L2803" s="119">
        <f>D2815</f>
        <v>12167.425999999999</v>
      </c>
      <c r="M2803" s="18">
        <f t="shared" si="379"/>
        <v>2.1632554001150286</v>
      </c>
      <c r="N2803" s="73"/>
      <c r="O2803" s="18"/>
      <c r="P2803" s="73">
        <f>D2816</f>
        <v>29388.955000000002</v>
      </c>
      <c r="Q2803" s="18">
        <f t="shared" si="381"/>
        <v>0.30963064185167521</v>
      </c>
      <c r="R2803" s="18">
        <f t="shared" si="382"/>
        <v>-0.58598643606075829</v>
      </c>
      <c r="S2803" s="22"/>
    </row>
    <row r="2804" spans="1:19" x14ac:dyDescent="0.25">
      <c r="A2804" s="2" t="s">
        <v>106</v>
      </c>
      <c r="B2804" s="3" t="s">
        <v>333</v>
      </c>
      <c r="C2804" s="3">
        <v>10</v>
      </c>
      <c r="D2804" s="189">
        <v>192790.91800000001</v>
      </c>
      <c r="E2804" s="3" t="s">
        <v>10</v>
      </c>
      <c r="F2804" s="189">
        <v>4263.08</v>
      </c>
      <c r="G2804" s="3" t="s">
        <v>335</v>
      </c>
      <c r="J2804" s="6" t="s">
        <v>1189</v>
      </c>
      <c r="K2804" s="119">
        <f>D2817</f>
        <v>53128.745000000003</v>
      </c>
      <c r="L2804" s="119">
        <f>D2818</f>
        <v>45009.534</v>
      </c>
      <c r="M2804" s="18">
        <f t="shared" si="379"/>
        <v>0.18038869276007174</v>
      </c>
      <c r="N2804" s="73"/>
      <c r="O2804" s="18"/>
      <c r="P2804" s="73">
        <f>D2819</f>
        <v>95491.099000000002</v>
      </c>
      <c r="Q2804" s="18">
        <f t="shared" si="381"/>
        <v>-0.44362620645930573</v>
      </c>
      <c r="R2804" s="18">
        <f t="shared" si="382"/>
        <v>-0.52865204745418204</v>
      </c>
      <c r="S2804" s="22"/>
    </row>
    <row r="2805" spans="1:19" x14ac:dyDescent="0.25">
      <c r="A2805" s="2" t="s">
        <v>107</v>
      </c>
      <c r="B2805" s="3" t="s">
        <v>333</v>
      </c>
      <c r="C2805" s="3">
        <v>10</v>
      </c>
      <c r="D2805" s="189">
        <v>136471.10999999999</v>
      </c>
      <c r="E2805" s="3" t="s">
        <v>10</v>
      </c>
      <c r="F2805" s="189">
        <v>1500.7</v>
      </c>
      <c r="G2805" s="3" t="s">
        <v>335</v>
      </c>
      <c r="J2805" s="6" t="s">
        <v>1190</v>
      </c>
      <c r="K2805" s="119">
        <f>D2820</f>
        <v>69840.907999999996</v>
      </c>
      <c r="L2805" s="119">
        <f>D2821</f>
        <v>38532.025000000001</v>
      </c>
      <c r="M2805" s="18">
        <f t="shared" si="379"/>
        <v>0.81254185317278282</v>
      </c>
      <c r="N2805" s="73"/>
      <c r="O2805" s="18"/>
      <c r="P2805" s="73">
        <f>D2822</f>
        <v>110251.106</v>
      </c>
      <c r="Q2805" s="18">
        <f t="shared" si="381"/>
        <v>-0.3665287312401202</v>
      </c>
      <c r="R2805" s="18">
        <f t="shared" si="382"/>
        <v>-0.65050668063139427</v>
      </c>
      <c r="S2805" s="22"/>
    </row>
    <row r="2806" spans="1:19" x14ac:dyDescent="0.25">
      <c r="A2806" s="2" t="s">
        <v>108</v>
      </c>
      <c r="B2806" s="3" t="s">
        <v>333</v>
      </c>
      <c r="C2806" s="3">
        <v>10</v>
      </c>
      <c r="D2806" s="189">
        <v>139023.50700000001</v>
      </c>
      <c r="E2806" s="3" t="s">
        <v>10</v>
      </c>
      <c r="F2806" s="189">
        <v>3836.6289999999999</v>
      </c>
      <c r="G2806" s="3" t="s">
        <v>335</v>
      </c>
      <c r="J2806" s="6" t="s">
        <v>168</v>
      </c>
      <c r="K2806" s="119">
        <f>D2823</f>
        <v>246075.71100000001</v>
      </c>
      <c r="L2806" s="119">
        <f>D2824</f>
        <v>437234.17300000001</v>
      </c>
      <c r="M2806" s="18">
        <f t="shared" si="379"/>
        <v>-0.43719927170468442</v>
      </c>
      <c r="N2806" s="73">
        <f>D2825</f>
        <v>286990.57299999997</v>
      </c>
      <c r="O2806" s="18">
        <f>(K2806/N2806-1)</f>
        <v>-0.14256517756769649</v>
      </c>
      <c r="P2806" s="73">
        <f>D2826</f>
        <v>977862.43400000001</v>
      </c>
      <c r="Q2806" s="18">
        <f t="shared" si="381"/>
        <v>-0.74835344682031213</v>
      </c>
      <c r="R2806" s="18">
        <f t="shared" si="382"/>
        <v>-0.55286739954671371</v>
      </c>
      <c r="S2806" s="22">
        <f>(N2806/P2806-1)</f>
        <v>-0.70651232420694465</v>
      </c>
    </row>
    <row r="2807" spans="1:19" x14ac:dyDescent="0.25">
      <c r="A2807" s="2" t="s">
        <v>125</v>
      </c>
      <c r="B2807" s="3" t="s">
        <v>333</v>
      </c>
      <c r="C2807" s="3">
        <v>10</v>
      </c>
      <c r="D2807" s="189">
        <v>235577.709</v>
      </c>
      <c r="E2807" s="3" t="s">
        <v>10</v>
      </c>
      <c r="F2807" s="189">
        <v>1576.546</v>
      </c>
      <c r="G2807" s="3" t="s">
        <v>335</v>
      </c>
      <c r="J2807" s="6" t="s">
        <v>1191</v>
      </c>
      <c r="K2807" s="119">
        <f>D2827</f>
        <v>159572.27100000001</v>
      </c>
      <c r="L2807" s="119">
        <f>D2828</f>
        <v>126816.425</v>
      </c>
      <c r="M2807" s="18">
        <f t="shared" si="379"/>
        <v>0.25829340324015604</v>
      </c>
      <c r="N2807" s="73"/>
      <c r="O2807" s="18"/>
      <c r="P2807" s="73">
        <f>D2829</f>
        <v>227851.647</v>
      </c>
      <c r="Q2807" s="18">
        <f t="shared" si="381"/>
        <v>-0.29966593131538777</v>
      </c>
      <c r="R2807" s="18">
        <f t="shared" si="382"/>
        <v>-0.44342546270907579</v>
      </c>
      <c r="S2807" s="22"/>
    </row>
    <row r="2808" spans="1:19" x14ac:dyDescent="0.25">
      <c r="A2808" s="2" t="s">
        <v>126</v>
      </c>
      <c r="B2808" s="3" t="s">
        <v>333</v>
      </c>
      <c r="C2808" s="3">
        <v>10</v>
      </c>
      <c r="D2808" s="189">
        <v>268782.511</v>
      </c>
      <c r="E2808" s="3" t="s">
        <v>10</v>
      </c>
      <c r="F2808" s="189">
        <v>9333.3850000000002</v>
      </c>
      <c r="G2808" s="3" t="s">
        <v>335</v>
      </c>
      <c r="J2808" s="6" t="s">
        <v>1192</v>
      </c>
      <c r="K2808" s="119">
        <f>D2830</f>
        <v>371730.94699999999</v>
      </c>
      <c r="L2808" s="119">
        <f>D2831</f>
        <v>367952.22899999999</v>
      </c>
      <c r="M2808" s="18">
        <f t="shared" si="379"/>
        <v>1.0269588555746889E-2</v>
      </c>
      <c r="N2808" s="73"/>
      <c r="O2808" s="18"/>
      <c r="P2808" s="73">
        <f>D2832</f>
        <v>361890.038</v>
      </c>
      <c r="Q2808" s="18">
        <f t="shared" si="381"/>
        <v>2.719309173136164E-2</v>
      </c>
      <c r="R2808" s="18">
        <f t="shared" si="382"/>
        <v>1.675147244589259E-2</v>
      </c>
      <c r="S2808" s="22"/>
    </row>
    <row r="2809" spans="1:19" x14ac:dyDescent="0.25">
      <c r="A2809" s="2" t="s">
        <v>127</v>
      </c>
      <c r="B2809" s="3" t="s">
        <v>333</v>
      </c>
      <c r="C2809" s="3">
        <v>10</v>
      </c>
      <c r="D2809" s="189">
        <v>202091.55</v>
      </c>
      <c r="E2809" s="3" t="s">
        <v>10</v>
      </c>
      <c r="F2809" s="189">
        <v>1381.827</v>
      </c>
      <c r="G2809" s="3" t="s">
        <v>335</v>
      </c>
      <c r="J2809" s="6" t="s">
        <v>1193</v>
      </c>
      <c r="K2809" s="119">
        <f>D2833</f>
        <v>40461.561999999998</v>
      </c>
      <c r="L2809" s="119">
        <f>D2834</f>
        <v>6132.6210000000001</v>
      </c>
      <c r="M2809" s="18">
        <f t="shared" si="379"/>
        <v>5.5977600768089202</v>
      </c>
      <c r="N2809" s="73"/>
      <c r="O2809" s="18"/>
      <c r="P2809" s="73">
        <f>D2835</f>
        <v>66201.983999999997</v>
      </c>
      <c r="Q2809" s="18">
        <f t="shared" si="381"/>
        <v>-0.38881647414071452</v>
      </c>
      <c r="R2809" s="18">
        <f t="shared" si="382"/>
        <v>-0.90736499679526217</v>
      </c>
      <c r="S2809" s="22"/>
    </row>
    <row r="2810" spans="1:19" x14ac:dyDescent="0.25">
      <c r="A2810" s="2" t="s">
        <v>128</v>
      </c>
      <c r="B2810" s="3" t="s">
        <v>333</v>
      </c>
      <c r="C2810" s="3">
        <v>10</v>
      </c>
      <c r="D2810" s="189">
        <v>236784.128</v>
      </c>
      <c r="E2810" s="3" t="s">
        <v>10</v>
      </c>
      <c r="F2810" s="189">
        <v>6800.6490000000003</v>
      </c>
      <c r="G2810" s="3" t="s">
        <v>335</v>
      </c>
      <c r="J2810" s="6" t="s">
        <v>1194</v>
      </c>
      <c r="K2810" s="119">
        <f>D2836</f>
        <v>76621.226999999999</v>
      </c>
      <c r="L2810" s="119">
        <f>D2837</f>
        <v>42913.7</v>
      </c>
      <c r="M2810" s="18">
        <f t="shared" si="379"/>
        <v>0.78547240158737197</v>
      </c>
      <c r="N2810" s="73"/>
      <c r="O2810" s="18"/>
      <c r="P2810" s="73">
        <f>D2838</f>
        <v>80497.331999999995</v>
      </c>
      <c r="Q2810" s="18">
        <f t="shared" si="381"/>
        <v>-4.8151968564622671E-2</v>
      </c>
      <c r="R2810" s="18">
        <f t="shared" si="382"/>
        <v>-0.46689289031343295</v>
      </c>
      <c r="S2810" s="22"/>
    </row>
    <row r="2811" spans="1:19" x14ac:dyDescent="0.25">
      <c r="A2811" s="2" t="s">
        <v>635</v>
      </c>
      <c r="B2811" s="3" t="s">
        <v>333</v>
      </c>
      <c r="C2811" s="3">
        <v>10</v>
      </c>
      <c r="D2811" s="189">
        <v>59113.938000000002</v>
      </c>
      <c r="E2811" s="3" t="s">
        <v>10</v>
      </c>
      <c r="F2811" s="189">
        <v>1953.808</v>
      </c>
      <c r="G2811" s="3" t="s">
        <v>335</v>
      </c>
      <c r="J2811" s="6" t="s">
        <v>1195</v>
      </c>
      <c r="K2811" s="119">
        <f>D2839</f>
        <v>113483.71400000001</v>
      </c>
      <c r="L2811" s="119">
        <f>D2840</f>
        <v>125651.14</v>
      </c>
      <c r="M2811" s="18">
        <f t="shared" si="379"/>
        <v>-9.6834982953596715E-2</v>
      </c>
      <c r="N2811" s="73"/>
      <c r="O2811" s="18"/>
      <c r="P2811" s="73">
        <f>D2841</f>
        <v>141204.40299999999</v>
      </c>
      <c r="Q2811" s="18">
        <f t="shared" si="381"/>
        <v>-0.1963160383886895</v>
      </c>
      <c r="R2811" s="18">
        <f t="shared" si="382"/>
        <v>-0.11014715313091183</v>
      </c>
      <c r="S2811" s="22"/>
    </row>
    <row r="2812" spans="1:19" x14ac:dyDescent="0.25">
      <c r="A2812" s="2" t="s">
        <v>636</v>
      </c>
      <c r="B2812" s="3" t="s">
        <v>333</v>
      </c>
      <c r="C2812" s="3">
        <v>10</v>
      </c>
      <c r="D2812" s="189">
        <v>25977.832999999999</v>
      </c>
      <c r="E2812" s="3" t="s">
        <v>10</v>
      </c>
      <c r="F2812" s="189">
        <v>695.96199999999999</v>
      </c>
      <c r="G2812" s="3" t="s">
        <v>335</v>
      </c>
      <c r="J2812" s="6" t="s">
        <v>1196</v>
      </c>
      <c r="K2812" s="119">
        <f>D2842</f>
        <v>185874.128</v>
      </c>
      <c r="L2812" s="119">
        <f>D2843</f>
        <v>517579.038</v>
      </c>
      <c r="M2812" s="18">
        <f t="shared" si="379"/>
        <v>-0.64087778995408229</v>
      </c>
      <c r="N2812" s="73"/>
      <c r="O2812" s="18"/>
      <c r="P2812" s="73">
        <f>D2844</f>
        <v>286162.51299999998</v>
      </c>
      <c r="Q2812" s="18">
        <f t="shared" si="381"/>
        <v>-0.35045954813794911</v>
      </c>
      <c r="R2812" s="18">
        <f t="shared" si="382"/>
        <v>0.80868916956988013</v>
      </c>
      <c r="S2812" s="22"/>
    </row>
    <row r="2813" spans="1:19" x14ac:dyDescent="0.25">
      <c r="A2813" s="3" t="s">
        <v>637</v>
      </c>
      <c r="B2813" s="3" t="s">
        <v>333</v>
      </c>
      <c r="C2813" s="3">
        <v>10</v>
      </c>
      <c r="D2813" s="189">
        <v>55827.071000000004</v>
      </c>
      <c r="E2813" s="4" t="s">
        <v>10</v>
      </c>
      <c r="F2813" s="189">
        <v>1781.0840000000001</v>
      </c>
      <c r="G2813" s="3" t="s">
        <v>335</v>
      </c>
      <c r="J2813" s="6" t="s">
        <v>1197</v>
      </c>
      <c r="K2813" s="119">
        <f>D2845</f>
        <v>361904.45699999999</v>
      </c>
      <c r="L2813" s="119">
        <f>D2846</f>
        <v>795963.78799999994</v>
      </c>
      <c r="M2813" s="18">
        <f t="shared" si="379"/>
        <v>-0.54532547528405906</v>
      </c>
      <c r="N2813" s="73"/>
      <c r="O2813" s="18"/>
      <c r="P2813" s="73">
        <f>D2847</f>
        <v>568393.68500000006</v>
      </c>
      <c r="Q2813" s="18">
        <f t="shared" si="381"/>
        <v>-0.36328557731952993</v>
      </c>
      <c r="R2813" s="18">
        <f t="shared" si="382"/>
        <v>0.40037408754813986</v>
      </c>
      <c r="S2813" s="22"/>
    </row>
    <row r="2814" spans="1:19" x14ac:dyDescent="0.25">
      <c r="A2814" s="3" t="s">
        <v>651</v>
      </c>
      <c r="B2814" s="2" t="s">
        <v>333</v>
      </c>
      <c r="C2814" s="3">
        <v>10</v>
      </c>
      <c r="D2814" s="189">
        <v>38488.675999999999</v>
      </c>
      <c r="E2814" s="4" t="s">
        <v>10</v>
      </c>
      <c r="F2814" s="189">
        <v>1075.319</v>
      </c>
      <c r="G2814" s="3" t="s">
        <v>335</v>
      </c>
      <c r="J2814" s="6" t="s">
        <v>1198</v>
      </c>
      <c r="K2814" s="119">
        <f>D2848</f>
        <v>165291.60999999999</v>
      </c>
      <c r="L2814" s="119">
        <f>D2849</f>
        <v>189575.467</v>
      </c>
      <c r="M2814" s="18">
        <f t="shared" si="379"/>
        <v>-0.12809598934022415</v>
      </c>
      <c r="N2814" s="73"/>
      <c r="O2814" s="18"/>
      <c r="P2814" s="73">
        <f>D2850</f>
        <v>172318.83199999999</v>
      </c>
      <c r="Q2814" s="18">
        <f t="shared" si="381"/>
        <v>-4.0780348371906361E-2</v>
      </c>
      <c r="R2814" s="18">
        <f t="shared" si="382"/>
        <v>0.10014363955298866</v>
      </c>
      <c r="S2814" s="22"/>
    </row>
    <row r="2815" spans="1:19" x14ac:dyDescent="0.25">
      <c r="A2815" s="3" t="s">
        <v>652</v>
      </c>
      <c r="B2815" s="2" t="s">
        <v>333</v>
      </c>
      <c r="C2815" s="3">
        <v>10</v>
      </c>
      <c r="D2815" s="189">
        <v>12167.425999999999</v>
      </c>
      <c r="E2815" s="4" t="s">
        <v>10</v>
      </c>
      <c r="F2815" s="189">
        <v>75.63</v>
      </c>
      <c r="G2815" s="3" t="s">
        <v>335</v>
      </c>
      <c r="J2815" s="6" t="s">
        <v>1199</v>
      </c>
      <c r="K2815" s="119">
        <f>D2851</f>
        <v>111783.14599999999</v>
      </c>
      <c r="L2815" s="119">
        <f>D2852</f>
        <v>103863.486</v>
      </c>
      <c r="M2815" s="18">
        <f t="shared" si="379"/>
        <v>7.625066618695997E-2</v>
      </c>
      <c r="N2815" s="73"/>
      <c r="O2815" s="18"/>
      <c r="P2815" s="73">
        <f>D2853</f>
        <v>91679.861000000004</v>
      </c>
      <c r="Q2815" s="18">
        <f t="shared" si="381"/>
        <v>0.21927700130348127</v>
      </c>
      <c r="R2815" s="18">
        <f t="shared" si="382"/>
        <v>0.1328931443297019</v>
      </c>
      <c r="S2815" s="22"/>
    </row>
    <row r="2816" spans="1:19" x14ac:dyDescent="0.25">
      <c r="A2816" s="2" t="s">
        <v>653</v>
      </c>
      <c r="B2816" s="3" t="s">
        <v>333</v>
      </c>
      <c r="C2816" s="3">
        <v>10</v>
      </c>
      <c r="D2816" s="189">
        <v>29388.955000000002</v>
      </c>
      <c r="E2816" s="3" t="s">
        <v>10</v>
      </c>
      <c r="F2816" s="189">
        <v>142.57499999999999</v>
      </c>
      <c r="G2816" s="3" t="s">
        <v>335</v>
      </c>
      <c r="J2816" s="6" t="s">
        <v>681</v>
      </c>
      <c r="K2816" s="119">
        <f>D2854</f>
        <v>51939.383000000002</v>
      </c>
      <c r="L2816" s="119">
        <f>D2855</f>
        <v>98461.774000000005</v>
      </c>
      <c r="M2816" s="18">
        <f t="shared" si="379"/>
        <v>-0.47249190330452506</v>
      </c>
      <c r="N2816" s="73">
        <f>D2856</f>
        <v>123152.359</v>
      </c>
      <c r="O2816" s="18">
        <f>(K2816/N2816-1)</f>
        <v>-0.57825101019786396</v>
      </c>
      <c r="P2816" s="73">
        <f>D2857</f>
        <v>53195.741999999998</v>
      </c>
      <c r="Q2816" s="18">
        <f t="shared" si="381"/>
        <v>-2.3617660977451882E-2</v>
      </c>
      <c r="R2816" s="18">
        <f t="shared" si="382"/>
        <v>0.8509333698174566</v>
      </c>
      <c r="S2816" s="22">
        <f>(N2816/P2816-1)</f>
        <v>1.3150792595392318</v>
      </c>
    </row>
    <row r="2817" spans="1:19" x14ac:dyDescent="0.25">
      <c r="A2817" s="2" t="s">
        <v>77</v>
      </c>
      <c r="B2817" s="3" t="s">
        <v>333</v>
      </c>
      <c r="C2817" s="3">
        <v>10</v>
      </c>
      <c r="D2817" s="189">
        <v>53128.745000000003</v>
      </c>
      <c r="E2817" s="3" t="s">
        <v>10</v>
      </c>
      <c r="F2817" s="189">
        <v>270.84500000000003</v>
      </c>
      <c r="G2817" s="3" t="s">
        <v>335</v>
      </c>
      <c r="J2817" s="6" t="s">
        <v>573</v>
      </c>
      <c r="K2817" s="119">
        <f>D2858</f>
        <v>1172290.639</v>
      </c>
      <c r="L2817" s="119">
        <f>D2859</f>
        <v>1721152.456</v>
      </c>
      <c r="M2817" s="18">
        <f t="shared" si="379"/>
        <v>-0.31889203950913692</v>
      </c>
      <c r="N2817" s="73"/>
      <c r="O2817" s="18"/>
      <c r="P2817" s="73">
        <f>D2860</f>
        <v>2410738.7650000001</v>
      </c>
      <c r="Q2817" s="18">
        <f t="shared" si="381"/>
        <v>-0.51372141352694434</v>
      </c>
      <c r="R2817" s="18">
        <f t="shared" si="382"/>
        <v>-0.28604771243225102</v>
      </c>
      <c r="S2817" s="22"/>
    </row>
    <row r="2818" spans="1:19" x14ac:dyDescent="0.25">
      <c r="A2818" s="2" t="s">
        <v>78</v>
      </c>
      <c r="B2818" s="3" t="s">
        <v>333</v>
      </c>
      <c r="C2818" s="3">
        <v>10</v>
      </c>
      <c r="D2818" s="189">
        <v>45009.534</v>
      </c>
      <c r="E2818" s="3" t="s">
        <v>10</v>
      </c>
      <c r="F2818" s="189">
        <v>294.78800000000001</v>
      </c>
      <c r="G2818" s="3" t="s">
        <v>335</v>
      </c>
      <c r="J2818" s="6" t="s">
        <v>268</v>
      </c>
      <c r="K2818" s="119">
        <f>D2861</f>
        <v>1013426.4620000001</v>
      </c>
      <c r="L2818" s="119">
        <f>D2862</f>
        <v>1025560.118</v>
      </c>
      <c r="M2818" s="18">
        <f>(K2818/L2818-1)</f>
        <v>-1.1831247907399534E-2</v>
      </c>
      <c r="N2818" s="73"/>
      <c r="O2818" s="18"/>
      <c r="P2818" s="73">
        <f>D2863</f>
        <v>997076.33400000003</v>
      </c>
      <c r="Q2818" s="18">
        <f t="shared" si="381"/>
        <v>1.6398070481131288E-2</v>
      </c>
      <c r="R2818" s="18">
        <f t="shared" si="382"/>
        <v>2.8567305259097564E-2</v>
      </c>
      <c r="S2818" s="22"/>
    </row>
    <row r="2819" spans="1:19" x14ac:dyDescent="0.25">
      <c r="A2819" s="2" t="s">
        <v>79</v>
      </c>
      <c r="B2819" s="3" t="s">
        <v>333</v>
      </c>
      <c r="C2819" s="3">
        <v>10</v>
      </c>
      <c r="D2819" s="189">
        <v>95491.099000000002</v>
      </c>
      <c r="E2819" s="3" t="s">
        <v>10</v>
      </c>
      <c r="F2819" s="189">
        <v>803.64599999999996</v>
      </c>
      <c r="G2819" s="3" t="s">
        <v>335</v>
      </c>
      <c r="J2819" s="6" t="s">
        <v>1200</v>
      </c>
      <c r="K2819" s="119">
        <f>D2864</f>
        <v>39123.83</v>
      </c>
      <c r="L2819" s="119">
        <f>D2865</f>
        <v>1795.634</v>
      </c>
      <c r="M2819" s="18">
        <f>(K2819/L2819-1)</f>
        <v>20.788309867155558</v>
      </c>
      <c r="N2819" s="73"/>
      <c r="O2819" s="18"/>
      <c r="P2819" s="73">
        <f>D2866</f>
        <v>6675.9589999999998</v>
      </c>
      <c r="Q2819" s="18">
        <f t="shared" si="381"/>
        <v>4.8604059731343474</v>
      </c>
      <c r="R2819" s="18">
        <f t="shared" si="382"/>
        <v>-0.7310298041075447</v>
      </c>
      <c r="S2819" s="22"/>
    </row>
    <row r="2820" spans="1:19" ht="20" thickBot="1" x14ac:dyDescent="0.3">
      <c r="A2820" s="2" t="s">
        <v>92</v>
      </c>
      <c r="B2820" s="3" t="s">
        <v>333</v>
      </c>
      <c r="C2820" s="3">
        <v>10</v>
      </c>
      <c r="D2820" s="189">
        <v>69840.907999999996</v>
      </c>
      <c r="E2820" s="3" t="s">
        <v>10</v>
      </c>
      <c r="F2820" s="189">
        <v>206.92099999999999</v>
      </c>
      <c r="G2820" s="3" t="s">
        <v>335</v>
      </c>
      <c r="J2820" s="7" t="s">
        <v>1201</v>
      </c>
      <c r="K2820" s="120">
        <f>D2867</f>
        <v>60905.894999999997</v>
      </c>
      <c r="L2820" s="120">
        <f>D2868</f>
        <v>10860.664000000001</v>
      </c>
      <c r="M2820" s="19">
        <f>(K2820/L2820-1)</f>
        <v>4.6079347450579444</v>
      </c>
      <c r="N2820" s="74"/>
      <c r="O2820" s="19"/>
      <c r="P2820" s="74">
        <f>D2869</f>
        <v>61199.748</v>
      </c>
      <c r="Q2820" s="19">
        <f t="shared" si="381"/>
        <v>-4.8015393788877203E-3</v>
      </c>
      <c r="R2820" s="19">
        <f t="shared" si="382"/>
        <v>-0.82253743920644906</v>
      </c>
      <c r="S2820" s="23"/>
    </row>
    <row r="2821" spans="1:19" x14ac:dyDescent="0.25">
      <c r="A2821" s="2" t="s">
        <v>93</v>
      </c>
      <c r="B2821" s="3" t="s">
        <v>333</v>
      </c>
      <c r="C2821" s="3">
        <v>10</v>
      </c>
      <c r="D2821" s="189">
        <v>38532.025000000001</v>
      </c>
      <c r="E2821" s="3" t="s">
        <v>10</v>
      </c>
      <c r="F2821" s="189">
        <v>1197.7049999999999</v>
      </c>
      <c r="G2821" s="3" t="s">
        <v>335</v>
      </c>
    </row>
    <row r="2822" spans="1:19" x14ac:dyDescent="0.25">
      <c r="A2822" s="2" t="s">
        <v>94</v>
      </c>
      <c r="B2822" s="3" t="s">
        <v>333</v>
      </c>
      <c r="C2822" s="3">
        <v>10</v>
      </c>
      <c r="D2822" s="189">
        <v>110251.106</v>
      </c>
      <c r="E2822" s="3" t="s">
        <v>10</v>
      </c>
      <c r="F2822" s="189">
        <v>3050.5940000000001</v>
      </c>
      <c r="G2822" s="3" t="s">
        <v>335</v>
      </c>
    </row>
    <row r="2823" spans="1:19" x14ac:dyDescent="0.25">
      <c r="A2823" s="2" t="s">
        <v>145</v>
      </c>
      <c r="B2823" s="3" t="s">
        <v>333</v>
      </c>
      <c r="C2823" s="3">
        <v>10</v>
      </c>
      <c r="D2823" s="189">
        <v>246075.71100000001</v>
      </c>
      <c r="E2823" s="3" t="s">
        <v>10</v>
      </c>
      <c r="F2823" s="189">
        <v>1621.0709999999999</v>
      </c>
      <c r="G2823" s="3" t="s">
        <v>335</v>
      </c>
    </row>
    <row r="2824" spans="1:19" x14ac:dyDescent="0.25">
      <c r="A2824" s="2" t="s">
        <v>146</v>
      </c>
      <c r="B2824" s="3" t="s">
        <v>333</v>
      </c>
      <c r="C2824" s="3">
        <v>10</v>
      </c>
      <c r="D2824" s="189">
        <v>437234.17300000001</v>
      </c>
      <c r="E2824" s="3" t="s">
        <v>10</v>
      </c>
      <c r="F2824" s="189">
        <v>3143.2089999999998</v>
      </c>
      <c r="G2824" s="3" t="s">
        <v>335</v>
      </c>
    </row>
    <row r="2825" spans="1:19" x14ac:dyDescent="0.25">
      <c r="A2825" s="2" t="s">
        <v>147</v>
      </c>
      <c r="B2825" s="3" t="s">
        <v>333</v>
      </c>
      <c r="C2825" s="3">
        <v>10</v>
      </c>
      <c r="D2825" s="189">
        <v>286990.57299999997</v>
      </c>
      <c r="E2825" s="3" t="s">
        <v>10</v>
      </c>
      <c r="F2825" s="189">
        <v>6854.3819999999996</v>
      </c>
      <c r="G2825" s="3" t="s">
        <v>335</v>
      </c>
    </row>
    <row r="2826" spans="1:19" x14ac:dyDescent="0.25">
      <c r="A2826" s="2" t="s">
        <v>148</v>
      </c>
      <c r="B2826" s="3" t="s">
        <v>333</v>
      </c>
      <c r="C2826" s="3">
        <v>10</v>
      </c>
      <c r="D2826" s="189">
        <v>977862.43400000001</v>
      </c>
      <c r="E2826" s="3" t="s">
        <v>10</v>
      </c>
      <c r="F2826" s="189">
        <v>6309.5969999999998</v>
      </c>
      <c r="G2826" s="3" t="s">
        <v>335</v>
      </c>
    </row>
    <row r="2827" spans="1:19" x14ac:dyDescent="0.25">
      <c r="A2827" s="2" t="s">
        <v>177</v>
      </c>
      <c r="B2827" s="3" t="s">
        <v>333</v>
      </c>
      <c r="C2827" s="3">
        <v>10</v>
      </c>
      <c r="D2827" s="189">
        <v>159572.27100000001</v>
      </c>
      <c r="E2827" s="3" t="s">
        <v>10</v>
      </c>
      <c r="F2827" s="189">
        <v>1349.54</v>
      </c>
      <c r="G2827" s="3" t="s">
        <v>335</v>
      </c>
    </row>
    <row r="2828" spans="1:19" x14ac:dyDescent="0.25">
      <c r="A2828" s="2" t="s">
        <v>178</v>
      </c>
      <c r="B2828" s="3" t="s">
        <v>333</v>
      </c>
      <c r="C2828" s="3">
        <v>10</v>
      </c>
      <c r="D2828" s="189">
        <v>126816.425</v>
      </c>
      <c r="E2828" s="3" t="s">
        <v>10</v>
      </c>
      <c r="F2828" s="189">
        <v>636.44100000000003</v>
      </c>
      <c r="G2828" s="3" t="s">
        <v>335</v>
      </c>
    </row>
    <row r="2829" spans="1:19" x14ac:dyDescent="0.25">
      <c r="A2829" s="2" t="s">
        <v>179</v>
      </c>
      <c r="B2829" s="3" t="s">
        <v>333</v>
      </c>
      <c r="C2829" s="3">
        <v>10</v>
      </c>
      <c r="D2829" s="189">
        <v>227851.647</v>
      </c>
      <c r="E2829" s="3" t="s">
        <v>10</v>
      </c>
      <c r="F2829" s="189">
        <v>4507.2790000000005</v>
      </c>
      <c r="G2829" s="3" t="s">
        <v>335</v>
      </c>
    </row>
    <row r="2830" spans="1:19" x14ac:dyDescent="0.25">
      <c r="A2830" s="2" t="s">
        <v>192</v>
      </c>
      <c r="B2830" s="3" t="s">
        <v>333</v>
      </c>
      <c r="C2830" s="3">
        <v>10</v>
      </c>
      <c r="D2830" s="189">
        <v>371730.94699999999</v>
      </c>
      <c r="E2830" s="3" t="s">
        <v>10</v>
      </c>
      <c r="F2830" s="189">
        <v>9788.1370000000006</v>
      </c>
      <c r="G2830" s="3" t="s">
        <v>335</v>
      </c>
    </row>
    <row r="2831" spans="1:19" x14ac:dyDescent="0.25">
      <c r="A2831" s="2" t="s">
        <v>193</v>
      </c>
      <c r="B2831" s="3" t="s">
        <v>333</v>
      </c>
      <c r="C2831" s="3">
        <v>10</v>
      </c>
      <c r="D2831" s="189">
        <v>367952.22899999999</v>
      </c>
      <c r="E2831" s="3" t="s">
        <v>10</v>
      </c>
      <c r="F2831" s="189">
        <v>1779.5129999999999</v>
      </c>
      <c r="G2831" s="3" t="s">
        <v>335</v>
      </c>
    </row>
    <row r="2832" spans="1:19" x14ac:dyDescent="0.25">
      <c r="A2832" s="2" t="s">
        <v>194</v>
      </c>
      <c r="B2832" s="3" t="s">
        <v>333</v>
      </c>
      <c r="C2832" s="3">
        <v>10</v>
      </c>
      <c r="D2832" s="189">
        <v>361890.038</v>
      </c>
      <c r="E2832" s="3" t="s">
        <v>10</v>
      </c>
      <c r="F2832" s="189">
        <v>13016.094999999999</v>
      </c>
      <c r="G2832" s="3" t="s">
        <v>335</v>
      </c>
    </row>
    <row r="2833" spans="1:7" x14ac:dyDescent="0.25">
      <c r="A2833" s="2" t="s">
        <v>766</v>
      </c>
      <c r="B2833" s="3" t="s">
        <v>333</v>
      </c>
      <c r="C2833" s="3">
        <v>10</v>
      </c>
      <c r="D2833" s="189">
        <v>40461.561999999998</v>
      </c>
      <c r="E2833" s="3" t="s">
        <v>10</v>
      </c>
      <c r="F2833" s="189">
        <v>396.99099999999999</v>
      </c>
      <c r="G2833" s="3" t="s">
        <v>335</v>
      </c>
    </row>
    <row r="2834" spans="1:7" x14ac:dyDescent="0.25">
      <c r="A2834" s="2" t="s">
        <v>767</v>
      </c>
      <c r="B2834" s="3" t="s">
        <v>333</v>
      </c>
      <c r="C2834" s="3">
        <v>10</v>
      </c>
      <c r="D2834" s="189">
        <v>6132.6210000000001</v>
      </c>
      <c r="E2834" s="3" t="s">
        <v>10</v>
      </c>
      <c r="F2834" s="189">
        <v>490.96300000000002</v>
      </c>
      <c r="G2834" s="3" t="s">
        <v>335</v>
      </c>
    </row>
    <row r="2835" spans="1:7" x14ac:dyDescent="0.25">
      <c r="A2835" s="2" t="s">
        <v>768</v>
      </c>
      <c r="B2835" s="3" t="s">
        <v>333</v>
      </c>
      <c r="C2835" s="3">
        <v>10</v>
      </c>
      <c r="D2835" s="189">
        <v>66201.983999999997</v>
      </c>
      <c r="E2835" s="3" t="s">
        <v>10</v>
      </c>
      <c r="F2835" s="189">
        <v>1429.441</v>
      </c>
      <c r="G2835" s="3" t="s">
        <v>335</v>
      </c>
    </row>
    <row r="2836" spans="1:7" x14ac:dyDescent="0.25">
      <c r="A2836" s="2" t="s">
        <v>62</v>
      </c>
      <c r="B2836" s="3" t="s">
        <v>333</v>
      </c>
      <c r="C2836" s="3">
        <v>10</v>
      </c>
      <c r="D2836" s="189">
        <v>76621.226999999999</v>
      </c>
      <c r="E2836" s="3" t="s">
        <v>10</v>
      </c>
      <c r="F2836" s="189">
        <v>341.20299999999997</v>
      </c>
      <c r="G2836" s="3" t="s">
        <v>335</v>
      </c>
    </row>
    <row r="2837" spans="1:7" x14ac:dyDescent="0.25">
      <c r="A2837" s="2" t="s">
        <v>63</v>
      </c>
      <c r="B2837" s="3" t="s">
        <v>333</v>
      </c>
      <c r="C2837" s="3">
        <v>10</v>
      </c>
      <c r="D2837" s="189">
        <v>42913.7</v>
      </c>
      <c r="E2837" s="3" t="s">
        <v>10</v>
      </c>
      <c r="F2837" s="189">
        <v>218.37899999999999</v>
      </c>
      <c r="G2837" s="3" t="s">
        <v>335</v>
      </c>
    </row>
    <row r="2838" spans="1:7" x14ac:dyDescent="0.25">
      <c r="A2838" s="2" t="s">
        <v>64</v>
      </c>
      <c r="B2838" s="3" t="s">
        <v>333</v>
      </c>
      <c r="C2838" s="3">
        <v>10</v>
      </c>
      <c r="D2838" s="189">
        <v>80497.331999999995</v>
      </c>
      <c r="E2838" s="3" t="s">
        <v>10</v>
      </c>
      <c r="F2838" s="189">
        <v>4103.2960000000003</v>
      </c>
      <c r="G2838" s="3" t="s">
        <v>335</v>
      </c>
    </row>
    <row r="2839" spans="1:7" x14ac:dyDescent="0.25">
      <c r="A2839" s="2" t="s">
        <v>47</v>
      </c>
      <c r="B2839" s="3" t="s">
        <v>333</v>
      </c>
      <c r="C2839" s="3">
        <v>10</v>
      </c>
      <c r="D2839" s="189">
        <v>113483.71400000001</v>
      </c>
      <c r="E2839" s="3" t="s">
        <v>10</v>
      </c>
      <c r="F2839" s="189">
        <v>284.88</v>
      </c>
      <c r="G2839" s="3" t="s">
        <v>335</v>
      </c>
    </row>
    <row r="2840" spans="1:7" x14ac:dyDescent="0.25">
      <c r="A2840" s="2" t="s">
        <v>48</v>
      </c>
      <c r="B2840" s="3" t="s">
        <v>333</v>
      </c>
      <c r="C2840" s="3">
        <v>10</v>
      </c>
      <c r="D2840" s="189">
        <v>125651.14</v>
      </c>
      <c r="E2840" s="3" t="s">
        <v>10</v>
      </c>
      <c r="F2840" s="189">
        <v>2960.3510000000001</v>
      </c>
      <c r="G2840" s="3" t="s">
        <v>335</v>
      </c>
    </row>
    <row r="2841" spans="1:7" x14ac:dyDescent="0.25">
      <c r="A2841" s="2" t="s">
        <v>49</v>
      </c>
      <c r="B2841" s="3" t="s">
        <v>333</v>
      </c>
      <c r="C2841" s="3">
        <v>10</v>
      </c>
      <c r="D2841" s="189">
        <v>141204.40299999999</v>
      </c>
      <c r="E2841" s="3" t="s">
        <v>10</v>
      </c>
      <c r="F2841" s="189">
        <v>7407.652</v>
      </c>
      <c r="G2841" s="3" t="s">
        <v>335</v>
      </c>
    </row>
    <row r="2842" spans="1:7" x14ac:dyDescent="0.25">
      <c r="A2842" s="2" t="s">
        <v>32</v>
      </c>
      <c r="B2842" s="3" t="s">
        <v>333</v>
      </c>
      <c r="C2842" s="3">
        <v>10</v>
      </c>
      <c r="D2842" s="189">
        <v>185874.128</v>
      </c>
      <c r="E2842" s="3" t="s">
        <v>10</v>
      </c>
      <c r="F2842" s="189">
        <v>4256.9489999999996</v>
      </c>
      <c r="G2842" s="3" t="s">
        <v>335</v>
      </c>
    </row>
    <row r="2843" spans="1:7" x14ac:dyDescent="0.25">
      <c r="A2843" s="2" t="s">
        <v>33</v>
      </c>
      <c r="B2843" s="3" t="s">
        <v>333</v>
      </c>
      <c r="C2843" s="3">
        <v>10</v>
      </c>
      <c r="D2843" s="189">
        <v>517579.038</v>
      </c>
      <c r="E2843" s="3" t="s">
        <v>10</v>
      </c>
      <c r="F2843" s="189">
        <v>89181.323999999993</v>
      </c>
      <c r="G2843" s="3" t="s">
        <v>335</v>
      </c>
    </row>
    <row r="2844" spans="1:7" x14ac:dyDescent="0.25">
      <c r="A2844" s="2" t="s">
        <v>34</v>
      </c>
      <c r="B2844" s="3" t="s">
        <v>333</v>
      </c>
      <c r="C2844" s="3">
        <v>10</v>
      </c>
      <c r="D2844" s="189">
        <v>286162.51299999998</v>
      </c>
      <c r="E2844" s="3" t="s">
        <v>10</v>
      </c>
      <c r="F2844" s="189">
        <v>6967.0749999999998</v>
      </c>
      <c r="G2844" s="3" t="s">
        <v>335</v>
      </c>
    </row>
    <row r="2845" spans="1:7" x14ac:dyDescent="0.25">
      <c r="A2845" s="2" t="s">
        <v>17</v>
      </c>
      <c r="B2845" s="3" t="s">
        <v>333</v>
      </c>
      <c r="C2845" s="3">
        <v>10</v>
      </c>
      <c r="D2845" s="189">
        <v>361904.45699999999</v>
      </c>
      <c r="E2845" s="3" t="s">
        <v>10</v>
      </c>
      <c r="F2845" s="189">
        <v>1819.903</v>
      </c>
      <c r="G2845" s="3" t="s">
        <v>335</v>
      </c>
    </row>
    <row r="2846" spans="1:7" x14ac:dyDescent="0.25">
      <c r="A2846" s="2" t="s">
        <v>18</v>
      </c>
      <c r="B2846" s="3" t="s">
        <v>333</v>
      </c>
      <c r="C2846" s="3">
        <v>10</v>
      </c>
      <c r="D2846" s="189">
        <v>795963.78799999994</v>
      </c>
      <c r="E2846" s="3" t="s">
        <v>10</v>
      </c>
      <c r="F2846" s="189">
        <v>15564.666999999999</v>
      </c>
      <c r="G2846" s="3" t="s">
        <v>335</v>
      </c>
    </row>
    <row r="2847" spans="1:7" x14ac:dyDescent="0.25">
      <c r="A2847" s="2" t="s">
        <v>19</v>
      </c>
      <c r="B2847" s="3" t="s">
        <v>333</v>
      </c>
      <c r="C2847" s="3">
        <v>10</v>
      </c>
      <c r="D2847" s="189">
        <v>568393.68500000006</v>
      </c>
      <c r="E2847" s="3" t="s">
        <v>10</v>
      </c>
      <c r="F2847" s="189">
        <v>2730.8009999999999</v>
      </c>
      <c r="G2847" s="3" t="s">
        <v>335</v>
      </c>
    </row>
    <row r="2848" spans="1:7" x14ac:dyDescent="0.25">
      <c r="A2848" s="2" t="s">
        <v>222</v>
      </c>
      <c r="B2848" s="3" t="s">
        <v>333</v>
      </c>
      <c r="C2848" s="3">
        <v>10</v>
      </c>
      <c r="D2848" s="189">
        <v>165291.60999999999</v>
      </c>
      <c r="E2848" s="3" t="s">
        <v>10</v>
      </c>
      <c r="F2848" s="189">
        <v>4733.0870000000004</v>
      </c>
      <c r="G2848" s="3" t="s">
        <v>335</v>
      </c>
    </row>
    <row r="2849" spans="1:7" x14ac:dyDescent="0.25">
      <c r="A2849" s="2" t="s">
        <v>223</v>
      </c>
      <c r="B2849" s="3" t="s">
        <v>333</v>
      </c>
      <c r="C2849" s="3">
        <v>10</v>
      </c>
      <c r="D2849" s="189">
        <v>189575.467</v>
      </c>
      <c r="E2849" s="3" t="s">
        <v>10</v>
      </c>
      <c r="F2849" s="189">
        <v>9478.9210000000003</v>
      </c>
      <c r="G2849" s="3" t="s">
        <v>335</v>
      </c>
    </row>
    <row r="2850" spans="1:7" x14ac:dyDescent="0.25">
      <c r="A2850" s="2" t="s">
        <v>224</v>
      </c>
      <c r="B2850" s="3" t="s">
        <v>333</v>
      </c>
      <c r="C2850" s="3">
        <v>10</v>
      </c>
      <c r="D2850" s="189">
        <v>172318.83199999999</v>
      </c>
      <c r="E2850" s="3" t="s">
        <v>10</v>
      </c>
      <c r="F2850" s="189">
        <v>13369.821</v>
      </c>
      <c r="G2850" s="3" t="s">
        <v>335</v>
      </c>
    </row>
    <row r="2851" spans="1:7" x14ac:dyDescent="0.25">
      <c r="A2851" s="2" t="s">
        <v>237</v>
      </c>
      <c r="B2851" s="3" t="s">
        <v>333</v>
      </c>
      <c r="C2851" s="3">
        <v>10</v>
      </c>
      <c r="D2851" s="189">
        <v>111783.14599999999</v>
      </c>
      <c r="E2851" s="3" t="s">
        <v>10</v>
      </c>
      <c r="F2851" s="189">
        <v>6241.28</v>
      </c>
      <c r="G2851" s="3" t="s">
        <v>335</v>
      </c>
    </row>
    <row r="2852" spans="1:7" x14ac:dyDescent="0.25">
      <c r="A2852" s="2" t="s">
        <v>238</v>
      </c>
      <c r="B2852" s="3" t="s">
        <v>333</v>
      </c>
      <c r="C2852" s="3">
        <v>10</v>
      </c>
      <c r="D2852" s="189">
        <v>103863.486</v>
      </c>
      <c r="E2852" s="3" t="s">
        <v>10</v>
      </c>
      <c r="F2852" s="189">
        <v>5098.741</v>
      </c>
      <c r="G2852" s="3" t="s">
        <v>335</v>
      </c>
    </row>
    <row r="2853" spans="1:7" x14ac:dyDescent="0.25">
      <c r="A2853" s="2" t="s">
        <v>239</v>
      </c>
      <c r="B2853" s="3" t="s">
        <v>333</v>
      </c>
      <c r="C2853" s="3">
        <v>10</v>
      </c>
      <c r="D2853" s="189">
        <v>91679.861000000004</v>
      </c>
      <c r="E2853" s="3" t="s">
        <v>10</v>
      </c>
      <c r="F2853" s="189">
        <v>3913.3440000000001</v>
      </c>
      <c r="G2853" s="3" t="s">
        <v>335</v>
      </c>
    </row>
    <row r="2854" spans="1:7" x14ac:dyDescent="0.25">
      <c r="A2854" s="2" t="s">
        <v>686</v>
      </c>
      <c r="B2854" s="3" t="s">
        <v>333</v>
      </c>
      <c r="C2854" s="3">
        <v>10</v>
      </c>
      <c r="D2854" s="189">
        <v>51939.383000000002</v>
      </c>
      <c r="E2854" s="3" t="s">
        <v>10</v>
      </c>
      <c r="F2854" s="189">
        <v>1450.769</v>
      </c>
      <c r="G2854" s="3" t="s">
        <v>335</v>
      </c>
    </row>
    <row r="2855" spans="1:7" x14ac:dyDescent="0.25">
      <c r="A2855" s="2" t="s">
        <v>687</v>
      </c>
      <c r="B2855" s="3" t="s">
        <v>333</v>
      </c>
      <c r="C2855" s="3">
        <v>10</v>
      </c>
      <c r="D2855" s="189">
        <v>98461.774000000005</v>
      </c>
      <c r="E2855" s="3" t="s">
        <v>10</v>
      </c>
      <c r="F2855" s="189">
        <v>3613.5360000000001</v>
      </c>
      <c r="G2855" s="3" t="s">
        <v>335</v>
      </c>
    </row>
    <row r="2856" spans="1:7" x14ac:dyDescent="0.25">
      <c r="A2856" s="3" t="s">
        <v>688</v>
      </c>
      <c r="B2856" s="3" t="s">
        <v>333</v>
      </c>
      <c r="C2856" s="3">
        <v>10</v>
      </c>
      <c r="D2856" s="189">
        <v>123152.359</v>
      </c>
      <c r="E2856" s="3" t="s">
        <v>10</v>
      </c>
      <c r="F2856" s="189">
        <v>1327.2239999999999</v>
      </c>
      <c r="G2856" s="3" t="s">
        <v>335</v>
      </c>
    </row>
    <row r="2857" spans="1:7" x14ac:dyDescent="0.25">
      <c r="A2857" s="2" t="s">
        <v>689</v>
      </c>
      <c r="B2857" s="3" t="s">
        <v>333</v>
      </c>
      <c r="C2857" s="3">
        <v>10</v>
      </c>
      <c r="D2857" s="189">
        <v>53195.741999999998</v>
      </c>
      <c r="E2857" s="3" t="s">
        <v>10</v>
      </c>
      <c r="F2857" s="189">
        <v>1270.3399999999999</v>
      </c>
      <c r="G2857" s="3" t="s">
        <v>335</v>
      </c>
    </row>
    <row r="2858" spans="1:7" x14ac:dyDescent="0.25">
      <c r="A2858" s="2" t="s">
        <v>319</v>
      </c>
      <c r="B2858" s="3" t="s">
        <v>333</v>
      </c>
      <c r="C2858" s="3">
        <v>10</v>
      </c>
      <c r="D2858" s="189">
        <v>1172290.639</v>
      </c>
      <c r="E2858" s="3" t="s">
        <v>10</v>
      </c>
      <c r="F2858" s="189">
        <v>33782.112999999998</v>
      </c>
      <c r="G2858" s="3" t="s">
        <v>335</v>
      </c>
    </row>
    <row r="2859" spans="1:7" x14ac:dyDescent="0.25">
      <c r="A2859" s="2" t="s">
        <v>320</v>
      </c>
      <c r="B2859" s="3" t="s">
        <v>333</v>
      </c>
      <c r="C2859" s="3">
        <v>10</v>
      </c>
      <c r="D2859" s="189">
        <v>1721152.456</v>
      </c>
      <c r="E2859" s="3" t="s">
        <v>10</v>
      </c>
      <c r="F2859" s="189">
        <v>50237.690999999999</v>
      </c>
      <c r="G2859" s="3" t="s">
        <v>335</v>
      </c>
    </row>
    <row r="2860" spans="1:7" x14ac:dyDescent="0.25">
      <c r="A2860" s="2" t="s">
        <v>321</v>
      </c>
      <c r="B2860" s="3" t="s">
        <v>333</v>
      </c>
      <c r="C2860" s="3">
        <v>10</v>
      </c>
      <c r="D2860" s="189">
        <v>2410738.7650000001</v>
      </c>
      <c r="E2860" s="3" t="s">
        <v>10</v>
      </c>
      <c r="F2860" s="189">
        <v>80094.191999999995</v>
      </c>
      <c r="G2860" s="3" t="s">
        <v>335</v>
      </c>
    </row>
    <row r="2861" spans="1:7" x14ac:dyDescent="0.25">
      <c r="A2861" s="2" t="s">
        <v>207</v>
      </c>
      <c r="B2861" s="3" t="s">
        <v>333</v>
      </c>
      <c r="C2861" s="3">
        <v>10</v>
      </c>
      <c r="D2861" s="189">
        <v>1013426.4620000001</v>
      </c>
      <c r="E2861" s="3" t="s">
        <v>10</v>
      </c>
      <c r="F2861" s="189">
        <v>36702.623</v>
      </c>
      <c r="G2861" s="3" t="s">
        <v>335</v>
      </c>
    </row>
    <row r="2862" spans="1:7" x14ac:dyDescent="0.25">
      <c r="A2862" s="2" t="s">
        <v>208</v>
      </c>
      <c r="B2862" s="3" t="s">
        <v>333</v>
      </c>
      <c r="C2862" s="3">
        <v>10</v>
      </c>
      <c r="D2862" s="189">
        <v>1025560.118</v>
      </c>
      <c r="E2862" s="3" t="s">
        <v>10</v>
      </c>
      <c r="F2862" s="189">
        <v>31690.804</v>
      </c>
      <c r="G2862" s="3" t="s">
        <v>335</v>
      </c>
    </row>
    <row r="2863" spans="1:7" x14ac:dyDescent="0.25">
      <c r="A2863" s="2" t="s">
        <v>209</v>
      </c>
      <c r="B2863" s="3" t="s">
        <v>333</v>
      </c>
      <c r="C2863" s="3">
        <v>10</v>
      </c>
      <c r="D2863" s="189">
        <v>997076.33400000003</v>
      </c>
      <c r="E2863" s="3" t="s">
        <v>10</v>
      </c>
      <c r="F2863" s="189">
        <v>6725.1670000000004</v>
      </c>
      <c r="G2863" s="3" t="s">
        <v>335</v>
      </c>
    </row>
    <row r="2864" spans="1:7" x14ac:dyDescent="0.25">
      <c r="A2864" s="2" t="s">
        <v>593</v>
      </c>
      <c r="B2864" s="3" t="s">
        <v>333</v>
      </c>
      <c r="C2864" s="3">
        <v>10</v>
      </c>
      <c r="D2864" s="189">
        <v>39123.83</v>
      </c>
      <c r="E2864" s="3" t="s">
        <v>10</v>
      </c>
      <c r="F2864" s="189">
        <v>1814.354</v>
      </c>
      <c r="G2864" s="3" t="s">
        <v>335</v>
      </c>
    </row>
    <row r="2865" spans="1:19" x14ac:dyDescent="0.25">
      <c r="A2865" s="2" t="s">
        <v>594</v>
      </c>
      <c r="B2865" s="3" t="s">
        <v>333</v>
      </c>
      <c r="C2865" s="3">
        <v>10</v>
      </c>
      <c r="D2865" s="189">
        <v>1795.634</v>
      </c>
      <c r="E2865" s="3" t="s">
        <v>10</v>
      </c>
      <c r="F2865" s="189">
        <v>74</v>
      </c>
      <c r="G2865" s="3" t="s">
        <v>335</v>
      </c>
    </row>
    <row r="2866" spans="1:19" x14ac:dyDescent="0.25">
      <c r="A2866" s="2" t="s">
        <v>595</v>
      </c>
      <c r="B2866" s="3" t="s">
        <v>333</v>
      </c>
      <c r="C2866" s="3">
        <v>10</v>
      </c>
      <c r="D2866" s="189">
        <v>6675.9589999999998</v>
      </c>
      <c r="E2866" s="3" t="s">
        <v>10</v>
      </c>
      <c r="F2866" s="189">
        <v>11.308999999999999</v>
      </c>
      <c r="G2866" s="3" t="s">
        <v>335</v>
      </c>
    </row>
    <row r="2867" spans="1:19" x14ac:dyDescent="0.25">
      <c r="A2867" s="2" t="s">
        <v>609</v>
      </c>
      <c r="B2867" s="3" t="s">
        <v>333</v>
      </c>
      <c r="C2867" s="3">
        <v>10</v>
      </c>
      <c r="D2867" s="189">
        <v>60905.894999999997</v>
      </c>
      <c r="E2867" s="3" t="s">
        <v>10</v>
      </c>
      <c r="F2867" s="189">
        <v>220.31100000000001</v>
      </c>
      <c r="G2867" s="3" t="s">
        <v>335</v>
      </c>
    </row>
    <row r="2868" spans="1:19" x14ac:dyDescent="0.25">
      <c r="A2868" s="2" t="s">
        <v>610</v>
      </c>
      <c r="B2868" s="3" t="s">
        <v>333</v>
      </c>
      <c r="C2868" s="3">
        <v>10</v>
      </c>
      <c r="D2868" s="189">
        <v>10860.664000000001</v>
      </c>
      <c r="E2868" s="3" t="s">
        <v>10</v>
      </c>
      <c r="F2868" s="189">
        <v>203.64699999999999</v>
      </c>
      <c r="G2868" s="3" t="s">
        <v>335</v>
      </c>
    </row>
    <row r="2869" spans="1:19" x14ac:dyDescent="0.25">
      <c r="A2869" s="2" t="s">
        <v>611</v>
      </c>
      <c r="B2869" s="3" t="s">
        <v>333</v>
      </c>
      <c r="C2869" s="3">
        <v>10</v>
      </c>
      <c r="D2869" s="189">
        <v>61199.748</v>
      </c>
      <c r="E2869" s="3" t="s">
        <v>10</v>
      </c>
      <c r="F2869" s="189">
        <v>234.197</v>
      </c>
      <c r="G2869" s="3" t="s">
        <v>335</v>
      </c>
    </row>
    <row r="2870" spans="1:19" s="114" customFormat="1" x14ac:dyDescent="0.25">
      <c r="A2870" s="117" t="s">
        <v>1222</v>
      </c>
      <c r="D2870" s="193"/>
      <c r="F2870" s="193"/>
      <c r="J2870" s="117" t="s">
        <v>1222</v>
      </c>
      <c r="K2870" s="122"/>
      <c r="L2870" s="122"/>
      <c r="M2870" s="116"/>
      <c r="N2870" s="115"/>
      <c r="O2870" s="116"/>
      <c r="P2870" s="115"/>
      <c r="Q2870" s="116"/>
      <c r="R2870" s="116"/>
      <c r="S2870" s="116"/>
    </row>
    <row r="2871" spans="1:19" x14ac:dyDescent="0.25">
      <c r="A2871" t="s">
        <v>1203</v>
      </c>
      <c r="B2871"/>
      <c r="C2871"/>
      <c r="D2871" s="194"/>
      <c r="E2871"/>
      <c r="F2871" s="194"/>
      <c r="G2871"/>
      <c r="H2871"/>
    </row>
    <row r="2872" spans="1:19" ht="20" thickBot="1" x14ac:dyDescent="0.3">
      <c r="A2872" t="s">
        <v>2</v>
      </c>
      <c r="B2872" t="s">
        <v>3</v>
      </c>
      <c r="C2872" t="s">
        <v>4</v>
      </c>
      <c r="D2872" s="194" t="s">
        <v>5</v>
      </c>
      <c r="E2872" t="s">
        <v>6</v>
      </c>
      <c r="F2872" s="194" t="s">
        <v>7</v>
      </c>
      <c r="G2872"/>
      <c r="H2872"/>
    </row>
    <row r="2873" spans="1:19" x14ac:dyDescent="0.25">
      <c r="A2873" t="s">
        <v>776</v>
      </c>
      <c r="B2873" t="s">
        <v>333</v>
      </c>
      <c r="C2873">
        <v>25</v>
      </c>
      <c r="D2873" s="194">
        <v>82081.207999999999</v>
      </c>
      <c r="E2873" t="s">
        <v>10</v>
      </c>
      <c r="F2873" s="194">
        <v>2273.9749999999999</v>
      </c>
      <c r="G2873" t="s">
        <v>335</v>
      </c>
      <c r="H2873"/>
      <c r="J2873" s="5" t="s">
        <v>627</v>
      </c>
      <c r="K2873" s="72" t="s">
        <v>340</v>
      </c>
      <c r="L2873" s="72" t="s">
        <v>341</v>
      </c>
      <c r="M2873" s="21" t="s">
        <v>162</v>
      </c>
      <c r="N2873" s="72" t="s">
        <v>342</v>
      </c>
      <c r="O2873" s="21" t="s">
        <v>162</v>
      </c>
    </row>
    <row r="2874" spans="1:19" x14ac:dyDescent="0.25">
      <c r="A2874" t="s">
        <v>777</v>
      </c>
      <c r="B2874" t="s">
        <v>333</v>
      </c>
      <c r="C2874">
        <v>25</v>
      </c>
      <c r="D2874" s="194">
        <v>10255.267</v>
      </c>
      <c r="E2874" t="s">
        <v>10</v>
      </c>
      <c r="F2874" s="194">
        <v>240.054</v>
      </c>
      <c r="G2874" t="s">
        <v>335</v>
      </c>
      <c r="H2874"/>
      <c r="J2874" s="6">
        <v>1</v>
      </c>
      <c r="K2874" s="119">
        <f>D2873</f>
        <v>82081.207999999999</v>
      </c>
      <c r="L2874" s="119">
        <f>D2874</f>
        <v>10255.267</v>
      </c>
      <c r="M2874" s="18">
        <f t="shared" ref="M2874:M2877" si="383">(K2874/L2874-1)</f>
        <v>7.0038099446850097</v>
      </c>
      <c r="N2874" s="73">
        <f>D2875</f>
        <v>6905.0150000000003</v>
      </c>
      <c r="O2874" s="22">
        <f t="shared" ref="O2874:O2877" si="384">(K2874/N2874-1)</f>
        <v>10.887187500678854</v>
      </c>
    </row>
    <row r="2875" spans="1:19" x14ac:dyDescent="0.25">
      <c r="A2875" t="s">
        <v>1172</v>
      </c>
      <c r="B2875" t="s">
        <v>333</v>
      </c>
      <c r="C2875">
        <v>25</v>
      </c>
      <c r="D2875" s="194">
        <v>6905.0150000000003</v>
      </c>
      <c r="E2875" t="s">
        <v>10</v>
      </c>
      <c r="F2875" s="194">
        <v>153.14699999999999</v>
      </c>
      <c r="G2875" t="s">
        <v>335</v>
      </c>
      <c r="H2875"/>
      <c r="J2875" s="6">
        <v>2</v>
      </c>
      <c r="K2875" s="119">
        <f>D2876</f>
        <v>107498.773</v>
      </c>
      <c r="L2875" s="119">
        <f>D2877</f>
        <v>98749.774999999994</v>
      </c>
      <c r="M2875" s="18">
        <f t="shared" si="383"/>
        <v>8.8597649969329062E-2</v>
      </c>
      <c r="N2875" s="73">
        <f>D2878</f>
        <v>130895.74099999999</v>
      </c>
      <c r="O2875" s="22">
        <f t="shared" si="384"/>
        <v>-0.17874506703774262</v>
      </c>
    </row>
    <row r="2876" spans="1:19" x14ac:dyDescent="0.25">
      <c r="A2876" t="s">
        <v>621</v>
      </c>
      <c r="B2876" t="s">
        <v>333</v>
      </c>
      <c r="C2876">
        <v>25</v>
      </c>
      <c r="D2876" s="194">
        <v>107498.773</v>
      </c>
      <c r="E2876" t="s">
        <v>10</v>
      </c>
      <c r="F2876" s="194">
        <v>6080.0240000000003</v>
      </c>
      <c r="G2876" t="s">
        <v>335</v>
      </c>
      <c r="H2876"/>
      <c r="J2876" s="67">
        <v>3</v>
      </c>
      <c r="K2876" s="119">
        <f>D2879</f>
        <v>163008.08100000001</v>
      </c>
      <c r="L2876" s="119">
        <f>D2880</f>
        <v>230918.02900000001</v>
      </c>
      <c r="M2876" s="18">
        <f t="shared" si="383"/>
        <v>-0.29408681640877854</v>
      </c>
      <c r="N2876" s="73">
        <f>D2881</f>
        <v>128509.545</v>
      </c>
      <c r="O2876" s="22">
        <f t="shared" si="384"/>
        <v>0.26845115668256403</v>
      </c>
    </row>
    <row r="2877" spans="1:19" x14ac:dyDescent="0.25">
      <c r="A2877" t="s">
        <v>622</v>
      </c>
      <c r="B2877" t="s">
        <v>333</v>
      </c>
      <c r="C2877">
        <v>25</v>
      </c>
      <c r="D2877" s="194">
        <v>98749.774999999994</v>
      </c>
      <c r="E2877" t="s">
        <v>10</v>
      </c>
      <c r="F2877" s="194">
        <v>2641.931</v>
      </c>
      <c r="G2877" t="s">
        <v>335</v>
      </c>
      <c r="H2877"/>
      <c r="J2877" s="67">
        <v>5</v>
      </c>
      <c r="K2877" s="119">
        <f>D2882</f>
        <v>271527.679</v>
      </c>
      <c r="L2877" s="119">
        <f>D2883</f>
        <v>339876.473</v>
      </c>
      <c r="M2877" s="18">
        <f t="shared" si="383"/>
        <v>-0.20109892690336351</v>
      </c>
      <c r="N2877" s="73">
        <f>D2884</f>
        <v>189864.65599999999</v>
      </c>
      <c r="O2877" s="22">
        <f t="shared" si="384"/>
        <v>0.43011176866957279</v>
      </c>
    </row>
    <row r="2878" spans="1:19" ht="20" thickBot="1" x14ac:dyDescent="0.3">
      <c r="A2878" t="s">
        <v>1173</v>
      </c>
      <c r="B2878" t="s">
        <v>333</v>
      </c>
      <c r="C2878">
        <v>25</v>
      </c>
      <c r="D2878" s="194">
        <v>130895.74099999999</v>
      </c>
      <c r="E2878" t="s">
        <v>10</v>
      </c>
      <c r="F2878" s="194">
        <v>6382.5330000000004</v>
      </c>
      <c r="G2878" t="s">
        <v>335</v>
      </c>
      <c r="H2878"/>
      <c r="J2878" s="7">
        <v>10</v>
      </c>
      <c r="K2878" s="120">
        <f>Измерения!D2885</f>
        <v>422437.636</v>
      </c>
      <c r="L2878" s="120">
        <f>D2886</f>
        <v>511811.69099999999</v>
      </c>
      <c r="M2878" s="19">
        <f>(K2878/L2878-1)</f>
        <v>-0.17462292591514872</v>
      </c>
      <c r="N2878" s="74">
        <f>D2887</f>
        <v>307312.386</v>
      </c>
      <c r="O2878" s="23">
        <f>(K2878/N2878-1)</f>
        <v>0.37461962239296143</v>
      </c>
    </row>
    <row r="2879" spans="1:19" x14ac:dyDescent="0.25">
      <c r="A2879" t="s">
        <v>1204</v>
      </c>
      <c r="B2879" t="s">
        <v>333</v>
      </c>
      <c r="C2879">
        <v>25</v>
      </c>
      <c r="D2879" s="194">
        <v>163008.08100000001</v>
      </c>
      <c r="E2879" t="s">
        <v>10</v>
      </c>
      <c r="F2879" s="194">
        <v>5202.7309999999998</v>
      </c>
      <c r="G2879" t="s">
        <v>335</v>
      </c>
      <c r="H2879"/>
    </row>
    <row r="2880" spans="1:19" x14ac:dyDescent="0.25">
      <c r="A2880" t="s">
        <v>1205</v>
      </c>
      <c r="B2880" t="s">
        <v>333</v>
      </c>
      <c r="C2880">
        <v>25</v>
      </c>
      <c r="D2880" s="194">
        <v>230918.02900000001</v>
      </c>
      <c r="E2880" t="s">
        <v>10</v>
      </c>
      <c r="F2880" s="194">
        <v>5773.8860000000004</v>
      </c>
      <c r="G2880" t="s">
        <v>335</v>
      </c>
      <c r="H2880"/>
    </row>
    <row r="2881" spans="1:8" x14ac:dyDescent="0.25">
      <c r="A2881" t="s">
        <v>1206</v>
      </c>
      <c r="B2881" t="s">
        <v>333</v>
      </c>
      <c r="C2881">
        <v>25</v>
      </c>
      <c r="D2881" s="194">
        <v>128509.545</v>
      </c>
      <c r="E2881" t="s">
        <v>10</v>
      </c>
      <c r="F2881" s="194">
        <v>2165.2109999999998</v>
      </c>
      <c r="G2881" t="s">
        <v>335</v>
      </c>
      <c r="H2881"/>
    </row>
    <row r="2882" spans="1:8" x14ac:dyDescent="0.25">
      <c r="A2882" t="s">
        <v>1207</v>
      </c>
      <c r="B2882" t="s">
        <v>333</v>
      </c>
      <c r="C2882">
        <v>25</v>
      </c>
      <c r="D2882" s="194">
        <v>271527.679</v>
      </c>
      <c r="E2882" t="s">
        <v>10</v>
      </c>
      <c r="F2882" s="194">
        <v>6649.3249999999998</v>
      </c>
      <c r="G2882" t="s">
        <v>335</v>
      </c>
      <c r="H2882"/>
    </row>
    <row r="2883" spans="1:8" x14ac:dyDescent="0.25">
      <c r="A2883" t="s">
        <v>1208</v>
      </c>
      <c r="B2883" t="s">
        <v>333</v>
      </c>
      <c r="C2883">
        <v>25</v>
      </c>
      <c r="D2883" s="194">
        <v>339876.473</v>
      </c>
      <c r="E2883" t="s">
        <v>10</v>
      </c>
      <c r="F2883" s="194">
        <v>5311.2520000000004</v>
      </c>
      <c r="G2883" t="s">
        <v>335</v>
      </c>
      <c r="H2883"/>
    </row>
    <row r="2884" spans="1:8" x14ac:dyDescent="0.25">
      <c r="A2884" t="s">
        <v>1209</v>
      </c>
      <c r="B2884" t="s">
        <v>333</v>
      </c>
      <c r="C2884">
        <v>25</v>
      </c>
      <c r="D2884" s="194">
        <v>189864.65599999999</v>
      </c>
      <c r="E2884" t="s">
        <v>10</v>
      </c>
      <c r="F2884" s="194">
        <v>3543.058</v>
      </c>
      <c r="G2884" t="s">
        <v>335</v>
      </c>
      <c r="H2884"/>
    </row>
    <row r="2885" spans="1:8" x14ac:dyDescent="0.25">
      <c r="A2885" t="s">
        <v>1210</v>
      </c>
      <c r="B2885" t="s">
        <v>333</v>
      </c>
      <c r="C2885">
        <v>25</v>
      </c>
      <c r="D2885" s="194">
        <v>422437.636</v>
      </c>
      <c r="E2885" t="s">
        <v>10</v>
      </c>
      <c r="F2885" s="194">
        <v>10692.609</v>
      </c>
      <c r="G2885" t="s">
        <v>335</v>
      </c>
      <c r="H2885"/>
    </row>
    <row r="2886" spans="1:8" x14ac:dyDescent="0.25">
      <c r="A2886" t="s">
        <v>1211</v>
      </c>
      <c r="B2886" t="s">
        <v>333</v>
      </c>
      <c r="C2886">
        <v>25</v>
      </c>
      <c r="D2886" s="194">
        <v>511811.69099999999</v>
      </c>
      <c r="E2886" t="s">
        <v>10</v>
      </c>
      <c r="F2886" s="194">
        <v>10146.142</v>
      </c>
      <c r="G2886" t="s">
        <v>335</v>
      </c>
      <c r="H2886"/>
    </row>
    <row r="2887" spans="1:8" x14ac:dyDescent="0.25">
      <c r="A2887" t="s">
        <v>1212</v>
      </c>
      <c r="B2887" t="s">
        <v>333</v>
      </c>
      <c r="C2887">
        <v>25</v>
      </c>
      <c r="D2887" s="194">
        <v>307312.386</v>
      </c>
      <c r="E2887" t="s">
        <v>10</v>
      </c>
      <c r="F2887" s="194">
        <v>4393.3900000000003</v>
      </c>
      <c r="G2887" t="s">
        <v>335</v>
      </c>
      <c r="H2887"/>
    </row>
    <row r="2888" spans="1:8" x14ac:dyDescent="0.25">
      <c r="A2888"/>
      <c r="B2888"/>
      <c r="C2888"/>
      <c r="D2888" s="194"/>
      <c r="E2888"/>
      <c r="F2888" s="194"/>
      <c r="G2888"/>
      <c r="H2888"/>
    </row>
    <row r="2889" spans="1:8" x14ac:dyDescent="0.25">
      <c r="A2889" t="s">
        <v>1213</v>
      </c>
      <c r="B2889"/>
      <c r="C2889"/>
      <c r="D2889" s="194"/>
      <c r="E2889"/>
      <c r="F2889" s="194"/>
      <c r="G2889"/>
      <c r="H2889"/>
    </row>
    <row r="2890" spans="1:8" x14ac:dyDescent="0.25">
      <c r="A2890" t="s">
        <v>2</v>
      </c>
      <c r="B2890" t="s">
        <v>3</v>
      </c>
      <c r="C2890" t="s">
        <v>4</v>
      </c>
      <c r="D2890" s="194" t="s">
        <v>5</v>
      </c>
      <c r="E2890" t="s">
        <v>6</v>
      </c>
      <c r="F2890" s="194" t="s">
        <v>7</v>
      </c>
      <c r="G2890"/>
      <c r="H2890"/>
    </row>
    <row r="2891" spans="1:8" x14ac:dyDescent="0.25">
      <c r="A2891" t="s">
        <v>1214</v>
      </c>
      <c r="B2891" t="s">
        <v>333</v>
      </c>
      <c r="C2891">
        <v>25</v>
      </c>
      <c r="D2891" s="194">
        <v>47306.438999999998</v>
      </c>
      <c r="E2891" t="s">
        <v>10</v>
      </c>
      <c r="F2891" s="194">
        <v>1283.867</v>
      </c>
      <c r="G2891" t="s">
        <v>335</v>
      </c>
      <c r="H2891"/>
    </row>
    <row r="2892" spans="1:8" x14ac:dyDescent="0.25">
      <c r="A2892" t="s">
        <v>1215</v>
      </c>
      <c r="B2892" t="s">
        <v>333</v>
      </c>
      <c r="C2892">
        <v>25</v>
      </c>
      <c r="D2892" s="194">
        <v>34841.675999999999</v>
      </c>
      <c r="E2892" t="s">
        <v>10</v>
      </c>
      <c r="F2892" s="194">
        <v>839.58900000000006</v>
      </c>
      <c r="G2892" t="s">
        <v>335</v>
      </c>
      <c r="H2892"/>
    </row>
    <row r="2893" spans="1:8" x14ac:dyDescent="0.25">
      <c r="A2893" t="s">
        <v>1216</v>
      </c>
      <c r="B2893" t="s">
        <v>333</v>
      </c>
      <c r="C2893">
        <v>25</v>
      </c>
      <c r="D2893" s="194">
        <v>6233.058</v>
      </c>
      <c r="E2893" t="s">
        <v>10</v>
      </c>
      <c r="F2893" s="194">
        <v>183.59299999999999</v>
      </c>
      <c r="G2893" t="s">
        <v>335</v>
      </c>
      <c r="H2893"/>
    </row>
    <row r="2894" spans="1:8" x14ac:dyDescent="0.25">
      <c r="A2894" t="s">
        <v>1217</v>
      </c>
      <c r="B2894" t="s">
        <v>333</v>
      </c>
      <c r="C2894">
        <v>25</v>
      </c>
      <c r="D2894" s="194">
        <v>47189.108</v>
      </c>
      <c r="E2894" t="s">
        <v>10</v>
      </c>
      <c r="F2894" s="194">
        <v>1285.6869999999999</v>
      </c>
      <c r="G2894" t="s">
        <v>335</v>
      </c>
      <c r="H2894"/>
    </row>
    <row r="2895" spans="1:8" x14ac:dyDescent="0.25">
      <c r="A2895" t="s">
        <v>1218</v>
      </c>
      <c r="B2895" t="s">
        <v>333</v>
      </c>
      <c r="C2895">
        <v>25</v>
      </c>
      <c r="D2895" s="194">
        <v>98673.544999999998</v>
      </c>
      <c r="E2895" t="s">
        <v>10</v>
      </c>
      <c r="F2895" s="194">
        <v>2605.0320000000002</v>
      </c>
      <c r="G2895" t="s">
        <v>335</v>
      </c>
      <c r="H2895"/>
    </row>
    <row r="2896" spans="1:8" x14ac:dyDescent="0.25">
      <c r="A2896" t="s">
        <v>1219</v>
      </c>
      <c r="B2896" t="s">
        <v>333</v>
      </c>
      <c r="C2896">
        <v>25</v>
      </c>
      <c r="D2896" s="194">
        <v>140027.057</v>
      </c>
      <c r="E2896" t="s">
        <v>10</v>
      </c>
      <c r="F2896" s="194">
        <v>3273.7649999999999</v>
      </c>
      <c r="G2896" t="s">
        <v>335</v>
      </c>
      <c r="H2896"/>
    </row>
    <row r="2897" spans="1:15" x14ac:dyDescent="0.25">
      <c r="A2897" t="s">
        <v>1220</v>
      </c>
      <c r="B2897" t="s">
        <v>333</v>
      </c>
      <c r="C2897">
        <v>25</v>
      </c>
      <c r="D2897" s="194">
        <v>237744.30900000001</v>
      </c>
      <c r="E2897" t="s">
        <v>10</v>
      </c>
      <c r="F2897" s="194">
        <v>4766.5320000000002</v>
      </c>
      <c r="G2897" t="s">
        <v>335</v>
      </c>
      <c r="H2897"/>
    </row>
    <row r="2898" spans="1:15" x14ac:dyDescent="0.25">
      <c r="A2898" t="s">
        <v>1221</v>
      </c>
      <c r="B2898" t="s">
        <v>333</v>
      </c>
      <c r="C2898">
        <v>25</v>
      </c>
      <c r="D2898" s="194">
        <v>462895.16800000001</v>
      </c>
      <c r="E2898" t="s">
        <v>10</v>
      </c>
      <c r="F2898" s="194">
        <v>14397.637000000001</v>
      </c>
      <c r="G2898" t="s">
        <v>335</v>
      </c>
      <c r="H2898"/>
    </row>
    <row r="2899" spans="1:15" x14ac:dyDescent="0.25">
      <c r="A2899"/>
      <c r="B2899"/>
      <c r="C2899"/>
      <c r="D2899" s="194"/>
      <c r="E2899"/>
      <c r="F2899" s="194"/>
      <c r="G2899"/>
      <c r="H2899"/>
    </row>
    <row r="2900" spans="1:15" x14ac:dyDescent="0.25">
      <c r="A2900" t="s">
        <v>1225</v>
      </c>
      <c r="B2900"/>
      <c r="C2900"/>
      <c r="D2900" s="194"/>
      <c r="E2900"/>
      <c r="F2900" s="194"/>
      <c r="G2900"/>
      <c r="H2900" s="124"/>
    </row>
    <row r="2901" spans="1:15" ht="20" thickBot="1" x14ac:dyDescent="0.3">
      <c r="A2901" t="s">
        <v>2</v>
      </c>
      <c r="B2901" t="s">
        <v>3</v>
      </c>
      <c r="C2901" t="s">
        <v>4</v>
      </c>
      <c r="D2901" s="194" t="s">
        <v>5</v>
      </c>
      <c r="E2901" t="s">
        <v>6</v>
      </c>
      <c r="F2901" s="194" t="s">
        <v>7</v>
      </c>
      <c r="G2901"/>
      <c r="H2901" s="124"/>
    </row>
    <row r="2902" spans="1:15" x14ac:dyDescent="0.25">
      <c r="A2902" t="s">
        <v>1226</v>
      </c>
      <c r="B2902" t="s">
        <v>333</v>
      </c>
      <c r="C2902">
        <v>25</v>
      </c>
      <c r="D2902" s="194">
        <v>79440.979000000007</v>
      </c>
      <c r="E2902" t="s">
        <v>10</v>
      </c>
      <c r="F2902" s="194">
        <v>2483.393</v>
      </c>
      <c r="G2902" t="s">
        <v>335</v>
      </c>
      <c r="H2902" s="124">
        <f t="shared" ref="H2902:H2916" si="385">F2902/D2902</f>
        <v>3.1260855936833302E-2</v>
      </c>
      <c r="J2902" s="105" t="str">
        <f>A2900</f>
        <v>map_consume</v>
      </c>
      <c r="K2902" s="72" t="s">
        <v>340</v>
      </c>
      <c r="L2902" s="72" t="s">
        <v>341</v>
      </c>
      <c r="M2902" s="17" t="s">
        <v>162</v>
      </c>
      <c r="N2902" s="72" t="s">
        <v>342</v>
      </c>
      <c r="O2902" s="21" t="s">
        <v>162</v>
      </c>
    </row>
    <row r="2903" spans="1:15" x14ac:dyDescent="0.25">
      <c r="A2903" t="s">
        <v>1227</v>
      </c>
      <c r="B2903" t="s">
        <v>333</v>
      </c>
      <c r="C2903">
        <v>25</v>
      </c>
      <c r="D2903" s="194">
        <v>83243.862999999998</v>
      </c>
      <c r="E2903" t="s">
        <v>10</v>
      </c>
      <c r="F2903" s="194">
        <v>3495.2489999999998</v>
      </c>
      <c r="G2903" t="s">
        <v>335</v>
      </c>
      <c r="H2903" s="124">
        <f t="shared" si="385"/>
        <v>4.1988068237534822E-2</v>
      </c>
      <c r="J2903" s="6">
        <v>100000</v>
      </c>
      <c r="K2903" s="119">
        <f>D2902</f>
        <v>79440.979000000007</v>
      </c>
      <c r="L2903" s="119">
        <f>D2903</f>
        <v>83243.862999999998</v>
      </c>
      <c r="M2903" s="18">
        <f>(K2903/L2903-1)</f>
        <v>-4.5683655983144278E-2</v>
      </c>
      <c r="N2903" s="73">
        <f>D2904</f>
        <v>67692.205000000002</v>
      </c>
      <c r="O2903" s="22">
        <f>(K2903/N2903-1)</f>
        <v>0.1735616973918932</v>
      </c>
    </row>
    <row r="2904" spans="1:15" x14ac:dyDescent="0.25">
      <c r="A2904" t="s">
        <v>1228</v>
      </c>
      <c r="B2904" t="s">
        <v>333</v>
      </c>
      <c r="C2904">
        <v>25</v>
      </c>
      <c r="D2904" s="194">
        <v>67692.205000000002</v>
      </c>
      <c r="E2904" t="s">
        <v>10</v>
      </c>
      <c r="F2904" s="194">
        <v>2416.63</v>
      </c>
      <c r="G2904" t="s">
        <v>335</v>
      </c>
      <c r="H2904" s="124">
        <f t="shared" si="385"/>
        <v>3.5700270068023343E-2</v>
      </c>
      <c r="J2904" s="6">
        <v>50000</v>
      </c>
      <c r="K2904" s="119">
        <f>D2905</f>
        <v>27199.940999999999</v>
      </c>
      <c r="L2904" s="119">
        <f>D2906</f>
        <v>35131.309000000001</v>
      </c>
      <c r="M2904" s="18">
        <f t="shared" ref="M2904:M2907" si="386">(K2904/L2904-1)</f>
        <v>-0.22576352051100634</v>
      </c>
      <c r="N2904" s="73">
        <f>D2907</f>
        <v>27694.99</v>
      </c>
      <c r="O2904" s="22">
        <f t="shared" ref="O2904:O2907" si="387">(K2904/N2904-1)</f>
        <v>-1.7875038048398073E-2</v>
      </c>
    </row>
    <row r="2905" spans="1:15" x14ac:dyDescent="0.25">
      <c r="A2905" t="s">
        <v>1229</v>
      </c>
      <c r="B2905" t="s">
        <v>333</v>
      </c>
      <c r="C2905">
        <v>25</v>
      </c>
      <c r="D2905" s="194">
        <v>27199.940999999999</v>
      </c>
      <c r="E2905" t="s">
        <v>10</v>
      </c>
      <c r="F2905" s="194">
        <v>805.28099999999995</v>
      </c>
      <c r="G2905" t="s">
        <v>335</v>
      </c>
      <c r="H2905" s="124">
        <f t="shared" si="385"/>
        <v>2.9605983336507973E-2</v>
      </c>
      <c r="J2905" s="6">
        <v>10000</v>
      </c>
      <c r="K2905" s="119">
        <f>D2908</f>
        <v>3931.4169999999999</v>
      </c>
      <c r="L2905" s="119">
        <f>D2909</f>
        <v>5266.5839999999998</v>
      </c>
      <c r="M2905" s="18">
        <f t="shared" si="386"/>
        <v>-0.25351670076846777</v>
      </c>
      <c r="N2905" s="73">
        <f>D2910</f>
        <v>4018.4949999999999</v>
      </c>
      <c r="O2905" s="22">
        <f t="shared" si="387"/>
        <v>-2.1669306543867783E-2</v>
      </c>
    </row>
    <row r="2906" spans="1:15" x14ac:dyDescent="0.25">
      <c r="A2906" t="s">
        <v>1230</v>
      </c>
      <c r="B2906" t="s">
        <v>333</v>
      </c>
      <c r="C2906">
        <v>25</v>
      </c>
      <c r="D2906" s="194">
        <v>35131.309000000001</v>
      </c>
      <c r="E2906" t="s">
        <v>10</v>
      </c>
      <c r="F2906" s="194">
        <v>1218.961</v>
      </c>
      <c r="G2906" t="s">
        <v>335</v>
      </c>
      <c r="H2906" s="124">
        <f t="shared" si="385"/>
        <v>3.4697283838754769E-2</v>
      </c>
      <c r="J2906" s="67">
        <v>1000</v>
      </c>
      <c r="K2906" s="119">
        <f>D2911</f>
        <v>338.34300000000002</v>
      </c>
      <c r="L2906" s="119">
        <f>D2912</f>
        <v>487.13299999999998</v>
      </c>
      <c r="M2906" s="18">
        <f t="shared" si="386"/>
        <v>-0.30544019805679345</v>
      </c>
      <c r="N2906" s="73">
        <f>D2913</f>
        <v>366.01499999999999</v>
      </c>
      <c r="O2906" s="22">
        <f t="shared" si="387"/>
        <v>-7.5603458874636154E-2</v>
      </c>
    </row>
    <row r="2907" spans="1:15" ht="20" thickBot="1" x14ac:dyDescent="0.3">
      <c r="A2907" t="s">
        <v>1231</v>
      </c>
      <c r="B2907" t="s">
        <v>333</v>
      </c>
      <c r="C2907">
        <v>25</v>
      </c>
      <c r="D2907" s="194">
        <v>27694.99</v>
      </c>
      <c r="E2907" t="s">
        <v>10</v>
      </c>
      <c r="F2907" s="194">
        <v>1184.944</v>
      </c>
      <c r="G2907" t="s">
        <v>335</v>
      </c>
      <c r="H2907" s="124">
        <f t="shared" si="385"/>
        <v>4.2785500193356266E-2</v>
      </c>
      <c r="J2907" s="68">
        <v>100</v>
      </c>
      <c r="K2907" s="120">
        <f>D2914</f>
        <v>40.746000000000002</v>
      </c>
      <c r="L2907" s="120">
        <f>D2915</f>
        <v>39.286000000000001</v>
      </c>
      <c r="M2907" s="19">
        <f t="shared" si="386"/>
        <v>3.7163366084610239E-2</v>
      </c>
      <c r="N2907" s="74">
        <f>D2916</f>
        <v>49.451999999999998</v>
      </c>
      <c r="O2907" s="23">
        <f t="shared" si="387"/>
        <v>-0.17604950254792517</v>
      </c>
    </row>
    <row r="2908" spans="1:15" x14ac:dyDescent="0.25">
      <c r="A2908" t="s">
        <v>1232</v>
      </c>
      <c r="B2908" t="s">
        <v>333</v>
      </c>
      <c r="C2908">
        <v>25</v>
      </c>
      <c r="D2908" s="194">
        <v>3931.4169999999999</v>
      </c>
      <c r="E2908" t="s">
        <v>10</v>
      </c>
      <c r="F2908" s="194">
        <v>97.070999999999998</v>
      </c>
      <c r="G2908" t="s">
        <v>335</v>
      </c>
      <c r="H2908" s="124">
        <f t="shared" si="385"/>
        <v>2.4691097382953778E-2</v>
      </c>
    </row>
    <row r="2909" spans="1:15" x14ac:dyDescent="0.25">
      <c r="A2909" t="s">
        <v>1233</v>
      </c>
      <c r="B2909" t="s">
        <v>333</v>
      </c>
      <c r="C2909">
        <v>25</v>
      </c>
      <c r="D2909" s="194">
        <v>5266.5839999999998</v>
      </c>
      <c r="E2909" t="s">
        <v>10</v>
      </c>
      <c r="F2909" s="194">
        <v>186.25800000000001</v>
      </c>
      <c r="G2909" t="s">
        <v>335</v>
      </c>
      <c r="H2909" s="124">
        <f t="shared" si="385"/>
        <v>3.5365998149844383E-2</v>
      </c>
    </row>
    <row r="2910" spans="1:15" x14ac:dyDescent="0.25">
      <c r="A2910" t="s">
        <v>1234</v>
      </c>
      <c r="B2910" t="s">
        <v>333</v>
      </c>
      <c r="C2910">
        <v>25</v>
      </c>
      <c r="D2910" s="194">
        <v>4018.4949999999999</v>
      </c>
      <c r="E2910" t="s">
        <v>10</v>
      </c>
      <c r="F2910" s="194">
        <v>120.70099999999999</v>
      </c>
      <c r="G2910" t="s">
        <v>335</v>
      </c>
      <c r="H2910" s="124">
        <f t="shared" si="385"/>
        <v>3.0036369337276766E-2</v>
      </c>
    </row>
    <row r="2911" spans="1:15" x14ac:dyDescent="0.25">
      <c r="A2911" t="s">
        <v>1235</v>
      </c>
      <c r="B2911" t="s">
        <v>333</v>
      </c>
      <c r="C2911">
        <v>25</v>
      </c>
      <c r="D2911" s="194">
        <v>338.34300000000002</v>
      </c>
      <c r="E2911" t="s">
        <v>10</v>
      </c>
      <c r="F2911" s="194">
        <v>8.2970000000000006</v>
      </c>
      <c r="G2911" t="s">
        <v>335</v>
      </c>
      <c r="H2911" s="124">
        <f t="shared" si="385"/>
        <v>2.4522452067871951E-2</v>
      </c>
    </row>
    <row r="2912" spans="1:15" x14ac:dyDescent="0.25">
      <c r="A2912" t="s">
        <v>1236</v>
      </c>
      <c r="B2912" t="s">
        <v>333</v>
      </c>
      <c r="C2912">
        <v>25</v>
      </c>
      <c r="D2912" s="194">
        <v>487.13299999999998</v>
      </c>
      <c r="E2912" t="s">
        <v>10</v>
      </c>
      <c r="F2912" s="194">
        <v>17.742000000000001</v>
      </c>
      <c r="G2912" t="s">
        <v>335</v>
      </c>
      <c r="H2912" s="124">
        <f t="shared" si="385"/>
        <v>3.6421264829112378E-2</v>
      </c>
    </row>
    <row r="2913" spans="1:15" x14ac:dyDescent="0.25">
      <c r="A2913" t="s">
        <v>1237</v>
      </c>
      <c r="B2913" t="s">
        <v>333</v>
      </c>
      <c r="C2913">
        <v>25</v>
      </c>
      <c r="D2913" s="194">
        <v>366.01499999999999</v>
      </c>
      <c r="E2913" t="s">
        <v>10</v>
      </c>
      <c r="F2913" s="194">
        <v>10.913</v>
      </c>
      <c r="G2913" t="s">
        <v>335</v>
      </c>
      <c r="H2913" s="124">
        <f t="shared" si="385"/>
        <v>2.9815717935057308E-2</v>
      </c>
    </row>
    <row r="2914" spans="1:15" x14ac:dyDescent="0.25">
      <c r="A2914" t="s">
        <v>1238</v>
      </c>
      <c r="B2914" t="s">
        <v>333</v>
      </c>
      <c r="C2914">
        <v>25</v>
      </c>
      <c r="D2914" s="194">
        <v>40.746000000000002</v>
      </c>
      <c r="E2914" t="s">
        <v>10</v>
      </c>
      <c r="F2914" s="194">
        <v>1.1000000000000001</v>
      </c>
      <c r="G2914" t="s">
        <v>335</v>
      </c>
      <c r="H2914" s="124">
        <f t="shared" si="385"/>
        <v>2.6996514995336965E-2</v>
      </c>
    </row>
    <row r="2915" spans="1:15" x14ac:dyDescent="0.25">
      <c r="A2915" t="s">
        <v>1239</v>
      </c>
      <c r="B2915" t="s">
        <v>333</v>
      </c>
      <c r="C2915">
        <v>25</v>
      </c>
      <c r="D2915" s="194">
        <v>39.286000000000001</v>
      </c>
      <c r="E2915" t="s">
        <v>10</v>
      </c>
      <c r="F2915" s="194">
        <v>1.109</v>
      </c>
      <c r="G2915" t="s">
        <v>335</v>
      </c>
      <c r="H2915" s="124">
        <f t="shared" si="385"/>
        <v>2.8228885608104666E-2</v>
      </c>
    </row>
    <row r="2916" spans="1:15" x14ac:dyDescent="0.25">
      <c r="A2916" t="s">
        <v>1240</v>
      </c>
      <c r="B2916" t="s">
        <v>333</v>
      </c>
      <c r="C2916">
        <v>25</v>
      </c>
      <c r="D2916" s="194">
        <v>49.451999999999998</v>
      </c>
      <c r="E2916" t="s">
        <v>10</v>
      </c>
      <c r="F2916" s="194">
        <v>0.93799999999999994</v>
      </c>
      <c r="G2916" t="s">
        <v>335</v>
      </c>
      <c r="H2916" s="124">
        <f t="shared" si="385"/>
        <v>1.8967888053061554E-2</v>
      </c>
    </row>
    <row r="2917" spans="1:15" x14ac:dyDescent="0.25">
      <c r="A2917"/>
      <c r="B2917"/>
      <c r="C2917"/>
      <c r="D2917" s="194"/>
      <c r="E2917"/>
      <c r="F2917" s="194"/>
      <c r="G2917"/>
      <c r="H2917"/>
    </row>
    <row r="2918" spans="1:15" x14ac:dyDescent="0.25">
      <c r="A2918" t="s">
        <v>759</v>
      </c>
      <c r="B2918"/>
      <c r="C2918"/>
      <c r="D2918" s="194"/>
      <c r="E2918"/>
      <c r="F2918" s="194"/>
      <c r="G2918"/>
      <c r="H2918"/>
    </row>
    <row r="2919" spans="1:15" ht="20" thickBot="1" x14ac:dyDescent="0.3">
      <c r="A2919" t="s">
        <v>2</v>
      </c>
      <c r="B2919" t="s">
        <v>3</v>
      </c>
      <c r="C2919" t="s">
        <v>4</v>
      </c>
      <c r="D2919" s="194" t="s">
        <v>5</v>
      </c>
      <c r="E2919" t="s">
        <v>6</v>
      </c>
      <c r="F2919" s="194" t="s">
        <v>7</v>
      </c>
      <c r="G2919"/>
      <c r="H2919"/>
    </row>
    <row r="2920" spans="1:15" x14ac:dyDescent="0.25">
      <c r="A2920" t="s">
        <v>760</v>
      </c>
      <c r="B2920" t="s">
        <v>333</v>
      </c>
      <c r="C2920">
        <v>25</v>
      </c>
      <c r="D2920" s="194">
        <v>839147.87300000002</v>
      </c>
      <c r="E2920" t="s">
        <v>10</v>
      </c>
      <c r="F2920" s="194">
        <v>48979.375</v>
      </c>
      <c r="G2920" t="s">
        <v>335</v>
      </c>
      <c r="H2920"/>
      <c r="J2920" s="105" t="str">
        <f>A2918</f>
        <v>map1</v>
      </c>
      <c r="K2920" s="72" t="s">
        <v>340</v>
      </c>
      <c r="L2920" s="72" t="s">
        <v>341</v>
      </c>
      <c r="M2920" s="17" t="s">
        <v>162</v>
      </c>
      <c r="N2920" s="72" t="s">
        <v>342</v>
      </c>
      <c r="O2920" s="21" t="s">
        <v>162</v>
      </c>
    </row>
    <row r="2921" spans="1:15" x14ac:dyDescent="0.25">
      <c r="A2921" t="s">
        <v>761</v>
      </c>
      <c r="B2921" t="s">
        <v>333</v>
      </c>
      <c r="C2921">
        <v>25</v>
      </c>
      <c r="D2921" s="194">
        <v>105174.63099999999</v>
      </c>
      <c r="E2921" t="s">
        <v>10</v>
      </c>
      <c r="F2921" s="194">
        <v>3866.8629999999998</v>
      </c>
      <c r="G2921" t="s">
        <v>335</v>
      </c>
      <c r="H2921"/>
      <c r="J2921" s="6">
        <v>100000</v>
      </c>
      <c r="K2921" s="119">
        <f>D2920</f>
        <v>839147.87300000002</v>
      </c>
      <c r="L2921" s="119">
        <f>D2921</f>
        <v>105174.63099999999</v>
      </c>
      <c r="M2921" s="18">
        <f>(K2921/L2921-1)</f>
        <v>6.9786148524733127</v>
      </c>
      <c r="N2921" s="73">
        <f>D2922</f>
        <v>432917.65600000002</v>
      </c>
      <c r="O2921" s="22">
        <f>(K2921/N2921-1)</f>
        <v>0.9383544684996632</v>
      </c>
    </row>
    <row r="2922" spans="1:15" x14ac:dyDescent="0.25">
      <c r="A2922" t="s">
        <v>762</v>
      </c>
      <c r="B2922" t="s">
        <v>333</v>
      </c>
      <c r="C2922">
        <v>25</v>
      </c>
      <c r="D2922" s="194">
        <v>432917.65600000002</v>
      </c>
      <c r="E2922" t="s">
        <v>10</v>
      </c>
      <c r="F2922" s="194">
        <v>22414.094000000001</v>
      </c>
      <c r="G2922" t="s">
        <v>335</v>
      </c>
      <c r="H2922"/>
      <c r="J2922" s="6">
        <v>50000</v>
      </c>
      <c r="K2922" s="119">
        <f>D2923</f>
        <v>332155.19300000003</v>
      </c>
      <c r="L2922" s="119">
        <f>D2924</f>
        <v>37243.964999999997</v>
      </c>
      <c r="M2922" s="18">
        <f t="shared" ref="M2922:M2925" si="388">(K2922/L2922-1)</f>
        <v>7.9183628273735103</v>
      </c>
      <c r="N2922" s="73">
        <f>D2925</f>
        <v>202499.93400000001</v>
      </c>
      <c r="O2922" s="22">
        <f t="shared" ref="O2922:O2925" si="389">(K2922/N2922-1)</f>
        <v>0.64027309263221799</v>
      </c>
    </row>
    <row r="2923" spans="1:15" x14ac:dyDescent="0.25">
      <c r="A2923" t="s">
        <v>763</v>
      </c>
      <c r="B2923" t="s">
        <v>333</v>
      </c>
      <c r="C2923">
        <v>25</v>
      </c>
      <c r="D2923" s="194">
        <v>332155.19300000003</v>
      </c>
      <c r="E2923" t="s">
        <v>10</v>
      </c>
      <c r="F2923" s="194">
        <v>8953.6360000000004</v>
      </c>
      <c r="G2923" t="s">
        <v>335</v>
      </c>
      <c r="H2923"/>
      <c r="J2923" s="6">
        <v>10000</v>
      </c>
      <c r="K2923" s="119">
        <f>D2926</f>
        <v>67012.233999999997</v>
      </c>
      <c r="L2923" s="119">
        <f>D2927</f>
        <v>5798.2169999999996</v>
      </c>
      <c r="M2923" s="18">
        <f t="shared" si="388"/>
        <v>10.557386348251541</v>
      </c>
      <c r="N2923" s="73">
        <f>D2928</f>
        <v>48650.911999999997</v>
      </c>
      <c r="O2923" s="22">
        <f t="shared" si="389"/>
        <v>0.37740961567174725</v>
      </c>
    </row>
    <row r="2924" spans="1:15" x14ac:dyDescent="0.25">
      <c r="A2924" t="s">
        <v>764</v>
      </c>
      <c r="B2924" t="s">
        <v>333</v>
      </c>
      <c r="C2924">
        <v>25</v>
      </c>
      <c r="D2924" s="194">
        <v>37243.964999999997</v>
      </c>
      <c r="E2924" t="s">
        <v>10</v>
      </c>
      <c r="F2924" s="194">
        <v>1258.394</v>
      </c>
      <c r="G2924" t="s">
        <v>335</v>
      </c>
      <c r="H2924"/>
      <c r="J2924" s="67">
        <v>1000</v>
      </c>
      <c r="K2924" s="119">
        <f>D2929</f>
        <v>6070.9560000000001</v>
      </c>
      <c r="L2924" s="119">
        <f>D2930</f>
        <v>566.98699999999997</v>
      </c>
      <c r="M2924" s="18">
        <f t="shared" si="388"/>
        <v>9.707398935072586</v>
      </c>
      <c r="N2924" s="73">
        <f>D2931</f>
        <v>4491.0990000000002</v>
      </c>
      <c r="O2924" s="22">
        <f t="shared" si="389"/>
        <v>0.35177514456929138</v>
      </c>
    </row>
    <row r="2925" spans="1:15" ht="20" thickBot="1" x14ac:dyDescent="0.3">
      <c r="A2925" t="s">
        <v>765</v>
      </c>
      <c r="B2925" t="s">
        <v>333</v>
      </c>
      <c r="C2925">
        <v>25</v>
      </c>
      <c r="D2925" s="194">
        <v>202499.93400000001</v>
      </c>
      <c r="E2925" t="s">
        <v>10</v>
      </c>
      <c r="F2925" s="194">
        <v>10358.057000000001</v>
      </c>
      <c r="G2925" t="s">
        <v>335</v>
      </c>
      <c r="H2925"/>
      <c r="J2925" s="68">
        <v>100</v>
      </c>
      <c r="K2925" s="120">
        <f>D2932</f>
        <v>424.012</v>
      </c>
      <c r="L2925" s="120">
        <f>D2933</f>
        <v>42.802999999999997</v>
      </c>
      <c r="M2925" s="19">
        <f t="shared" si="388"/>
        <v>8.9061280751349212</v>
      </c>
      <c r="N2925" s="74">
        <f>D2934</f>
        <v>312.399</v>
      </c>
      <c r="O2925" s="23">
        <f t="shared" si="389"/>
        <v>0.35727707194965408</v>
      </c>
    </row>
    <row r="2926" spans="1:15" ht="20" thickBot="1" x14ac:dyDescent="0.3">
      <c r="A2926" t="s">
        <v>766</v>
      </c>
      <c r="B2926" t="s">
        <v>333</v>
      </c>
      <c r="C2926">
        <v>25</v>
      </c>
      <c r="D2926" s="194">
        <v>67012.233999999997</v>
      </c>
      <c r="E2926" t="s">
        <v>10</v>
      </c>
      <c r="F2926" s="194">
        <v>1506.4570000000001</v>
      </c>
      <c r="G2926" t="s">
        <v>335</v>
      </c>
      <c r="H2926"/>
    </row>
    <row r="2927" spans="1:15" x14ac:dyDescent="0.25">
      <c r="A2927" t="s">
        <v>767</v>
      </c>
      <c r="B2927" t="s">
        <v>333</v>
      </c>
      <c r="C2927">
        <v>25</v>
      </c>
      <c r="D2927" s="194">
        <v>5798.2169999999996</v>
      </c>
      <c r="E2927" t="s">
        <v>10</v>
      </c>
      <c r="F2927" s="194">
        <v>124.79600000000001</v>
      </c>
      <c r="G2927" t="s">
        <v>335</v>
      </c>
      <c r="H2927"/>
      <c r="J2927" s="105" t="str">
        <f>A2918</f>
        <v>map1</v>
      </c>
      <c r="K2927" s="72" t="s">
        <v>341</v>
      </c>
      <c r="L2927" s="72" t="s">
        <v>342</v>
      </c>
      <c r="M2927" s="21" t="s">
        <v>162</v>
      </c>
    </row>
    <row r="2928" spans="1:15" x14ac:dyDescent="0.25">
      <c r="A2928" t="s">
        <v>768</v>
      </c>
      <c r="B2928" t="s">
        <v>333</v>
      </c>
      <c r="C2928">
        <v>25</v>
      </c>
      <c r="D2928" s="194">
        <v>48650.911999999997</v>
      </c>
      <c r="E2928" t="s">
        <v>10</v>
      </c>
      <c r="F2928" s="194">
        <v>1990.9590000000001</v>
      </c>
      <c r="G2928" t="s">
        <v>335</v>
      </c>
      <c r="H2928"/>
      <c r="J2928" s="6">
        <v>100000</v>
      </c>
      <c r="K2928" s="119">
        <f>D2921</f>
        <v>105174.63099999999</v>
      </c>
      <c r="L2928" s="119">
        <f>D2922</f>
        <v>432917.65600000002</v>
      </c>
      <c r="M2928" s="22">
        <f>(K2928/L2928-1)</f>
        <v>-0.75705626799383763</v>
      </c>
    </row>
    <row r="2929" spans="1:15" x14ac:dyDescent="0.25">
      <c r="A2929" t="s">
        <v>769</v>
      </c>
      <c r="B2929" t="s">
        <v>333</v>
      </c>
      <c r="C2929">
        <v>25</v>
      </c>
      <c r="D2929" s="194">
        <v>6070.9560000000001</v>
      </c>
      <c r="E2929" t="s">
        <v>10</v>
      </c>
      <c r="F2929" s="194">
        <v>143.506</v>
      </c>
      <c r="G2929" t="s">
        <v>335</v>
      </c>
      <c r="H2929"/>
      <c r="J2929" s="6">
        <v>50000</v>
      </c>
      <c r="K2929" s="119">
        <f>D2924</f>
        <v>37243.964999999997</v>
      </c>
      <c r="L2929" s="119">
        <f>D2925</f>
        <v>202499.93400000001</v>
      </c>
      <c r="M2929" s="22">
        <f t="shared" ref="M2929:M2932" si="390">(K2929/L2929-1)</f>
        <v>-0.81607912524060378</v>
      </c>
    </row>
    <row r="2930" spans="1:15" x14ac:dyDescent="0.25">
      <c r="A2930" t="s">
        <v>770</v>
      </c>
      <c r="B2930" t="s">
        <v>333</v>
      </c>
      <c r="C2930">
        <v>25</v>
      </c>
      <c r="D2930" s="194">
        <v>566.98699999999997</v>
      </c>
      <c r="E2930" t="s">
        <v>10</v>
      </c>
      <c r="F2930" s="194">
        <v>21.742999999999999</v>
      </c>
      <c r="G2930" t="s">
        <v>335</v>
      </c>
      <c r="H2930"/>
      <c r="J2930" s="6">
        <v>10000</v>
      </c>
      <c r="K2930" s="119">
        <f>D2927</f>
        <v>5798.2169999999996</v>
      </c>
      <c r="L2930" s="119">
        <f>D2928</f>
        <v>48650.911999999997</v>
      </c>
      <c r="M2930" s="22">
        <f t="shared" si="390"/>
        <v>-0.88081997311787286</v>
      </c>
    </row>
    <row r="2931" spans="1:15" x14ac:dyDescent="0.25">
      <c r="A2931" t="s">
        <v>771</v>
      </c>
      <c r="B2931" t="s">
        <v>333</v>
      </c>
      <c r="C2931">
        <v>25</v>
      </c>
      <c r="D2931" s="194">
        <v>4491.0990000000002</v>
      </c>
      <c r="E2931" t="s">
        <v>10</v>
      </c>
      <c r="F2931" s="194">
        <v>78.988</v>
      </c>
      <c r="G2931" t="s">
        <v>335</v>
      </c>
      <c r="H2931"/>
      <c r="J2931" s="67">
        <v>1000</v>
      </c>
      <c r="K2931" s="119">
        <f>D2930</f>
        <v>566.98699999999997</v>
      </c>
      <c r="L2931" s="119">
        <f>D2931</f>
        <v>4491.0990000000002</v>
      </c>
      <c r="M2931" s="22">
        <f t="shared" si="390"/>
        <v>-0.8737531726644191</v>
      </c>
    </row>
    <row r="2932" spans="1:15" ht="20" thickBot="1" x14ac:dyDescent="0.3">
      <c r="A2932" t="s">
        <v>772</v>
      </c>
      <c r="B2932" t="s">
        <v>333</v>
      </c>
      <c r="C2932">
        <v>25</v>
      </c>
      <c r="D2932" s="194">
        <v>424.012</v>
      </c>
      <c r="E2932" t="s">
        <v>10</v>
      </c>
      <c r="F2932" s="194">
        <v>13.113</v>
      </c>
      <c r="G2932" t="s">
        <v>335</v>
      </c>
      <c r="H2932"/>
      <c r="J2932" s="68">
        <v>100</v>
      </c>
      <c r="K2932" s="120">
        <f>D2933</f>
        <v>42.802999999999997</v>
      </c>
      <c r="L2932" s="120">
        <f>D2934</f>
        <v>312.399</v>
      </c>
      <c r="M2932" s="23">
        <f t="shared" si="390"/>
        <v>-0.86298611711305095</v>
      </c>
    </row>
    <row r="2933" spans="1:15" x14ac:dyDescent="0.25">
      <c r="A2933" t="s">
        <v>773</v>
      </c>
      <c r="B2933" t="s">
        <v>333</v>
      </c>
      <c r="C2933">
        <v>25</v>
      </c>
      <c r="D2933" s="194">
        <v>42.802999999999997</v>
      </c>
      <c r="E2933" t="s">
        <v>10</v>
      </c>
      <c r="F2933" s="194">
        <v>0.89400000000000002</v>
      </c>
      <c r="G2933" t="s">
        <v>335</v>
      </c>
      <c r="H2933"/>
    </row>
    <row r="2934" spans="1:15" x14ac:dyDescent="0.25">
      <c r="A2934" t="s">
        <v>774</v>
      </c>
      <c r="B2934" t="s">
        <v>333</v>
      </c>
      <c r="C2934">
        <v>25</v>
      </c>
      <c r="D2934" s="194">
        <v>312.399</v>
      </c>
      <c r="E2934" t="s">
        <v>10</v>
      </c>
      <c r="F2934" s="194">
        <v>7.0910000000000002</v>
      </c>
      <c r="G2934" t="s">
        <v>335</v>
      </c>
      <c r="H2934"/>
    </row>
    <row r="2935" spans="1:15" x14ac:dyDescent="0.25">
      <c r="A2935"/>
      <c r="B2935"/>
      <c r="C2935"/>
      <c r="D2935" s="194"/>
      <c r="E2935"/>
      <c r="F2935" s="194"/>
      <c r="G2935"/>
      <c r="H2935"/>
    </row>
    <row r="2936" spans="1:15" x14ac:dyDescent="0.25">
      <c r="A2936" t="s">
        <v>165</v>
      </c>
      <c r="B2936"/>
      <c r="C2936"/>
      <c r="D2936" s="194"/>
      <c r="E2936"/>
      <c r="F2936" s="194"/>
      <c r="G2936"/>
      <c r="H2936"/>
    </row>
    <row r="2937" spans="1:15" ht="20" thickBot="1" x14ac:dyDescent="0.3">
      <c r="A2937" t="s">
        <v>2</v>
      </c>
      <c r="B2937" t="s">
        <v>3</v>
      </c>
      <c r="C2937" t="s">
        <v>4</v>
      </c>
      <c r="D2937" s="194" t="s">
        <v>5</v>
      </c>
      <c r="E2937" t="s">
        <v>6</v>
      </c>
      <c r="F2937" s="194" t="s">
        <v>7</v>
      </c>
      <c r="G2937"/>
      <c r="H2937"/>
    </row>
    <row r="2938" spans="1:15" x14ac:dyDescent="0.25">
      <c r="A2938" t="s">
        <v>56</v>
      </c>
      <c r="B2938" t="s">
        <v>333</v>
      </c>
      <c r="C2938">
        <v>25</v>
      </c>
      <c r="D2938" s="194">
        <v>1137190.743</v>
      </c>
      <c r="E2938" t="s">
        <v>10</v>
      </c>
      <c r="F2938" s="194">
        <v>70940.607000000004</v>
      </c>
      <c r="G2938" t="s">
        <v>335</v>
      </c>
      <c r="H2938"/>
      <c r="J2938" s="105" t="str">
        <f>A2936</f>
        <v>map2</v>
      </c>
      <c r="K2938" s="72" t="s">
        <v>340</v>
      </c>
      <c r="L2938" s="72" t="s">
        <v>341</v>
      </c>
      <c r="M2938" s="17" t="s">
        <v>162</v>
      </c>
      <c r="N2938" s="72" t="s">
        <v>342</v>
      </c>
      <c r="O2938" s="21" t="s">
        <v>162</v>
      </c>
    </row>
    <row r="2939" spans="1:15" x14ac:dyDescent="0.25">
      <c r="A2939" t="s">
        <v>57</v>
      </c>
      <c r="B2939" t="s">
        <v>333</v>
      </c>
      <c r="C2939">
        <v>25</v>
      </c>
      <c r="D2939" s="194">
        <v>536660.647</v>
      </c>
      <c r="E2939" t="s">
        <v>10</v>
      </c>
      <c r="F2939" s="194">
        <v>22049.206999999999</v>
      </c>
      <c r="G2939" t="s">
        <v>335</v>
      </c>
      <c r="H2939"/>
      <c r="J2939" s="6">
        <v>100000</v>
      </c>
      <c r="K2939" s="119">
        <f>D2938</f>
        <v>1137190.743</v>
      </c>
      <c r="L2939" s="119">
        <f>D2939</f>
        <v>536660.647</v>
      </c>
      <c r="M2939" s="18">
        <f>(K2939/L2939-1)</f>
        <v>1.1190127305906223</v>
      </c>
      <c r="N2939" s="73">
        <f>D2940</f>
        <v>741891.09699999995</v>
      </c>
      <c r="O2939" s="22">
        <f>(K2939/N2939-1)</f>
        <v>0.53282705183884982</v>
      </c>
    </row>
    <row r="2940" spans="1:15" x14ac:dyDescent="0.25">
      <c r="A2940" t="s">
        <v>58</v>
      </c>
      <c r="B2940" t="s">
        <v>333</v>
      </c>
      <c r="C2940">
        <v>25</v>
      </c>
      <c r="D2940" s="194">
        <v>741891.09699999995</v>
      </c>
      <c r="E2940" t="s">
        <v>10</v>
      </c>
      <c r="F2940" s="194">
        <v>30087.442999999999</v>
      </c>
      <c r="G2940" t="s">
        <v>335</v>
      </c>
      <c r="H2940"/>
      <c r="J2940" s="6">
        <v>50000</v>
      </c>
      <c r="K2940" s="119">
        <f>D2941</f>
        <v>466642.95199999999</v>
      </c>
      <c r="L2940" s="119">
        <f>D2942</f>
        <v>210265.61799999999</v>
      </c>
      <c r="M2940" s="18">
        <f t="shared" ref="M2940:M2943" si="391">(K2940/L2940-1)</f>
        <v>1.2193022161140963</v>
      </c>
      <c r="N2940" s="73">
        <f>D2943</f>
        <v>327062.489</v>
      </c>
      <c r="O2940" s="22">
        <f t="shared" ref="O2940:O2943" si="392">(K2940/N2940-1)</f>
        <v>0.42677001397124448</v>
      </c>
    </row>
    <row r="2941" spans="1:15" x14ac:dyDescent="0.25">
      <c r="A2941" t="s">
        <v>59</v>
      </c>
      <c r="B2941" t="s">
        <v>333</v>
      </c>
      <c r="C2941">
        <v>25</v>
      </c>
      <c r="D2941" s="194">
        <v>466642.95199999999</v>
      </c>
      <c r="E2941" t="s">
        <v>10</v>
      </c>
      <c r="F2941" s="194">
        <v>9747.0889999999999</v>
      </c>
      <c r="G2941" t="s">
        <v>335</v>
      </c>
      <c r="H2941"/>
      <c r="J2941" s="6">
        <v>10000</v>
      </c>
      <c r="K2941" s="119">
        <f>D2944</f>
        <v>91757.72</v>
      </c>
      <c r="L2941" s="119">
        <f>D2945</f>
        <v>45364.411999999997</v>
      </c>
      <c r="M2941" s="18">
        <f t="shared" si="391"/>
        <v>1.0226806863494673</v>
      </c>
      <c r="N2941" s="73">
        <f>D2946</f>
        <v>68637.827000000005</v>
      </c>
      <c r="O2941" s="22">
        <f t="shared" si="392"/>
        <v>0.33683894159411532</v>
      </c>
    </row>
    <row r="2942" spans="1:15" x14ac:dyDescent="0.25">
      <c r="A2942" t="s">
        <v>60</v>
      </c>
      <c r="B2942" t="s">
        <v>333</v>
      </c>
      <c r="C2942">
        <v>25</v>
      </c>
      <c r="D2942" s="194">
        <v>210265.61799999999</v>
      </c>
      <c r="E2942" t="s">
        <v>10</v>
      </c>
      <c r="F2942" s="194">
        <v>8248.0149999999994</v>
      </c>
      <c r="G2942" t="s">
        <v>335</v>
      </c>
      <c r="H2942"/>
      <c r="J2942" s="67">
        <v>1000</v>
      </c>
      <c r="K2942" s="119">
        <f>D2947</f>
        <v>9484.9840000000004</v>
      </c>
      <c r="L2942" s="119">
        <f>D2948</f>
        <v>4421.1229999999996</v>
      </c>
      <c r="M2942" s="18">
        <f t="shared" si="391"/>
        <v>1.1453789003382173</v>
      </c>
      <c r="N2942" s="73">
        <f>D2949</f>
        <v>6466.6540000000005</v>
      </c>
      <c r="O2942" s="22">
        <f t="shared" si="392"/>
        <v>0.46675297611407696</v>
      </c>
    </row>
    <row r="2943" spans="1:15" ht="20" thickBot="1" x14ac:dyDescent="0.3">
      <c r="A2943" t="s">
        <v>61</v>
      </c>
      <c r="B2943" t="s">
        <v>333</v>
      </c>
      <c r="C2943">
        <v>25</v>
      </c>
      <c r="D2943" s="194">
        <v>327062.489</v>
      </c>
      <c r="E2943" t="s">
        <v>10</v>
      </c>
      <c r="F2943" s="194">
        <v>8422.41</v>
      </c>
      <c r="G2943" t="s">
        <v>335</v>
      </c>
      <c r="H2943"/>
      <c r="J2943" s="68">
        <v>100</v>
      </c>
      <c r="K2943" s="120">
        <f>D2950</f>
        <v>690.60799999999995</v>
      </c>
      <c r="L2943" s="120">
        <f>D2951</f>
        <v>374.57900000000001</v>
      </c>
      <c r="M2943" s="19">
        <f t="shared" si="391"/>
        <v>0.84369118396920251</v>
      </c>
      <c r="N2943" s="74">
        <f>D2952</f>
        <v>459.70100000000002</v>
      </c>
      <c r="O2943" s="23">
        <f t="shared" si="392"/>
        <v>0.50229823298187282</v>
      </c>
    </row>
    <row r="2944" spans="1:15" ht="20" thickBot="1" x14ac:dyDescent="0.3">
      <c r="A2944" t="s">
        <v>62</v>
      </c>
      <c r="B2944" t="s">
        <v>333</v>
      </c>
      <c r="C2944">
        <v>25</v>
      </c>
      <c r="D2944" s="194">
        <v>91757.72</v>
      </c>
      <c r="E2944" t="s">
        <v>10</v>
      </c>
      <c r="F2944" s="194">
        <v>2121.5329999999999</v>
      </c>
      <c r="G2944" t="s">
        <v>335</v>
      </c>
      <c r="H2944"/>
    </row>
    <row r="2945" spans="1:15" x14ac:dyDescent="0.25">
      <c r="A2945" t="s">
        <v>63</v>
      </c>
      <c r="B2945" t="s">
        <v>333</v>
      </c>
      <c r="C2945">
        <v>25</v>
      </c>
      <c r="D2945" s="194">
        <v>45364.411999999997</v>
      </c>
      <c r="E2945" t="s">
        <v>10</v>
      </c>
      <c r="F2945" s="194">
        <v>1705.0820000000001</v>
      </c>
      <c r="G2945" t="s">
        <v>335</v>
      </c>
      <c r="H2945"/>
      <c r="J2945" s="105" t="str">
        <f>A2936</f>
        <v>map2</v>
      </c>
      <c r="K2945" s="72" t="s">
        <v>341</v>
      </c>
      <c r="L2945" s="72" t="s">
        <v>342</v>
      </c>
      <c r="M2945" s="21" t="s">
        <v>162</v>
      </c>
    </row>
    <row r="2946" spans="1:15" x14ac:dyDescent="0.25">
      <c r="A2946" t="s">
        <v>64</v>
      </c>
      <c r="B2946" t="s">
        <v>333</v>
      </c>
      <c r="C2946">
        <v>25</v>
      </c>
      <c r="D2946" s="194">
        <v>68637.827000000005</v>
      </c>
      <c r="E2946" t="s">
        <v>10</v>
      </c>
      <c r="F2946" s="194">
        <v>1440.2049999999999</v>
      </c>
      <c r="G2946" t="s">
        <v>335</v>
      </c>
      <c r="H2946"/>
      <c r="J2946" s="6">
        <v>100000</v>
      </c>
      <c r="K2946" s="119">
        <f>D2939</f>
        <v>536660.647</v>
      </c>
      <c r="L2946" s="119">
        <f>D2940</f>
        <v>741891.09699999995</v>
      </c>
      <c r="M2946" s="22">
        <f>(K2946/L2946-1)</f>
        <v>-0.27663150404404968</v>
      </c>
    </row>
    <row r="2947" spans="1:15" x14ac:dyDescent="0.25">
      <c r="A2947" t="s">
        <v>65</v>
      </c>
      <c r="B2947" t="s">
        <v>333</v>
      </c>
      <c r="C2947">
        <v>25</v>
      </c>
      <c r="D2947" s="194">
        <v>9484.9840000000004</v>
      </c>
      <c r="E2947" t="s">
        <v>10</v>
      </c>
      <c r="F2947" s="194">
        <v>379.44499999999999</v>
      </c>
      <c r="G2947" t="s">
        <v>335</v>
      </c>
      <c r="H2947"/>
      <c r="J2947" s="6">
        <v>50000</v>
      </c>
      <c r="K2947" s="119">
        <f>D2942</f>
        <v>210265.61799999999</v>
      </c>
      <c r="L2947" s="119">
        <f>D2943</f>
        <v>327062.489</v>
      </c>
      <c r="M2947" s="22">
        <f t="shared" ref="M2947:M2950" si="393">(K2947/L2947-1)</f>
        <v>-0.35710873282077915</v>
      </c>
    </row>
    <row r="2948" spans="1:15" x14ac:dyDescent="0.25">
      <c r="A2948" t="s">
        <v>66</v>
      </c>
      <c r="B2948" t="s">
        <v>333</v>
      </c>
      <c r="C2948">
        <v>25</v>
      </c>
      <c r="D2948" s="194">
        <v>4421.1229999999996</v>
      </c>
      <c r="E2948" t="s">
        <v>10</v>
      </c>
      <c r="F2948" s="194">
        <v>128.398</v>
      </c>
      <c r="G2948" t="s">
        <v>335</v>
      </c>
      <c r="H2948"/>
      <c r="J2948" s="6">
        <v>10000</v>
      </c>
      <c r="K2948" s="119">
        <f>D2945</f>
        <v>45364.411999999997</v>
      </c>
      <c r="L2948" s="119">
        <f>D2946</f>
        <v>68637.827000000005</v>
      </c>
      <c r="M2948" s="22">
        <f t="shared" si="393"/>
        <v>-0.33907563827741816</v>
      </c>
    </row>
    <row r="2949" spans="1:15" x14ac:dyDescent="0.25">
      <c r="A2949" t="s">
        <v>67</v>
      </c>
      <c r="B2949" t="s">
        <v>333</v>
      </c>
      <c r="C2949">
        <v>25</v>
      </c>
      <c r="D2949" s="194">
        <v>6466.6540000000005</v>
      </c>
      <c r="E2949" t="s">
        <v>10</v>
      </c>
      <c r="F2949" s="194">
        <v>125.887</v>
      </c>
      <c r="G2949" t="s">
        <v>335</v>
      </c>
      <c r="H2949"/>
      <c r="J2949" s="67">
        <v>1000</v>
      </c>
      <c r="K2949" s="119">
        <f>D2948</f>
        <v>4421.1229999999996</v>
      </c>
      <c r="L2949" s="119">
        <f>D2949</f>
        <v>6466.6540000000005</v>
      </c>
      <c r="M2949" s="22">
        <f t="shared" si="393"/>
        <v>-0.31631984639969923</v>
      </c>
    </row>
    <row r="2950" spans="1:15" ht="20" thickBot="1" x14ac:dyDescent="0.3">
      <c r="A2950" t="s">
        <v>68</v>
      </c>
      <c r="B2950" t="s">
        <v>333</v>
      </c>
      <c r="C2950">
        <v>25</v>
      </c>
      <c r="D2950" s="194">
        <v>690.60799999999995</v>
      </c>
      <c r="E2950" t="s">
        <v>10</v>
      </c>
      <c r="F2950" s="194">
        <v>21.866</v>
      </c>
      <c r="G2950" t="s">
        <v>335</v>
      </c>
      <c r="H2950"/>
      <c r="J2950" s="68">
        <v>100</v>
      </c>
      <c r="K2950" s="120">
        <f>D2951</f>
        <v>374.57900000000001</v>
      </c>
      <c r="L2950" s="120">
        <f>D2952</f>
        <v>459.70100000000002</v>
      </c>
      <c r="M2950" s="23">
        <f t="shared" si="393"/>
        <v>-0.18516818540747138</v>
      </c>
    </row>
    <row r="2951" spans="1:15" x14ac:dyDescent="0.25">
      <c r="A2951" t="s">
        <v>69</v>
      </c>
      <c r="B2951" t="s">
        <v>333</v>
      </c>
      <c r="C2951">
        <v>25</v>
      </c>
      <c r="D2951" s="194">
        <v>374.57900000000001</v>
      </c>
      <c r="E2951" t="s">
        <v>10</v>
      </c>
      <c r="F2951" s="194">
        <v>14.333</v>
      </c>
      <c r="G2951" t="s">
        <v>335</v>
      </c>
      <c r="H2951"/>
    </row>
    <row r="2952" spans="1:15" x14ac:dyDescent="0.25">
      <c r="A2952" t="s">
        <v>70</v>
      </c>
      <c r="B2952" t="s">
        <v>333</v>
      </c>
      <c r="C2952">
        <v>25</v>
      </c>
      <c r="D2952" s="194">
        <v>459.70100000000002</v>
      </c>
      <c r="E2952" t="s">
        <v>10</v>
      </c>
      <c r="F2952" s="194">
        <v>24.15</v>
      </c>
      <c r="G2952" t="s">
        <v>335</v>
      </c>
      <c r="H2952"/>
    </row>
    <row r="2953" spans="1:15" x14ac:dyDescent="0.25">
      <c r="A2953"/>
      <c r="B2953"/>
      <c r="C2953"/>
      <c r="D2953" s="194"/>
      <c r="E2953"/>
      <c r="F2953" s="194"/>
      <c r="G2953"/>
      <c r="H2953"/>
    </row>
    <row r="2954" spans="1:15" x14ac:dyDescent="0.25">
      <c r="A2954" t="s">
        <v>164</v>
      </c>
      <c r="B2954"/>
      <c r="C2954"/>
      <c r="D2954" s="194"/>
      <c r="E2954"/>
      <c r="F2954" s="194"/>
      <c r="G2954"/>
      <c r="H2954"/>
    </row>
    <row r="2955" spans="1:15" ht="20" thickBot="1" x14ac:dyDescent="0.3">
      <c r="A2955" t="s">
        <v>2</v>
      </c>
      <c r="B2955" t="s">
        <v>3</v>
      </c>
      <c r="C2955" t="s">
        <v>4</v>
      </c>
      <c r="D2955" s="194" t="s">
        <v>5</v>
      </c>
      <c r="E2955" t="s">
        <v>6</v>
      </c>
      <c r="F2955" s="194" t="s">
        <v>7</v>
      </c>
      <c r="G2955"/>
      <c r="H2955"/>
    </row>
    <row r="2956" spans="1:15" x14ac:dyDescent="0.25">
      <c r="A2956" t="s">
        <v>41</v>
      </c>
      <c r="B2956" t="s">
        <v>333</v>
      </c>
      <c r="C2956">
        <v>25</v>
      </c>
      <c r="D2956" s="194">
        <v>1960889.966</v>
      </c>
      <c r="E2956" t="s">
        <v>10</v>
      </c>
      <c r="F2956" s="194">
        <v>115649.758</v>
      </c>
      <c r="G2956" t="s">
        <v>335</v>
      </c>
      <c r="H2956"/>
      <c r="J2956" s="105" t="str">
        <f>A2954</f>
        <v>map3</v>
      </c>
      <c r="K2956" s="72" t="s">
        <v>340</v>
      </c>
      <c r="L2956" s="72" t="s">
        <v>341</v>
      </c>
      <c r="M2956" s="17" t="s">
        <v>162</v>
      </c>
      <c r="N2956" s="72" t="s">
        <v>342</v>
      </c>
      <c r="O2956" s="21" t="s">
        <v>162</v>
      </c>
    </row>
    <row r="2957" spans="1:15" x14ac:dyDescent="0.25">
      <c r="A2957" t="s">
        <v>42</v>
      </c>
      <c r="B2957" t="s">
        <v>333</v>
      </c>
      <c r="C2957">
        <v>25</v>
      </c>
      <c r="D2957" s="194">
        <v>2031620.1129999999</v>
      </c>
      <c r="E2957" t="s">
        <v>10</v>
      </c>
      <c r="F2957" s="194">
        <v>178050.45</v>
      </c>
      <c r="G2957" t="s">
        <v>335</v>
      </c>
      <c r="H2957"/>
      <c r="J2957" s="6">
        <v>100000</v>
      </c>
      <c r="K2957" s="119">
        <f>D2956</f>
        <v>1960889.966</v>
      </c>
      <c r="L2957" s="119">
        <f>D2957</f>
        <v>2031620.1129999999</v>
      </c>
      <c r="M2957" s="18">
        <f>(K2957/L2957-1)</f>
        <v>-3.4814651886644232E-2</v>
      </c>
      <c r="N2957" s="73">
        <f>D2958</f>
        <v>2370014.071</v>
      </c>
      <c r="O2957" s="22">
        <f>(K2957/N2957-1)</f>
        <v>-0.17262517974307845</v>
      </c>
    </row>
    <row r="2958" spans="1:15" x14ac:dyDescent="0.25">
      <c r="A2958" t="s">
        <v>43</v>
      </c>
      <c r="B2958" t="s">
        <v>333</v>
      </c>
      <c r="C2958">
        <v>25</v>
      </c>
      <c r="D2958" s="194">
        <v>2370014.071</v>
      </c>
      <c r="E2958" t="s">
        <v>10</v>
      </c>
      <c r="F2958" s="194">
        <v>146238.546</v>
      </c>
      <c r="G2958" t="s">
        <v>335</v>
      </c>
      <c r="H2958"/>
      <c r="J2958" s="6">
        <v>50000</v>
      </c>
      <c r="K2958" s="119">
        <f>D2959</f>
        <v>732934.51800000004</v>
      </c>
      <c r="L2958" s="119">
        <f>D2960</f>
        <v>698678.48899999994</v>
      </c>
      <c r="M2958" s="18">
        <f t="shared" ref="M2958:M2961" si="394">(K2958/L2958-1)</f>
        <v>4.9029746212782221E-2</v>
      </c>
      <c r="N2958" s="73">
        <f>D2961</f>
        <v>784581.375</v>
      </c>
      <c r="O2958" s="22">
        <f t="shared" ref="O2958:O2961" si="395">(K2958/N2958-1)</f>
        <v>-6.5827278910361553E-2</v>
      </c>
    </row>
    <row r="2959" spans="1:15" x14ac:dyDescent="0.25">
      <c r="A2959" t="s">
        <v>44</v>
      </c>
      <c r="B2959" t="s">
        <v>333</v>
      </c>
      <c r="C2959">
        <v>25</v>
      </c>
      <c r="D2959" s="194">
        <v>732934.51800000004</v>
      </c>
      <c r="E2959" t="s">
        <v>10</v>
      </c>
      <c r="F2959" s="194">
        <v>28544.441999999999</v>
      </c>
      <c r="G2959" t="s">
        <v>335</v>
      </c>
      <c r="H2959"/>
      <c r="J2959" s="6">
        <v>10000</v>
      </c>
      <c r="K2959" s="119">
        <f>D2962</f>
        <v>136049.56099999999</v>
      </c>
      <c r="L2959" s="119">
        <f>D2963</f>
        <v>135283.834</v>
      </c>
      <c r="M2959" s="18">
        <f t="shared" si="394"/>
        <v>5.6601515300045424E-3</v>
      </c>
      <c r="N2959" s="73">
        <f>D2964</f>
        <v>147689.78599999999</v>
      </c>
      <c r="O2959" s="22">
        <f t="shared" si="395"/>
        <v>-7.8815369127828605E-2</v>
      </c>
    </row>
    <row r="2960" spans="1:15" x14ac:dyDescent="0.25">
      <c r="A2960" t="s">
        <v>45</v>
      </c>
      <c r="B2960" t="s">
        <v>333</v>
      </c>
      <c r="C2960">
        <v>25</v>
      </c>
      <c r="D2960" s="194">
        <v>698678.48899999994</v>
      </c>
      <c r="E2960" t="s">
        <v>10</v>
      </c>
      <c r="F2960" s="194">
        <v>17936.341</v>
      </c>
      <c r="G2960" t="s">
        <v>335</v>
      </c>
      <c r="H2960"/>
      <c r="J2960" s="67">
        <v>1000</v>
      </c>
      <c r="K2960" s="119">
        <f>D2965</f>
        <v>14042.548000000001</v>
      </c>
      <c r="L2960" s="119">
        <f>D2966</f>
        <v>13738.271000000001</v>
      </c>
      <c r="M2960" s="18">
        <f t="shared" si="394"/>
        <v>2.2148129120469484E-2</v>
      </c>
      <c r="N2960" s="73">
        <f>D2967</f>
        <v>18620.281999999999</v>
      </c>
      <c r="O2960" s="22">
        <f t="shared" si="395"/>
        <v>-0.24584665259097571</v>
      </c>
    </row>
    <row r="2961" spans="1:15" ht="20" thickBot="1" x14ac:dyDescent="0.3">
      <c r="A2961" t="s">
        <v>46</v>
      </c>
      <c r="B2961" t="s">
        <v>333</v>
      </c>
      <c r="C2961">
        <v>25</v>
      </c>
      <c r="D2961" s="194">
        <v>784581.375</v>
      </c>
      <c r="E2961" t="s">
        <v>10</v>
      </c>
      <c r="F2961" s="194">
        <v>26683.662</v>
      </c>
      <c r="G2961" t="s">
        <v>335</v>
      </c>
      <c r="H2961"/>
      <c r="J2961" s="68">
        <v>100</v>
      </c>
      <c r="K2961" s="120">
        <f>D2968</f>
        <v>1085.0650000000001</v>
      </c>
      <c r="L2961" s="120">
        <f>D2969</f>
        <v>1365.568</v>
      </c>
      <c r="M2961" s="19">
        <f t="shared" si="394"/>
        <v>-0.20541122814828694</v>
      </c>
      <c r="N2961" s="74">
        <f>D2970</f>
        <v>1894.7919999999999</v>
      </c>
      <c r="O2961" s="23">
        <f t="shared" si="395"/>
        <v>-0.42734347622324764</v>
      </c>
    </row>
    <row r="2962" spans="1:15" ht="20" thickBot="1" x14ac:dyDescent="0.3">
      <c r="A2962" t="s">
        <v>47</v>
      </c>
      <c r="B2962" t="s">
        <v>333</v>
      </c>
      <c r="C2962">
        <v>25</v>
      </c>
      <c r="D2962" s="194">
        <v>136049.56099999999</v>
      </c>
      <c r="E2962" t="s">
        <v>10</v>
      </c>
      <c r="F2962" s="194">
        <v>3739.9850000000001</v>
      </c>
      <c r="G2962" t="s">
        <v>335</v>
      </c>
      <c r="H2962"/>
    </row>
    <row r="2963" spans="1:15" x14ac:dyDescent="0.25">
      <c r="A2963" t="s">
        <v>48</v>
      </c>
      <c r="B2963" t="s">
        <v>333</v>
      </c>
      <c r="C2963">
        <v>25</v>
      </c>
      <c r="D2963" s="194">
        <v>135283.834</v>
      </c>
      <c r="E2963" t="s">
        <v>10</v>
      </c>
      <c r="F2963" s="194">
        <v>3932.6590000000001</v>
      </c>
      <c r="G2963" t="s">
        <v>335</v>
      </c>
      <c r="H2963"/>
      <c r="J2963" s="105" t="str">
        <f>A2954</f>
        <v>map3</v>
      </c>
      <c r="K2963" s="72" t="s">
        <v>341</v>
      </c>
      <c r="L2963" s="72" t="s">
        <v>342</v>
      </c>
      <c r="M2963" s="21" t="s">
        <v>162</v>
      </c>
    </row>
    <row r="2964" spans="1:15" x14ac:dyDescent="0.25">
      <c r="A2964" t="s">
        <v>49</v>
      </c>
      <c r="B2964" t="s">
        <v>333</v>
      </c>
      <c r="C2964">
        <v>25</v>
      </c>
      <c r="D2964" s="194">
        <v>147689.78599999999</v>
      </c>
      <c r="E2964" t="s">
        <v>10</v>
      </c>
      <c r="F2964" s="194">
        <v>3847.7510000000002</v>
      </c>
      <c r="G2964" t="s">
        <v>335</v>
      </c>
      <c r="H2964"/>
      <c r="J2964" s="6">
        <v>100000</v>
      </c>
      <c r="K2964" s="119">
        <f>D2957</f>
        <v>2031620.1129999999</v>
      </c>
      <c r="L2964" s="119">
        <f>D2958</f>
        <v>2370014.071</v>
      </c>
      <c r="M2964" s="22">
        <f>(K2964/L2964-1)</f>
        <v>-0.14278141304756842</v>
      </c>
    </row>
    <row r="2965" spans="1:15" x14ac:dyDescent="0.25">
      <c r="A2965" t="s">
        <v>50</v>
      </c>
      <c r="B2965" t="s">
        <v>333</v>
      </c>
      <c r="C2965">
        <v>25</v>
      </c>
      <c r="D2965" s="194">
        <v>14042.548000000001</v>
      </c>
      <c r="E2965" t="s">
        <v>10</v>
      </c>
      <c r="F2965" s="194">
        <v>489.00900000000001</v>
      </c>
      <c r="G2965" t="s">
        <v>335</v>
      </c>
      <c r="H2965"/>
      <c r="J2965" s="6">
        <v>50000</v>
      </c>
      <c r="K2965" s="119">
        <f>D2960</f>
        <v>698678.48899999994</v>
      </c>
      <c r="L2965" s="119">
        <f>D2961</f>
        <v>784581.375</v>
      </c>
      <c r="M2965" s="22">
        <f t="shared" ref="M2965:M2968" si="396">(K2965/L2965-1)</f>
        <v>-0.1094888162493024</v>
      </c>
    </row>
    <row r="2966" spans="1:15" x14ac:dyDescent="0.25">
      <c r="A2966" t="s">
        <v>51</v>
      </c>
      <c r="B2966" t="s">
        <v>333</v>
      </c>
      <c r="C2966">
        <v>25</v>
      </c>
      <c r="D2966" s="194">
        <v>13738.271000000001</v>
      </c>
      <c r="E2966" t="s">
        <v>10</v>
      </c>
      <c r="F2966" s="194">
        <v>433.44299999999998</v>
      </c>
      <c r="G2966" t="s">
        <v>335</v>
      </c>
      <c r="H2966"/>
      <c r="J2966" s="6">
        <v>10000</v>
      </c>
      <c r="K2966" s="119">
        <f>D2963</f>
        <v>135283.834</v>
      </c>
      <c r="L2966" s="119">
        <f>D2964</f>
        <v>147689.78599999999</v>
      </c>
      <c r="M2966" s="22">
        <f t="shared" si="396"/>
        <v>-8.4000067546986523E-2</v>
      </c>
    </row>
    <row r="2967" spans="1:15" x14ac:dyDescent="0.25">
      <c r="A2967" t="s">
        <v>52</v>
      </c>
      <c r="B2967" t="s">
        <v>333</v>
      </c>
      <c r="C2967">
        <v>25</v>
      </c>
      <c r="D2967" s="194">
        <v>18620.281999999999</v>
      </c>
      <c r="E2967" t="s">
        <v>10</v>
      </c>
      <c r="F2967" s="194">
        <v>533.80899999999997</v>
      </c>
      <c r="G2967" t="s">
        <v>335</v>
      </c>
      <c r="H2967"/>
      <c r="J2967" s="67">
        <v>1000</v>
      </c>
      <c r="K2967" s="119">
        <f>D2966</f>
        <v>13738.271000000001</v>
      </c>
      <c r="L2967" s="119">
        <f>D2967</f>
        <v>18620.281999999999</v>
      </c>
      <c r="M2967" s="22">
        <f t="shared" si="396"/>
        <v>-0.26218781219317722</v>
      </c>
    </row>
    <row r="2968" spans="1:15" ht="20" thickBot="1" x14ac:dyDescent="0.3">
      <c r="A2968" t="s">
        <v>53</v>
      </c>
      <c r="B2968" t="s">
        <v>333</v>
      </c>
      <c r="C2968">
        <v>25</v>
      </c>
      <c r="D2968" s="194">
        <v>1085.0650000000001</v>
      </c>
      <c r="E2968" t="s">
        <v>10</v>
      </c>
      <c r="F2968" s="194">
        <v>22.352</v>
      </c>
      <c r="G2968" t="s">
        <v>335</v>
      </c>
      <c r="H2968"/>
      <c r="J2968" s="68">
        <v>100</v>
      </c>
      <c r="K2968" s="120">
        <f>D2969</f>
        <v>1365.568</v>
      </c>
      <c r="L2968" s="120">
        <f>D2970</f>
        <v>1894.7919999999999</v>
      </c>
      <c r="M2968" s="23">
        <f t="shared" si="396"/>
        <v>-0.27930453580129111</v>
      </c>
    </row>
    <row r="2969" spans="1:15" x14ac:dyDescent="0.25">
      <c r="A2969" t="s">
        <v>54</v>
      </c>
      <c r="B2969" t="s">
        <v>333</v>
      </c>
      <c r="C2969">
        <v>25</v>
      </c>
      <c r="D2969" s="194">
        <v>1365.568</v>
      </c>
      <c r="E2969" t="s">
        <v>10</v>
      </c>
      <c r="F2969" s="194">
        <v>34.817</v>
      </c>
      <c r="G2969" t="s">
        <v>335</v>
      </c>
      <c r="H2969"/>
    </row>
    <row r="2970" spans="1:15" x14ac:dyDescent="0.25">
      <c r="A2970" t="s">
        <v>55</v>
      </c>
      <c r="B2970" t="s">
        <v>333</v>
      </c>
      <c r="C2970">
        <v>25</v>
      </c>
      <c r="D2970" s="194">
        <v>1894.7919999999999</v>
      </c>
      <c r="E2970" t="s">
        <v>10</v>
      </c>
      <c r="F2970" s="194">
        <v>55.085999999999999</v>
      </c>
      <c r="G2970" t="s">
        <v>335</v>
      </c>
      <c r="H2970"/>
    </row>
    <row r="2971" spans="1:15" x14ac:dyDescent="0.25">
      <c r="A2971"/>
      <c r="B2971"/>
      <c r="C2971"/>
      <c r="D2971" s="194"/>
      <c r="E2971"/>
      <c r="F2971" s="194"/>
      <c r="G2971"/>
      <c r="H2971"/>
    </row>
    <row r="2972" spans="1:15" x14ac:dyDescent="0.25">
      <c r="A2972" t="s">
        <v>163</v>
      </c>
      <c r="B2972"/>
      <c r="C2972"/>
      <c r="D2972" s="194"/>
      <c r="E2972"/>
      <c r="F2972" s="194"/>
      <c r="G2972"/>
      <c r="H2972"/>
    </row>
    <row r="2973" spans="1:15" ht="20" thickBot="1" x14ac:dyDescent="0.3">
      <c r="A2973" t="s">
        <v>2</v>
      </c>
      <c r="B2973" t="s">
        <v>3</v>
      </c>
      <c r="C2973" t="s">
        <v>4</v>
      </c>
      <c r="D2973" s="194" t="s">
        <v>5</v>
      </c>
      <c r="E2973" t="s">
        <v>6</v>
      </c>
      <c r="F2973" s="194" t="s">
        <v>7</v>
      </c>
      <c r="G2973"/>
      <c r="H2973"/>
    </row>
    <row r="2974" spans="1:15" x14ac:dyDescent="0.25">
      <c r="A2974" t="s">
        <v>26</v>
      </c>
      <c r="B2974" t="s">
        <v>333</v>
      </c>
      <c r="C2974">
        <v>25</v>
      </c>
      <c r="D2974" s="194">
        <v>3532199.267</v>
      </c>
      <c r="E2974" t="s">
        <v>10</v>
      </c>
      <c r="F2974" s="194">
        <v>149970.81700000001</v>
      </c>
      <c r="G2974" t="s">
        <v>335</v>
      </c>
      <c r="H2974"/>
      <c r="J2974" s="105" t="str">
        <f>A2972</f>
        <v>map5</v>
      </c>
      <c r="K2974" s="72" t="s">
        <v>340</v>
      </c>
      <c r="L2974" s="72" t="s">
        <v>341</v>
      </c>
      <c r="M2974" s="17" t="s">
        <v>162</v>
      </c>
      <c r="N2974" s="72" t="s">
        <v>342</v>
      </c>
      <c r="O2974" s="21" t="s">
        <v>162</v>
      </c>
    </row>
    <row r="2975" spans="1:15" x14ac:dyDescent="0.25">
      <c r="A2975" t="s">
        <v>27</v>
      </c>
      <c r="B2975" t="s">
        <v>333</v>
      </c>
      <c r="C2975">
        <v>25</v>
      </c>
      <c r="D2975" s="194">
        <v>3794978.7710000002</v>
      </c>
      <c r="E2975" t="s">
        <v>10</v>
      </c>
      <c r="F2975" s="194">
        <v>221152.03</v>
      </c>
      <c r="G2975" t="s">
        <v>335</v>
      </c>
      <c r="H2975"/>
      <c r="J2975" s="6">
        <v>100000</v>
      </c>
      <c r="K2975" s="119">
        <f>D2974</f>
        <v>3532199.267</v>
      </c>
      <c r="L2975" s="119">
        <f>D2975</f>
        <v>3794978.7710000002</v>
      </c>
      <c r="M2975" s="18">
        <f>(K2975/L2975-1)</f>
        <v>-6.9243998413924257E-2</v>
      </c>
      <c r="N2975" s="73">
        <f>D2976</f>
        <v>5106339.773</v>
      </c>
      <c r="O2975" s="22">
        <f>(K2975/N2975-1)</f>
        <v>-0.3082717907498711</v>
      </c>
    </row>
    <row r="2976" spans="1:15" x14ac:dyDescent="0.25">
      <c r="A2976" t="s">
        <v>28</v>
      </c>
      <c r="B2976" t="s">
        <v>333</v>
      </c>
      <c r="C2976">
        <v>25</v>
      </c>
      <c r="D2976" s="194">
        <v>5106339.773</v>
      </c>
      <c r="E2976" t="s">
        <v>10</v>
      </c>
      <c r="F2976" s="194">
        <v>299062.07799999998</v>
      </c>
      <c r="G2976" t="s">
        <v>335</v>
      </c>
      <c r="H2976"/>
      <c r="J2976" s="6">
        <v>50000</v>
      </c>
      <c r="K2976" s="119">
        <f>D2977</f>
        <v>1279419.425</v>
      </c>
      <c r="L2976" s="119">
        <f>D2978</f>
        <v>1312691.814</v>
      </c>
      <c r="M2976" s="18">
        <f t="shared" ref="M2976:M2979" si="397">(K2976/L2976-1)</f>
        <v>-2.5346687352771125E-2</v>
      </c>
      <c r="N2976" s="73">
        <f>D2979</f>
        <v>1688692.0249999999</v>
      </c>
      <c r="O2976" s="22">
        <f t="shared" ref="O2976:O2979" si="398">(K2976/N2976-1)</f>
        <v>-0.24236071109532231</v>
      </c>
    </row>
    <row r="2977" spans="1:15" x14ac:dyDescent="0.25">
      <c r="A2977" t="s">
        <v>29</v>
      </c>
      <c r="B2977" t="s">
        <v>333</v>
      </c>
      <c r="C2977">
        <v>25</v>
      </c>
      <c r="D2977" s="194">
        <v>1279419.425</v>
      </c>
      <c r="E2977" t="s">
        <v>10</v>
      </c>
      <c r="F2977" s="194">
        <v>62163.699000000001</v>
      </c>
      <c r="G2977" t="s">
        <v>335</v>
      </c>
      <c r="H2977"/>
      <c r="J2977" s="6">
        <v>10000</v>
      </c>
      <c r="K2977" s="119">
        <f>D2980</f>
        <v>225185.73199999999</v>
      </c>
      <c r="L2977" s="119">
        <f>D2981</f>
        <v>236980.32800000001</v>
      </c>
      <c r="M2977" s="18">
        <f t="shared" si="397"/>
        <v>-4.9770358997899722E-2</v>
      </c>
      <c r="N2977" s="73">
        <f>D2982</f>
        <v>322522.56099999999</v>
      </c>
      <c r="O2977" s="22">
        <f t="shared" si="398"/>
        <v>-0.3017985120116915</v>
      </c>
    </row>
    <row r="2978" spans="1:15" x14ac:dyDescent="0.25">
      <c r="A2978" t="s">
        <v>30</v>
      </c>
      <c r="B2978" t="s">
        <v>333</v>
      </c>
      <c r="C2978">
        <v>25</v>
      </c>
      <c r="D2978" s="194">
        <v>1312691.814</v>
      </c>
      <c r="E2978" t="s">
        <v>10</v>
      </c>
      <c r="F2978" s="194">
        <v>39385.648999999998</v>
      </c>
      <c r="G2978" t="s">
        <v>335</v>
      </c>
      <c r="H2978"/>
      <c r="J2978" s="67">
        <v>1000</v>
      </c>
      <c r="K2978" s="119">
        <f>D2983</f>
        <v>24328.855</v>
      </c>
      <c r="L2978" s="119">
        <f>D2984</f>
        <v>26099.258000000002</v>
      </c>
      <c r="M2978" s="18">
        <f t="shared" si="397"/>
        <v>-6.7833461012569818E-2</v>
      </c>
      <c r="N2978" s="73">
        <f>D2985</f>
        <v>32122.613000000001</v>
      </c>
      <c r="O2978" s="22">
        <f t="shared" si="398"/>
        <v>-0.24262528082631385</v>
      </c>
    </row>
    <row r="2979" spans="1:15" ht="20" thickBot="1" x14ac:dyDescent="0.3">
      <c r="A2979" t="s">
        <v>31</v>
      </c>
      <c r="B2979" t="s">
        <v>333</v>
      </c>
      <c r="C2979">
        <v>25</v>
      </c>
      <c r="D2979" s="194">
        <v>1688692.0249999999</v>
      </c>
      <c r="E2979" t="s">
        <v>10</v>
      </c>
      <c r="F2979" s="194">
        <v>46715.167000000001</v>
      </c>
      <c r="G2979" t="s">
        <v>335</v>
      </c>
      <c r="H2979"/>
      <c r="J2979" s="68">
        <v>100</v>
      </c>
      <c r="K2979" s="120">
        <f>D2986</f>
        <v>1840.2750000000001</v>
      </c>
      <c r="L2979" s="120">
        <f>D2987</f>
        <v>2439.89</v>
      </c>
      <c r="M2979" s="19">
        <f t="shared" si="397"/>
        <v>-0.24575493157478401</v>
      </c>
      <c r="N2979" s="74">
        <f>D2988</f>
        <v>3061.1590000000001</v>
      </c>
      <c r="O2979" s="23">
        <f t="shared" si="398"/>
        <v>-0.39883063898346993</v>
      </c>
    </row>
    <row r="2980" spans="1:15" ht="20" thickBot="1" x14ac:dyDescent="0.3">
      <c r="A2980" t="s">
        <v>32</v>
      </c>
      <c r="B2980" t="s">
        <v>333</v>
      </c>
      <c r="C2980">
        <v>25</v>
      </c>
      <c r="D2980" s="194">
        <v>225185.73199999999</v>
      </c>
      <c r="E2980" t="s">
        <v>10</v>
      </c>
      <c r="F2980" s="194">
        <v>5192.299</v>
      </c>
      <c r="G2980" t="s">
        <v>335</v>
      </c>
      <c r="H2980"/>
    </row>
    <row r="2981" spans="1:15" x14ac:dyDescent="0.25">
      <c r="A2981" t="s">
        <v>33</v>
      </c>
      <c r="B2981" t="s">
        <v>333</v>
      </c>
      <c r="C2981">
        <v>25</v>
      </c>
      <c r="D2981" s="194">
        <v>236980.32800000001</v>
      </c>
      <c r="E2981" t="s">
        <v>10</v>
      </c>
      <c r="F2981" s="194">
        <v>6149.2780000000002</v>
      </c>
      <c r="G2981" t="s">
        <v>335</v>
      </c>
      <c r="H2981"/>
      <c r="J2981" s="105" t="str">
        <f>A2972</f>
        <v>map5</v>
      </c>
      <c r="K2981" s="72" t="s">
        <v>341</v>
      </c>
      <c r="L2981" s="72" t="s">
        <v>342</v>
      </c>
      <c r="M2981" s="21" t="s">
        <v>162</v>
      </c>
    </row>
    <row r="2982" spans="1:15" x14ac:dyDescent="0.25">
      <c r="A2982" t="s">
        <v>34</v>
      </c>
      <c r="B2982" t="s">
        <v>333</v>
      </c>
      <c r="C2982">
        <v>25</v>
      </c>
      <c r="D2982" s="194">
        <v>322522.56099999999</v>
      </c>
      <c r="E2982" t="s">
        <v>10</v>
      </c>
      <c r="F2982" s="194">
        <v>10668.254000000001</v>
      </c>
      <c r="G2982" t="s">
        <v>335</v>
      </c>
      <c r="H2982"/>
      <c r="J2982" s="6">
        <v>100000</v>
      </c>
      <c r="K2982" s="119">
        <f>D2975</f>
        <v>3794978.7710000002</v>
      </c>
      <c r="L2982" s="119">
        <f>D2976</f>
        <v>5106339.773</v>
      </c>
      <c r="M2982" s="22">
        <f>(K2982/L2982-1)</f>
        <v>-0.25681036912856448</v>
      </c>
    </row>
    <row r="2983" spans="1:15" x14ac:dyDescent="0.25">
      <c r="A2983" t="s">
        <v>35</v>
      </c>
      <c r="B2983" t="s">
        <v>333</v>
      </c>
      <c r="C2983">
        <v>25</v>
      </c>
      <c r="D2983" s="194">
        <v>24328.855</v>
      </c>
      <c r="E2983" t="s">
        <v>10</v>
      </c>
      <c r="F2983" s="194">
        <v>521.30899999999997</v>
      </c>
      <c r="G2983" t="s">
        <v>335</v>
      </c>
      <c r="H2983"/>
      <c r="J2983" s="6">
        <v>50000</v>
      </c>
      <c r="K2983" s="119">
        <f>D2978</f>
        <v>1312691.814</v>
      </c>
      <c r="L2983" s="119">
        <f>D2979</f>
        <v>1688692.0249999999</v>
      </c>
      <c r="M2983" s="22">
        <f t="shared" ref="M2983:M2986" si="399">(K2983/L2983-1)</f>
        <v>-0.2226576577810272</v>
      </c>
    </row>
    <row r="2984" spans="1:15" x14ac:dyDescent="0.25">
      <c r="A2984" t="s">
        <v>36</v>
      </c>
      <c r="B2984" t="s">
        <v>333</v>
      </c>
      <c r="C2984">
        <v>25</v>
      </c>
      <c r="D2984" s="194">
        <v>26099.258000000002</v>
      </c>
      <c r="E2984" t="s">
        <v>10</v>
      </c>
      <c r="F2984" s="194">
        <v>565.22900000000004</v>
      </c>
      <c r="G2984" t="s">
        <v>335</v>
      </c>
      <c r="H2984"/>
      <c r="J2984" s="6">
        <v>10000</v>
      </c>
      <c r="K2984" s="119">
        <f>D2981</f>
        <v>236980.32800000001</v>
      </c>
      <c r="L2984" s="119">
        <f>D2982</f>
        <v>322522.56099999999</v>
      </c>
      <c r="M2984" s="22">
        <f t="shared" si="399"/>
        <v>-0.26522867961475716</v>
      </c>
    </row>
    <row r="2985" spans="1:15" x14ac:dyDescent="0.25">
      <c r="A2985" t="s">
        <v>37</v>
      </c>
      <c r="B2985" t="s">
        <v>333</v>
      </c>
      <c r="C2985">
        <v>25</v>
      </c>
      <c r="D2985" s="194">
        <v>32122.613000000001</v>
      </c>
      <c r="E2985" t="s">
        <v>10</v>
      </c>
      <c r="F2985" s="194">
        <v>719.16800000000001</v>
      </c>
      <c r="G2985" t="s">
        <v>335</v>
      </c>
      <c r="H2985"/>
      <c r="J2985" s="67">
        <v>1000</v>
      </c>
      <c r="K2985" s="119">
        <f>D2984</f>
        <v>26099.258000000002</v>
      </c>
      <c r="L2985" s="119">
        <f>D2985</f>
        <v>32122.613000000001</v>
      </c>
      <c r="M2985" s="22">
        <f t="shared" si="399"/>
        <v>-0.18751136465766338</v>
      </c>
    </row>
    <row r="2986" spans="1:15" ht="20" thickBot="1" x14ac:dyDescent="0.3">
      <c r="A2986" t="s">
        <v>38</v>
      </c>
      <c r="B2986" t="s">
        <v>333</v>
      </c>
      <c r="C2986">
        <v>25</v>
      </c>
      <c r="D2986" s="194">
        <v>1840.2750000000001</v>
      </c>
      <c r="E2986" t="s">
        <v>10</v>
      </c>
      <c r="F2986" s="194">
        <v>68.177999999999997</v>
      </c>
      <c r="G2986" t="s">
        <v>335</v>
      </c>
      <c r="H2986"/>
      <c r="J2986" s="68">
        <v>100</v>
      </c>
      <c r="K2986" s="120">
        <f>D2987</f>
        <v>2439.89</v>
      </c>
      <c r="L2986" s="120">
        <f>D2988</f>
        <v>3061.1590000000001</v>
      </c>
      <c r="M2986" s="23">
        <f t="shared" si="399"/>
        <v>-0.20295221515772299</v>
      </c>
    </row>
    <row r="2987" spans="1:15" x14ac:dyDescent="0.25">
      <c r="A2987" t="s">
        <v>39</v>
      </c>
      <c r="B2987" t="s">
        <v>333</v>
      </c>
      <c r="C2987">
        <v>25</v>
      </c>
      <c r="D2987" s="194">
        <v>2439.89</v>
      </c>
      <c r="E2987" t="s">
        <v>10</v>
      </c>
      <c r="F2987" s="194">
        <v>51.774999999999999</v>
      </c>
      <c r="G2987" t="s">
        <v>335</v>
      </c>
      <c r="H2987"/>
    </row>
    <row r="2988" spans="1:15" x14ac:dyDescent="0.25">
      <c r="A2988" t="s">
        <v>40</v>
      </c>
      <c r="B2988" t="s">
        <v>333</v>
      </c>
      <c r="C2988">
        <v>25</v>
      </c>
      <c r="D2988" s="194">
        <v>3061.1590000000001</v>
      </c>
      <c r="E2988" t="s">
        <v>10</v>
      </c>
      <c r="F2988" s="194">
        <v>78.620999999999995</v>
      </c>
      <c r="G2988" t="s">
        <v>335</v>
      </c>
      <c r="H2988"/>
    </row>
    <row r="2989" spans="1:15" x14ac:dyDescent="0.25">
      <c r="A2989"/>
      <c r="B2989"/>
      <c r="C2989"/>
      <c r="D2989" s="194"/>
      <c r="E2989"/>
      <c r="F2989" s="194"/>
      <c r="G2989"/>
      <c r="H2989"/>
    </row>
    <row r="2990" spans="1:15" x14ac:dyDescent="0.25">
      <c r="A2990" t="s">
        <v>161</v>
      </c>
      <c r="B2990"/>
      <c r="C2990"/>
      <c r="D2990" s="194"/>
      <c r="E2990"/>
      <c r="F2990" s="194"/>
      <c r="G2990"/>
      <c r="H2990"/>
    </row>
    <row r="2991" spans="1:15" ht="20" thickBot="1" x14ac:dyDescent="0.3">
      <c r="A2991" t="s">
        <v>2</v>
      </c>
      <c r="B2991" t="s">
        <v>3</v>
      </c>
      <c r="C2991" t="s">
        <v>4</v>
      </c>
      <c r="D2991" s="194" t="s">
        <v>5</v>
      </c>
      <c r="E2991" t="s">
        <v>6</v>
      </c>
      <c r="F2991" s="194" t="s">
        <v>7</v>
      </c>
      <c r="G2991"/>
      <c r="H2991"/>
    </row>
    <row r="2992" spans="1:15" x14ac:dyDescent="0.25">
      <c r="A2992" t="s">
        <v>8</v>
      </c>
      <c r="B2992" t="s">
        <v>333</v>
      </c>
      <c r="C2992">
        <v>25</v>
      </c>
      <c r="D2992" s="194">
        <v>6575782.9539999999</v>
      </c>
      <c r="E2992" t="s">
        <v>10</v>
      </c>
      <c r="F2992" s="194">
        <v>304221.49200000003</v>
      </c>
      <c r="G2992" t="s">
        <v>335</v>
      </c>
      <c r="H2992"/>
      <c r="J2992" s="105" t="str">
        <f>A2990</f>
        <v>map10</v>
      </c>
      <c r="K2992" s="72" t="s">
        <v>340</v>
      </c>
      <c r="L2992" s="72" t="s">
        <v>341</v>
      </c>
      <c r="M2992" s="17" t="s">
        <v>162</v>
      </c>
      <c r="N2992" s="72" t="s">
        <v>342</v>
      </c>
      <c r="O2992" s="21" t="s">
        <v>162</v>
      </c>
    </row>
    <row r="2993" spans="1:15" x14ac:dyDescent="0.25">
      <c r="A2993" t="s">
        <v>12</v>
      </c>
      <c r="B2993" t="s">
        <v>333</v>
      </c>
      <c r="C2993">
        <v>25</v>
      </c>
      <c r="D2993" s="194">
        <v>9004730.4800000004</v>
      </c>
      <c r="E2993" t="s">
        <v>10</v>
      </c>
      <c r="F2993" s="194">
        <v>359228.08899999998</v>
      </c>
      <c r="G2993" t="s">
        <v>335</v>
      </c>
      <c r="H2993"/>
      <c r="J2993" s="6">
        <v>100000</v>
      </c>
      <c r="K2993" s="119">
        <f>D2992</f>
        <v>6575782.9539999999</v>
      </c>
      <c r="L2993" s="119">
        <f>D2993</f>
        <v>9004730.4800000004</v>
      </c>
      <c r="M2993" s="18">
        <f>(K2993/L2993-1)</f>
        <v>-0.26974128002996045</v>
      </c>
      <c r="N2993" s="73">
        <f>D2994</f>
        <v>10970279.23</v>
      </c>
      <c r="O2993" s="22">
        <f>(K2993/N2993-1)</f>
        <v>-0.40058198919700605</v>
      </c>
    </row>
    <row r="2994" spans="1:15" x14ac:dyDescent="0.25">
      <c r="A2994" t="s">
        <v>13</v>
      </c>
      <c r="B2994" t="s">
        <v>333</v>
      </c>
      <c r="C2994">
        <v>25</v>
      </c>
      <c r="D2994" s="194">
        <v>10970279.23</v>
      </c>
      <c r="E2994" t="s">
        <v>10</v>
      </c>
      <c r="F2994" s="194">
        <v>733369.68700000003</v>
      </c>
      <c r="G2994" t="s">
        <v>335</v>
      </c>
      <c r="H2994"/>
      <c r="J2994" s="6">
        <v>50000</v>
      </c>
      <c r="K2994" s="119">
        <f>D2995</f>
        <v>2761061.568</v>
      </c>
      <c r="L2994" s="119">
        <f>D2996</f>
        <v>3006490.5350000001</v>
      </c>
      <c r="M2994" s="18">
        <f t="shared" ref="M2994:M2997" si="400">(K2994/L2994-1)</f>
        <v>-8.163304162871754E-2</v>
      </c>
      <c r="N2994" s="73">
        <f>D2997</f>
        <v>3616962.61</v>
      </c>
      <c r="O2994" s="22">
        <f t="shared" ref="O2994:O2997" si="401">(K2994/N2994-1)</f>
        <v>-0.23663530268011257</v>
      </c>
    </row>
    <row r="2995" spans="1:15" x14ac:dyDescent="0.25">
      <c r="A2995" t="s">
        <v>14</v>
      </c>
      <c r="B2995" t="s">
        <v>333</v>
      </c>
      <c r="C2995">
        <v>25</v>
      </c>
      <c r="D2995" s="194">
        <v>2761061.568</v>
      </c>
      <c r="E2995" t="s">
        <v>10</v>
      </c>
      <c r="F2995" s="194">
        <v>108416.887</v>
      </c>
      <c r="G2995" t="s">
        <v>335</v>
      </c>
      <c r="H2995"/>
      <c r="J2995" s="6">
        <v>10000</v>
      </c>
      <c r="K2995" s="119">
        <f>D2998</f>
        <v>460794.739</v>
      </c>
      <c r="L2995" s="119">
        <f>D2999</f>
        <v>531767.27800000005</v>
      </c>
      <c r="M2995" s="18">
        <f t="shared" si="400"/>
        <v>-0.13346541228886977</v>
      </c>
      <c r="N2995" s="73">
        <f>D3000</f>
        <v>657691.05000000005</v>
      </c>
      <c r="O2995" s="22">
        <f t="shared" si="401"/>
        <v>-0.29937508044240535</v>
      </c>
    </row>
    <row r="2996" spans="1:15" x14ac:dyDescent="0.25">
      <c r="A2996" t="s">
        <v>15</v>
      </c>
      <c r="B2996" t="s">
        <v>333</v>
      </c>
      <c r="C2996">
        <v>25</v>
      </c>
      <c r="D2996" s="194">
        <v>3006490.5350000001</v>
      </c>
      <c r="E2996" t="s">
        <v>10</v>
      </c>
      <c r="F2996" s="194">
        <v>87598.957999999999</v>
      </c>
      <c r="G2996" t="s">
        <v>335</v>
      </c>
      <c r="H2996"/>
      <c r="J2996" s="67">
        <v>1000</v>
      </c>
      <c r="K2996" s="119">
        <f>D3001</f>
        <v>52232.016000000003</v>
      </c>
      <c r="L2996" s="119">
        <f>D3002</f>
        <v>57588.15</v>
      </c>
      <c r="M2996" s="18">
        <f t="shared" si="400"/>
        <v>-9.3007571870254546E-2</v>
      </c>
      <c r="N2996" s="73">
        <f>D3003</f>
        <v>70972.357999999993</v>
      </c>
      <c r="O2996" s="22">
        <f t="shared" si="401"/>
        <v>-0.26405128035903769</v>
      </c>
    </row>
    <row r="2997" spans="1:15" ht="20" thickBot="1" x14ac:dyDescent="0.3">
      <c r="A2997" t="s">
        <v>16</v>
      </c>
      <c r="B2997" t="s">
        <v>333</v>
      </c>
      <c r="C2997">
        <v>25</v>
      </c>
      <c r="D2997" s="194">
        <v>3616962.61</v>
      </c>
      <c r="E2997" t="s">
        <v>10</v>
      </c>
      <c r="F2997" s="194">
        <v>95836.906000000003</v>
      </c>
      <c r="G2997" t="s">
        <v>335</v>
      </c>
      <c r="H2997"/>
      <c r="J2997" s="68">
        <v>100</v>
      </c>
      <c r="K2997" s="120">
        <f>D3004</f>
        <v>3871.2779999999998</v>
      </c>
      <c r="L2997" s="120">
        <f>D3005</f>
        <v>5599.0069999999996</v>
      </c>
      <c r="M2997" s="19">
        <f t="shared" si="400"/>
        <v>-0.30857775316230185</v>
      </c>
      <c r="N2997" s="74">
        <f>D3006</f>
        <v>6772.6710000000003</v>
      </c>
      <c r="O2997" s="23">
        <f t="shared" si="401"/>
        <v>-0.42839715674953061</v>
      </c>
    </row>
    <row r="2998" spans="1:15" ht="20" thickBot="1" x14ac:dyDescent="0.3">
      <c r="A2998" t="s">
        <v>17</v>
      </c>
      <c r="B2998" t="s">
        <v>333</v>
      </c>
      <c r="C2998">
        <v>25</v>
      </c>
      <c r="D2998" s="194">
        <v>460794.739</v>
      </c>
      <c r="E2998" t="s">
        <v>10</v>
      </c>
      <c r="F2998" s="194">
        <v>14588.63</v>
      </c>
      <c r="G2998" t="s">
        <v>335</v>
      </c>
      <c r="H2998"/>
    </row>
    <row r="2999" spans="1:15" x14ac:dyDescent="0.25">
      <c r="A2999" t="s">
        <v>18</v>
      </c>
      <c r="B2999" t="s">
        <v>333</v>
      </c>
      <c r="C2999">
        <v>25</v>
      </c>
      <c r="D2999" s="194">
        <v>531767.27800000005</v>
      </c>
      <c r="E2999" t="s">
        <v>10</v>
      </c>
      <c r="F2999" s="194">
        <v>18828.401999999998</v>
      </c>
      <c r="G2999" t="s">
        <v>335</v>
      </c>
      <c r="H2999"/>
      <c r="J2999" s="105" t="str">
        <f>A2990</f>
        <v>map10</v>
      </c>
      <c r="K2999" s="72" t="s">
        <v>341</v>
      </c>
      <c r="L2999" s="72" t="s">
        <v>342</v>
      </c>
      <c r="M2999" s="21" t="s">
        <v>162</v>
      </c>
    </row>
    <row r="3000" spans="1:15" x14ac:dyDescent="0.25">
      <c r="A3000" t="s">
        <v>19</v>
      </c>
      <c r="B3000" t="s">
        <v>333</v>
      </c>
      <c r="C3000">
        <v>25</v>
      </c>
      <c r="D3000" s="194">
        <v>657691.05000000005</v>
      </c>
      <c r="E3000" t="s">
        <v>10</v>
      </c>
      <c r="F3000" s="194">
        <v>18120.856</v>
      </c>
      <c r="G3000" t="s">
        <v>335</v>
      </c>
      <c r="H3000"/>
      <c r="J3000" s="6">
        <v>100000</v>
      </c>
      <c r="K3000" s="119">
        <f>D2993</f>
        <v>9004730.4800000004</v>
      </c>
      <c r="L3000" s="119">
        <f>D2994</f>
        <v>10970279.23</v>
      </c>
      <c r="M3000" s="22">
        <f>(K3000/L3000-1)</f>
        <v>-0.17917034824645939</v>
      </c>
    </row>
    <row r="3001" spans="1:15" x14ac:dyDescent="0.25">
      <c r="A3001" t="s">
        <v>20</v>
      </c>
      <c r="B3001" t="s">
        <v>333</v>
      </c>
      <c r="C3001">
        <v>25</v>
      </c>
      <c r="D3001" s="194">
        <v>52232.016000000003</v>
      </c>
      <c r="E3001" t="s">
        <v>10</v>
      </c>
      <c r="F3001" s="194">
        <v>1455.6369999999999</v>
      </c>
      <c r="G3001" t="s">
        <v>335</v>
      </c>
      <c r="H3001"/>
      <c r="J3001" s="6">
        <v>50000</v>
      </c>
      <c r="K3001" s="119">
        <f>D2996</f>
        <v>3006490.5350000001</v>
      </c>
      <c r="L3001" s="119">
        <f>D2997</f>
        <v>3616962.61</v>
      </c>
      <c r="M3001" s="22">
        <f t="shared" ref="M3001:M3004" si="402">(K3001/L3001-1)</f>
        <v>-0.1687803112236208</v>
      </c>
    </row>
    <row r="3002" spans="1:15" x14ac:dyDescent="0.25">
      <c r="A3002" t="s">
        <v>21</v>
      </c>
      <c r="B3002" t="s">
        <v>333</v>
      </c>
      <c r="C3002">
        <v>25</v>
      </c>
      <c r="D3002" s="194">
        <v>57588.15</v>
      </c>
      <c r="E3002" t="s">
        <v>10</v>
      </c>
      <c r="F3002" s="194">
        <v>1521.3040000000001</v>
      </c>
      <c r="G3002" t="s">
        <v>335</v>
      </c>
      <c r="H3002"/>
      <c r="J3002" s="6">
        <v>10000</v>
      </c>
      <c r="K3002" s="119">
        <f>D2999</f>
        <v>531767.27800000005</v>
      </c>
      <c r="L3002" s="119">
        <f>D3000</f>
        <v>657691.05000000005</v>
      </c>
      <c r="M3002" s="22">
        <f t="shared" si="402"/>
        <v>-0.19146341127798527</v>
      </c>
    </row>
    <row r="3003" spans="1:15" x14ac:dyDescent="0.25">
      <c r="A3003" t="s">
        <v>22</v>
      </c>
      <c r="B3003" t="s">
        <v>333</v>
      </c>
      <c r="C3003">
        <v>25</v>
      </c>
      <c r="D3003" s="194">
        <v>70972.357999999993</v>
      </c>
      <c r="E3003" t="s">
        <v>10</v>
      </c>
      <c r="F3003" s="194">
        <v>1519.146</v>
      </c>
      <c r="G3003" t="s">
        <v>335</v>
      </c>
      <c r="H3003"/>
      <c r="J3003" s="67">
        <v>1000</v>
      </c>
      <c r="K3003" s="119">
        <f>D3002</f>
        <v>57588.15</v>
      </c>
      <c r="L3003" s="119">
        <f>D3003</f>
        <v>70972.357999999993</v>
      </c>
      <c r="M3003" s="22">
        <f t="shared" si="402"/>
        <v>-0.18858339186081419</v>
      </c>
    </row>
    <row r="3004" spans="1:15" ht="20" thickBot="1" x14ac:dyDescent="0.3">
      <c r="A3004" t="s">
        <v>23</v>
      </c>
      <c r="B3004" t="s">
        <v>333</v>
      </c>
      <c r="C3004">
        <v>25</v>
      </c>
      <c r="D3004" s="194">
        <v>3871.2779999999998</v>
      </c>
      <c r="E3004" t="s">
        <v>10</v>
      </c>
      <c r="F3004" s="194">
        <v>128.054</v>
      </c>
      <c r="G3004" t="s">
        <v>335</v>
      </c>
      <c r="H3004"/>
      <c r="J3004" s="68">
        <v>100</v>
      </c>
      <c r="K3004" s="120">
        <f>D3005</f>
        <v>5599.0069999999996</v>
      </c>
      <c r="L3004" s="120">
        <f>D3006</f>
        <v>6772.6710000000003</v>
      </c>
      <c r="M3004" s="23">
        <f t="shared" si="402"/>
        <v>-0.17329411099402303</v>
      </c>
    </row>
    <row r="3005" spans="1:15" x14ac:dyDescent="0.25">
      <c r="A3005" t="s">
        <v>24</v>
      </c>
      <c r="B3005" t="s">
        <v>333</v>
      </c>
      <c r="C3005">
        <v>25</v>
      </c>
      <c r="D3005" s="194">
        <v>5599.0069999999996</v>
      </c>
      <c r="E3005" t="s">
        <v>10</v>
      </c>
      <c r="F3005" s="194">
        <v>156.75800000000001</v>
      </c>
      <c r="G3005" t="s">
        <v>335</v>
      </c>
      <c r="H3005"/>
    </row>
    <row r="3006" spans="1:15" x14ac:dyDescent="0.25">
      <c r="A3006" t="s">
        <v>25</v>
      </c>
      <c r="B3006" t="s">
        <v>333</v>
      </c>
      <c r="C3006">
        <v>25</v>
      </c>
      <c r="D3006" s="194">
        <v>6772.6710000000003</v>
      </c>
      <c r="E3006" t="s">
        <v>10</v>
      </c>
      <c r="F3006" s="194">
        <v>160.416</v>
      </c>
      <c r="G3006" t="s">
        <v>335</v>
      </c>
      <c r="H3006"/>
    </row>
    <row r="3008" spans="1:15" x14ac:dyDescent="0.25">
      <c r="A3008" t="s">
        <v>786</v>
      </c>
      <c r="B3008"/>
      <c r="C3008"/>
      <c r="D3008" s="194"/>
      <c r="E3008"/>
      <c r="F3008" s="194"/>
      <c r="G3008"/>
      <c r="H3008" s="124"/>
    </row>
    <row r="3009" spans="1:17" ht="20" thickBot="1" x14ac:dyDescent="0.3">
      <c r="A3009" t="s">
        <v>2</v>
      </c>
      <c r="B3009" t="s">
        <v>3</v>
      </c>
      <c r="C3009" t="s">
        <v>4</v>
      </c>
      <c r="D3009" s="194" t="s">
        <v>5</v>
      </c>
      <c r="E3009" t="s">
        <v>6</v>
      </c>
      <c r="F3009" s="194" t="s">
        <v>7</v>
      </c>
      <c r="G3009"/>
      <c r="H3009" s="124"/>
    </row>
    <row r="3010" spans="1:17" x14ac:dyDescent="0.25">
      <c r="A3010" t="s">
        <v>787</v>
      </c>
      <c r="B3010" t="s">
        <v>333</v>
      </c>
      <c r="C3010">
        <v>25</v>
      </c>
      <c r="D3010" s="194">
        <v>1903464.601</v>
      </c>
      <c r="E3010" t="s">
        <v>10</v>
      </c>
      <c r="F3010" s="194">
        <v>106373.374</v>
      </c>
      <c r="G3010" t="s">
        <v>335</v>
      </c>
      <c r="H3010" s="124">
        <f t="shared" ref="H3010:H3070" si="403">F3010/D3010</f>
        <v>5.5884083131420417E-2</v>
      </c>
      <c r="J3010" s="106" t="str">
        <f>A3008</f>
        <v>distinct2_10</v>
      </c>
      <c r="K3010" s="72" t="s">
        <v>344</v>
      </c>
      <c r="L3010" s="72" t="s">
        <v>341</v>
      </c>
      <c r="M3010" s="17" t="s">
        <v>162</v>
      </c>
      <c r="N3010" s="72" t="s">
        <v>343</v>
      </c>
      <c r="O3010" s="17" t="s">
        <v>162</v>
      </c>
      <c r="P3010" s="72" t="s">
        <v>342</v>
      </c>
      <c r="Q3010" s="21" t="s">
        <v>162</v>
      </c>
    </row>
    <row r="3011" spans="1:17" x14ac:dyDescent="0.25">
      <c r="A3011" t="s">
        <v>788</v>
      </c>
      <c r="B3011" t="s">
        <v>333</v>
      </c>
      <c r="C3011">
        <v>25</v>
      </c>
      <c r="D3011" s="194">
        <v>2036880.6640000001</v>
      </c>
      <c r="E3011" t="s">
        <v>10</v>
      </c>
      <c r="F3011" s="194">
        <v>76973.259999999995</v>
      </c>
      <c r="G3011" t="s">
        <v>335</v>
      </c>
      <c r="H3011" s="124">
        <f t="shared" si="403"/>
        <v>3.7789774020850535E-2</v>
      </c>
      <c r="J3011" s="6">
        <v>100000</v>
      </c>
      <c r="K3011" s="119">
        <f>D3010</f>
        <v>1903464.601</v>
      </c>
      <c r="L3011" s="119">
        <f>D3011</f>
        <v>2036880.6640000001</v>
      </c>
      <c r="M3011" s="18">
        <f>(K3011/L3011-1)</f>
        <v>-6.5500186318230069E-2</v>
      </c>
      <c r="N3011" s="73">
        <f>D3012</f>
        <v>1779496.6980000001</v>
      </c>
      <c r="O3011" s="18">
        <f>(K3011/N3011-1)</f>
        <v>6.9664587261852873E-2</v>
      </c>
      <c r="P3011" s="73">
        <f>D3013</f>
        <v>2247821.1680000001</v>
      </c>
      <c r="Q3011" s="22">
        <f>(K3011/P3011-1)</f>
        <v>-0.15319571320986869</v>
      </c>
    </row>
    <row r="3012" spans="1:17" x14ac:dyDescent="0.25">
      <c r="A3012" t="s">
        <v>789</v>
      </c>
      <c r="B3012" t="s">
        <v>333</v>
      </c>
      <c r="C3012">
        <v>25</v>
      </c>
      <c r="D3012" s="194">
        <v>1779496.6980000001</v>
      </c>
      <c r="E3012" t="s">
        <v>10</v>
      </c>
      <c r="F3012" s="194">
        <v>92164.758000000002</v>
      </c>
      <c r="G3012" t="s">
        <v>335</v>
      </c>
      <c r="H3012" s="124">
        <f t="shared" si="403"/>
        <v>5.1792598493487059E-2</v>
      </c>
      <c r="J3012" s="6">
        <v>50000</v>
      </c>
      <c r="K3012" s="119">
        <f>D3014</f>
        <v>674168.61300000001</v>
      </c>
      <c r="L3012" s="119">
        <f>D3015</f>
        <v>663993.71900000004</v>
      </c>
      <c r="M3012" s="18">
        <f t="shared" ref="M3012:M3015" si="404">(K3012/L3012-1)</f>
        <v>1.5323780494977735E-2</v>
      </c>
      <c r="N3012" s="73">
        <f>D3016</f>
        <v>570093.853</v>
      </c>
      <c r="O3012" s="18">
        <f t="shared" ref="O3012:O3015" si="405">(K3012/N3012-1)</f>
        <v>0.18255723939545798</v>
      </c>
      <c r="P3012" s="73">
        <f>D3017</f>
        <v>631569.02300000004</v>
      </c>
      <c r="Q3012" s="22">
        <f t="shared" ref="Q3012:Q3015" si="406">(K3012/P3012-1)</f>
        <v>6.7450410720983012E-2</v>
      </c>
    </row>
    <row r="3013" spans="1:17" x14ac:dyDescent="0.25">
      <c r="A3013" t="s">
        <v>790</v>
      </c>
      <c r="B3013" t="s">
        <v>333</v>
      </c>
      <c r="C3013">
        <v>25</v>
      </c>
      <c r="D3013" s="194">
        <v>2247821.1680000001</v>
      </c>
      <c r="E3013" t="s">
        <v>10</v>
      </c>
      <c r="F3013" s="194">
        <v>106816.41899999999</v>
      </c>
      <c r="G3013" t="s">
        <v>335</v>
      </c>
      <c r="H3013" s="124">
        <f t="shared" si="403"/>
        <v>4.7519980913357067E-2</v>
      </c>
      <c r="J3013" s="6">
        <v>10000</v>
      </c>
      <c r="K3013" s="119">
        <f>D3018</f>
        <v>122070.649</v>
      </c>
      <c r="L3013" s="119">
        <f>D3019</f>
        <v>94907.523000000001</v>
      </c>
      <c r="M3013" s="18">
        <f t="shared" si="404"/>
        <v>0.28620624731719113</v>
      </c>
      <c r="N3013" s="73">
        <f>D3020</f>
        <v>92541.313999999998</v>
      </c>
      <c r="O3013" s="18">
        <f t="shared" si="405"/>
        <v>0.31909353480759961</v>
      </c>
      <c r="P3013" s="73">
        <f>D3021</f>
        <v>113572.67</v>
      </c>
      <c r="Q3013" s="22">
        <f t="shared" si="406"/>
        <v>7.4824154437859169E-2</v>
      </c>
    </row>
    <row r="3014" spans="1:17" x14ac:dyDescent="0.25">
      <c r="A3014" t="s">
        <v>791</v>
      </c>
      <c r="B3014" t="s">
        <v>333</v>
      </c>
      <c r="C3014">
        <v>25</v>
      </c>
      <c r="D3014" s="194">
        <v>674168.61300000001</v>
      </c>
      <c r="E3014" t="s">
        <v>10</v>
      </c>
      <c r="F3014" s="194">
        <v>20976.355</v>
      </c>
      <c r="G3014" t="s">
        <v>335</v>
      </c>
      <c r="H3014" s="124">
        <f t="shared" si="403"/>
        <v>3.1114404609637322E-2</v>
      </c>
      <c r="J3014" s="67">
        <v>1000</v>
      </c>
      <c r="K3014" s="119">
        <f>D3022</f>
        <v>8562.848</v>
      </c>
      <c r="L3014" s="119">
        <f>D3023</f>
        <v>7478.0020000000004</v>
      </c>
      <c r="M3014" s="18">
        <f t="shared" si="404"/>
        <v>0.14507163811937995</v>
      </c>
      <c r="N3014" s="73">
        <f>D3024</f>
        <v>6954.57</v>
      </c>
      <c r="O3014" s="18">
        <f t="shared" si="405"/>
        <v>0.23125484393715223</v>
      </c>
      <c r="P3014" s="73">
        <f>D3025</f>
        <v>9308.4470000000001</v>
      </c>
      <c r="Q3014" s="22">
        <f t="shared" si="406"/>
        <v>-8.0099183032357635E-2</v>
      </c>
    </row>
    <row r="3015" spans="1:17" ht="20" thickBot="1" x14ac:dyDescent="0.3">
      <c r="A3015" t="s">
        <v>792</v>
      </c>
      <c r="B3015" t="s">
        <v>333</v>
      </c>
      <c r="C3015">
        <v>25</v>
      </c>
      <c r="D3015" s="194">
        <v>663993.71900000004</v>
      </c>
      <c r="E3015" t="s">
        <v>10</v>
      </c>
      <c r="F3015" s="194">
        <v>16816.73</v>
      </c>
      <c r="G3015" t="s">
        <v>335</v>
      </c>
      <c r="H3015" s="124">
        <f t="shared" si="403"/>
        <v>2.5326640175642984E-2</v>
      </c>
      <c r="J3015" s="68">
        <v>100</v>
      </c>
      <c r="K3015" s="120">
        <f>D3026</f>
        <v>448.72199999999998</v>
      </c>
      <c r="L3015" s="120">
        <f>D3027</f>
        <v>794.78300000000002</v>
      </c>
      <c r="M3015" s="19">
        <f t="shared" si="404"/>
        <v>-0.43541570466404045</v>
      </c>
      <c r="N3015" s="74">
        <f>D3028</f>
        <v>656.61699999999996</v>
      </c>
      <c r="O3015" s="19">
        <f t="shared" si="405"/>
        <v>-0.3166153176052402</v>
      </c>
      <c r="P3015" s="74">
        <f>D3029</f>
        <v>861.49400000000003</v>
      </c>
      <c r="Q3015" s="23">
        <f t="shared" si="406"/>
        <v>-0.47913508393558168</v>
      </c>
    </row>
    <row r="3016" spans="1:17" ht="20" thickBot="1" x14ac:dyDescent="0.3">
      <c r="A3016" t="s">
        <v>793</v>
      </c>
      <c r="B3016" t="s">
        <v>333</v>
      </c>
      <c r="C3016">
        <v>25</v>
      </c>
      <c r="D3016" s="194">
        <v>570093.853</v>
      </c>
      <c r="E3016" t="s">
        <v>10</v>
      </c>
      <c r="F3016" s="194">
        <v>15946.764999999999</v>
      </c>
      <c r="G3016" t="s">
        <v>335</v>
      </c>
      <c r="H3016" s="124">
        <f t="shared" si="403"/>
        <v>2.7972174960462167E-2</v>
      </c>
    </row>
    <row r="3017" spans="1:17" x14ac:dyDescent="0.25">
      <c r="A3017" t="s">
        <v>794</v>
      </c>
      <c r="B3017" t="s">
        <v>333</v>
      </c>
      <c r="C3017">
        <v>25</v>
      </c>
      <c r="D3017" s="194">
        <v>631569.02300000004</v>
      </c>
      <c r="E3017" t="s">
        <v>10</v>
      </c>
      <c r="F3017" s="194">
        <v>23946.54</v>
      </c>
      <c r="G3017" t="s">
        <v>335</v>
      </c>
      <c r="H3017" s="124">
        <f t="shared" si="403"/>
        <v>3.7915950795452485E-2</v>
      </c>
      <c r="J3017" s="106" t="str">
        <f>A3008</f>
        <v>distinct2_10</v>
      </c>
      <c r="K3017" s="72" t="s">
        <v>341</v>
      </c>
      <c r="L3017" s="72" t="s">
        <v>342</v>
      </c>
      <c r="M3017" s="17" t="s">
        <v>162</v>
      </c>
      <c r="N3017" s="72" t="s">
        <v>343</v>
      </c>
      <c r="O3017" s="21" t="s">
        <v>162</v>
      </c>
    </row>
    <row r="3018" spans="1:17" x14ac:dyDescent="0.25">
      <c r="A3018" t="s">
        <v>795</v>
      </c>
      <c r="B3018" t="s">
        <v>333</v>
      </c>
      <c r="C3018">
        <v>25</v>
      </c>
      <c r="D3018" s="194">
        <v>122070.649</v>
      </c>
      <c r="E3018" t="s">
        <v>10</v>
      </c>
      <c r="F3018" s="194">
        <v>2603.4639999999999</v>
      </c>
      <c r="G3018" t="s">
        <v>335</v>
      </c>
      <c r="H3018" s="124">
        <f t="shared" si="403"/>
        <v>2.1327518296392442E-2</v>
      </c>
      <c r="J3018" s="6">
        <v>100000</v>
      </c>
      <c r="K3018" s="119">
        <f>D3011</f>
        <v>2036880.6640000001</v>
      </c>
      <c r="L3018" s="119">
        <f>D3013</f>
        <v>2247821.1680000001</v>
      </c>
      <c r="M3018" s="18">
        <f>(K3018/L3018-1)</f>
        <v>-9.3842209070254645E-2</v>
      </c>
      <c r="N3018" s="73">
        <f>D3012</f>
        <v>1779496.6980000001</v>
      </c>
      <c r="O3018" s="22">
        <f>(N3018/L3018-1)</f>
        <v>-0.20834596482454693</v>
      </c>
    </row>
    <row r="3019" spans="1:17" x14ac:dyDescent="0.25">
      <c r="A3019" t="s">
        <v>796</v>
      </c>
      <c r="B3019" t="s">
        <v>333</v>
      </c>
      <c r="C3019">
        <v>25</v>
      </c>
      <c r="D3019" s="194">
        <v>94907.523000000001</v>
      </c>
      <c r="E3019" t="s">
        <v>10</v>
      </c>
      <c r="F3019" s="194">
        <v>2012.402</v>
      </c>
      <c r="G3019" t="s">
        <v>335</v>
      </c>
      <c r="H3019" s="124">
        <f t="shared" si="403"/>
        <v>2.1203819638196647E-2</v>
      </c>
      <c r="J3019" s="6">
        <v>50000</v>
      </c>
      <c r="K3019" s="119">
        <f>D3015</f>
        <v>663993.71900000004</v>
      </c>
      <c r="L3019" s="119">
        <f>D3017</f>
        <v>631569.02300000004</v>
      </c>
      <c r="M3019" s="18">
        <f t="shared" ref="M3019:M3022" si="407">(K3019/L3019-1)</f>
        <v>5.1339908733934125E-2</v>
      </c>
      <c r="N3019" s="73">
        <f>D3016</f>
        <v>570093.853</v>
      </c>
      <c r="O3019" s="22">
        <f t="shared" ref="O3019:O3022" si="408">(N3019/L3019-1)</f>
        <v>-9.7337215349778239E-2</v>
      </c>
    </row>
    <row r="3020" spans="1:17" x14ac:dyDescent="0.25">
      <c r="A3020" t="s">
        <v>797</v>
      </c>
      <c r="B3020" t="s">
        <v>333</v>
      </c>
      <c r="C3020">
        <v>25</v>
      </c>
      <c r="D3020" s="194">
        <v>92541.313999999998</v>
      </c>
      <c r="E3020" t="s">
        <v>10</v>
      </c>
      <c r="F3020" s="194">
        <v>2245.1419999999998</v>
      </c>
      <c r="G3020" t="s">
        <v>335</v>
      </c>
      <c r="H3020" s="124">
        <f t="shared" si="403"/>
        <v>2.4260969538426911E-2</v>
      </c>
      <c r="J3020" s="6">
        <v>10000</v>
      </c>
      <c r="K3020" s="119">
        <f>D3019</f>
        <v>94907.523000000001</v>
      </c>
      <c r="L3020" s="119">
        <f>D3021</f>
        <v>113572.67</v>
      </c>
      <c r="M3020" s="18">
        <f t="shared" si="407"/>
        <v>-0.16434540985960788</v>
      </c>
      <c r="N3020" s="73">
        <f>D3020</f>
        <v>92541.313999999998</v>
      </c>
      <c r="O3020" s="22">
        <f t="shared" si="408"/>
        <v>-0.18517972677757777</v>
      </c>
    </row>
    <row r="3021" spans="1:17" x14ac:dyDescent="0.25">
      <c r="A3021" t="s">
        <v>798</v>
      </c>
      <c r="B3021" t="s">
        <v>333</v>
      </c>
      <c r="C3021">
        <v>25</v>
      </c>
      <c r="D3021" s="194">
        <v>113572.67</v>
      </c>
      <c r="E3021" t="s">
        <v>10</v>
      </c>
      <c r="F3021" s="194">
        <v>3319.654</v>
      </c>
      <c r="G3021" t="s">
        <v>335</v>
      </c>
      <c r="H3021" s="124">
        <f t="shared" si="403"/>
        <v>2.9229338361068734E-2</v>
      </c>
      <c r="J3021" s="67">
        <v>1000</v>
      </c>
      <c r="K3021" s="119">
        <f>D3023</f>
        <v>7478.0020000000004</v>
      </c>
      <c r="L3021" s="119">
        <f>D3025</f>
        <v>9308.4470000000001</v>
      </c>
      <c r="M3021" s="18">
        <f t="shared" si="407"/>
        <v>-0.19664343579546617</v>
      </c>
      <c r="N3021" s="73">
        <f>D3024</f>
        <v>6954.57</v>
      </c>
      <c r="O3021" s="22">
        <f t="shared" si="408"/>
        <v>-0.25287537222911627</v>
      </c>
    </row>
    <row r="3022" spans="1:17" ht="20" thickBot="1" x14ac:dyDescent="0.3">
      <c r="A3022" t="s">
        <v>799</v>
      </c>
      <c r="B3022" t="s">
        <v>333</v>
      </c>
      <c r="C3022">
        <v>25</v>
      </c>
      <c r="D3022" s="194">
        <v>8562.848</v>
      </c>
      <c r="E3022" t="s">
        <v>10</v>
      </c>
      <c r="F3022" s="194">
        <v>230.30199999999999</v>
      </c>
      <c r="G3022" t="s">
        <v>335</v>
      </c>
      <c r="H3022" s="124">
        <f t="shared" si="403"/>
        <v>2.689549084603627E-2</v>
      </c>
      <c r="J3022" s="68">
        <v>100</v>
      </c>
      <c r="K3022" s="120">
        <f>D3027</f>
        <v>794.78300000000002</v>
      </c>
      <c r="L3022" s="120">
        <f>D3029</f>
        <v>861.49400000000003</v>
      </c>
      <c r="M3022" s="19">
        <f t="shared" si="407"/>
        <v>-7.7436406986003403E-2</v>
      </c>
      <c r="N3022" s="74">
        <f>D3028</f>
        <v>656.61699999999996</v>
      </c>
      <c r="O3022" s="23">
        <f t="shared" si="408"/>
        <v>-0.23781593371515075</v>
      </c>
    </row>
    <row r="3023" spans="1:17" x14ac:dyDescent="0.25">
      <c r="A3023" t="s">
        <v>800</v>
      </c>
      <c r="B3023" t="s">
        <v>333</v>
      </c>
      <c r="C3023">
        <v>25</v>
      </c>
      <c r="D3023" s="194">
        <v>7478.0020000000004</v>
      </c>
      <c r="E3023" t="s">
        <v>10</v>
      </c>
      <c r="F3023" s="194">
        <v>347.70600000000002</v>
      </c>
      <c r="G3023" t="s">
        <v>335</v>
      </c>
      <c r="H3023" s="124">
        <f t="shared" si="403"/>
        <v>4.6497179326777396E-2</v>
      </c>
    </row>
    <row r="3024" spans="1:17" x14ac:dyDescent="0.25">
      <c r="A3024" t="s">
        <v>801</v>
      </c>
      <c r="B3024" t="s">
        <v>333</v>
      </c>
      <c r="C3024">
        <v>25</v>
      </c>
      <c r="D3024" s="194">
        <v>6954.57</v>
      </c>
      <c r="E3024" t="s">
        <v>10</v>
      </c>
      <c r="F3024" s="194">
        <v>179.05199999999999</v>
      </c>
      <c r="G3024" t="s">
        <v>335</v>
      </c>
      <c r="H3024" s="124">
        <f t="shared" si="403"/>
        <v>2.5745948347633284E-2</v>
      </c>
    </row>
    <row r="3025" spans="1:17" x14ac:dyDescent="0.25">
      <c r="A3025" t="s">
        <v>802</v>
      </c>
      <c r="B3025" t="s">
        <v>333</v>
      </c>
      <c r="C3025">
        <v>25</v>
      </c>
      <c r="D3025" s="194">
        <v>9308.4470000000001</v>
      </c>
      <c r="E3025" t="s">
        <v>10</v>
      </c>
      <c r="F3025" s="194">
        <v>271.26</v>
      </c>
      <c r="G3025" t="s">
        <v>335</v>
      </c>
      <c r="H3025" s="124">
        <f t="shared" si="403"/>
        <v>2.9141273512112171E-2</v>
      </c>
    </row>
    <row r="3026" spans="1:17" x14ac:dyDescent="0.25">
      <c r="A3026" t="s">
        <v>803</v>
      </c>
      <c r="B3026" t="s">
        <v>333</v>
      </c>
      <c r="C3026">
        <v>25</v>
      </c>
      <c r="D3026" s="194">
        <v>448.72199999999998</v>
      </c>
      <c r="E3026" t="s">
        <v>10</v>
      </c>
      <c r="F3026" s="194">
        <v>9.0990000000000002</v>
      </c>
      <c r="G3026" t="s">
        <v>335</v>
      </c>
      <c r="H3026" s="124">
        <f t="shared" si="403"/>
        <v>2.0277588350916604E-2</v>
      </c>
    </row>
    <row r="3027" spans="1:17" x14ac:dyDescent="0.25">
      <c r="A3027" t="s">
        <v>804</v>
      </c>
      <c r="B3027" t="s">
        <v>333</v>
      </c>
      <c r="C3027">
        <v>25</v>
      </c>
      <c r="D3027" s="194">
        <v>794.78300000000002</v>
      </c>
      <c r="E3027" t="s">
        <v>10</v>
      </c>
      <c r="F3027" s="194">
        <v>19.521999999999998</v>
      </c>
      <c r="G3027" t="s">
        <v>335</v>
      </c>
      <c r="H3027" s="124">
        <f t="shared" si="403"/>
        <v>2.4562679372860264E-2</v>
      </c>
    </row>
    <row r="3028" spans="1:17" x14ac:dyDescent="0.25">
      <c r="A3028" t="s">
        <v>805</v>
      </c>
      <c r="B3028" t="s">
        <v>333</v>
      </c>
      <c r="C3028">
        <v>25</v>
      </c>
      <c r="D3028" s="194">
        <v>656.61699999999996</v>
      </c>
      <c r="E3028" t="s">
        <v>10</v>
      </c>
      <c r="F3028" s="194">
        <v>22.009</v>
      </c>
      <c r="G3028" t="s">
        <v>335</v>
      </c>
      <c r="H3028" s="124">
        <f t="shared" si="403"/>
        <v>3.3518778831495379E-2</v>
      </c>
    </row>
    <row r="3029" spans="1:17" x14ac:dyDescent="0.25">
      <c r="A3029" t="s">
        <v>806</v>
      </c>
      <c r="B3029" t="s">
        <v>333</v>
      </c>
      <c r="C3029">
        <v>25</v>
      </c>
      <c r="D3029" s="194">
        <v>861.49400000000003</v>
      </c>
      <c r="E3029" t="s">
        <v>10</v>
      </c>
      <c r="F3029" s="194">
        <v>19.731999999999999</v>
      </c>
      <c r="G3029" t="s">
        <v>335</v>
      </c>
      <c r="H3029" s="124">
        <f t="shared" si="403"/>
        <v>2.2904396316167031E-2</v>
      </c>
    </row>
    <row r="3030" spans="1:17" x14ac:dyDescent="0.25">
      <c r="A3030"/>
      <c r="B3030"/>
      <c r="C3030"/>
      <c r="D3030" s="194"/>
      <c r="E3030"/>
      <c r="F3030" s="194"/>
      <c r="G3030"/>
      <c r="H3030" s="124"/>
    </row>
    <row r="3031" spans="1:17" x14ac:dyDescent="0.25">
      <c r="A3031" t="s">
        <v>807</v>
      </c>
      <c r="B3031"/>
      <c r="C3031"/>
      <c r="D3031" s="194"/>
      <c r="E3031"/>
      <c r="F3031" s="194"/>
      <c r="G3031"/>
      <c r="H3031" s="124"/>
    </row>
    <row r="3032" spans="1:17" ht="20" thickBot="1" x14ac:dyDescent="0.3">
      <c r="A3032" t="s">
        <v>2</v>
      </c>
      <c r="B3032" t="s">
        <v>3</v>
      </c>
      <c r="C3032" t="s">
        <v>4</v>
      </c>
      <c r="D3032" s="194" t="s">
        <v>5</v>
      </c>
      <c r="E3032" t="s">
        <v>6</v>
      </c>
      <c r="F3032" s="194" t="s">
        <v>7</v>
      </c>
      <c r="G3032"/>
      <c r="H3032" s="124"/>
    </row>
    <row r="3033" spans="1:17" x14ac:dyDescent="0.25">
      <c r="A3033" t="s">
        <v>812</v>
      </c>
      <c r="B3033" t="s">
        <v>333</v>
      </c>
      <c r="C3033">
        <v>25</v>
      </c>
      <c r="D3033" s="194">
        <v>1552096.5460000001</v>
      </c>
      <c r="E3033" t="s">
        <v>10</v>
      </c>
      <c r="F3033" s="194">
        <v>46202.974999999999</v>
      </c>
      <c r="G3033" t="s">
        <v>335</v>
      </c>
      <c r="H3033" s="124">
        <f t="shared" si="403"/>
        <v>2.9768106319850024E-2</v>
      </c>
      <c r="J3033" s="106" t="str">
        <f>A3031</f>
        <v>distinct2_90</v>
      </c>
      <c r="K3033" s="72" t="s">
        <v>344</v>
      </c>
      <c r="L3033" s="72" t="s">
        <v>341</v>
      </c>
      <c r="M3033" s="17" t="s">
        <v>162</v>
      </c>
      <c r="N3033" s="72" t="s">
        <v>343</v>
      </c>
      <c r="O3033" s="17" t="s">
        <v>162</v>
      </c>
      <c r="P3033" s="72" t="s">
        <v>342</v>
      </c>
      <c r="Q3033" s="21" t="s">
        <v>162</v>
      </c>
    </row>
    <row r="3034" spans="1:17" x14ac:dyDescent="0.25">
      <c r="A3034" t="s">
        <v>813</v>
      </c>
      <c r="B3034" t="s">
        <v>333</v>
      </c>
      <c r="C3034">
        <v>25</v>
      </c>
      <c r="D3034" s="194">
        <v>1600528.652</v>
      </c>
      <c r="E3034" t="s">
        <v>10</v>
      </c>
      <c r="F3034" s="194">
        <v>54193.633999999998</v>
      </c>
      <c r="G3034" t="s">
        <v>335</v>
      </c>
      <c r="H3034" s="124">
        <f t="shared" si="403"/>
        <v>3.3859833706994455E-2</v>
      </c>
      <c r="J3034" s="6">
        <v>100000</v>
      </c>
      <c r="K3034" s="119">
        <f>D3033</f>
        <v>1552096.5460000001</v>
      </c>
      <c r="L3034" s="119">
        <f>D3034</f>
        <v>1600528.652</v>
      </c>
      <c r="M3034" s="18">
        <f>(K3034/L3034-1)</f>
        <v>-3.0260068096550352E-2</v>
      </c>
      <c r="N3034" s="73">
        <f>D3035</f>
        <v>1446699.831</v>
      </c>
      <c r="O3034" s="18">
        <f>(K3034/N3034-1)</f>
        <v>7.2853201985339844E-2</v>
      </c>
      <c r="P3034" s="73">
        <f>D3036</f>
        <v>1439354.656</v>
      </c>
      <c r="Q3034" s="22">
        <f>(K3034/P3034-1)</f>
        <v>7.8328082331919902E-2</v>
      </c>
    </row>
    <row r="3035" spans="1:17" x14ac:dyDescent="0.25">
      <c r="A3035" t="s">
        <v>814</v>
      </c>
      <c r="B3035" t="s">
        <v>333</v>
      </c>
      <c r="C3035">
        <v>25</v>
      </c>
      <c r="D3035" s="194">
        <v>1446699.831</v>
      </c>
      <c r="E3035" t="s">
        <v>10</v>
      </c>
      <c r="F3035" s="194">
        <v>48304.078999999998</v>
      </c>
      <c r="G3035" t="s">
        <v>335</v>
      </c>
      <c r="H3035" s="124">
        <f t="shared" si="403"/>
        <v>3.3389150924702085E-2</v>
      </c>
      <c r="J3035" s="6">
        <v>50000</v>
      </c>
      <c r="K3035" s="119">
        <f>D3037</f>
        <v>8603660.4810000006</v>
      </c>
      <c r="L3035" s="119">
        <f>D3038</f>
        <v>9392896.1079999991</v>
      </c>
      <c r="M3035" s="18">
        <f t="shared" ref="M3035:M3038" si="409">(K3035/L3035-1)</f>
        <v>-8.4024737197699984E-2</v>
      </c>
      <c r="N3035" s="73">
        <f>D3039</f>
        <v>7774933.9369999999</v>
      </c>
      <c r="O3035" s="18">
        <f t="shared" ref="O3035:O3038" si="410">(K3035/N3035-1)</f>
        <v>0.10658952869762506</v>
      </c>
      <c r="P3035" s="73">
        <f>D3040</f>
        <v>8948828.8910000008</v>
      </c>
      <c r="Q3035" s="22">
        <f t="shared" ref="Q3035:Q3038" si="411">(K3035/P3035-1)</f>
        <v>-3.8571349860889836E-2</v>
      </c>
    </row>
    <row r="3036" spans="1:17" x14ac:dyDescent="0.25">
      <c r="A3036" t="s">
        <v>815</v>
      </c>
      <c r="B3036" t="s">
        <v>333</v>
      </c>
      <c r="C3036">
        <v>25</v>
      </c>
      <c r="D3036" s="194">
        <v>1439354.656</v>
      </c>
      <c r="E3036" t="s">
        <v>10</v>
      </c>
      <c r="F3036" s="194">
        <v>47580.794000000002</v>
      </c>
      <c r="G3036" t="s">
        <v>335</v>
      </c>
      <c r="H3036" s="124">
        <f t="shared" si="403"/>
        <v>3.3057032748431948E-2</v>
      </c>
      <c r="J3036" s="6">
        <v>10000</v>
      </c>
      <c r="K3036" s="119">
        <f>D3041</f>
        <v>249207.96299999999</v>
      </c>
      <c r="L3036" s="119">
        <f>D3042</f>
        <v>230799.71299999999</v>
      </c>
      <c r="M3036" s="18">
        <f t="shared" si="409"/>
        <v>7.9758548053307177E-2</v>
      </c>
      <c r="N3036" s="73">
        <f>D3043</f>
        <v>199196.06099999999</v>
      </c>
      <c r="O3036" s="18">
        <f t="shared" si="410"/>
        <v>0.25106872971750183</v>
      </c>
      <c r="P3036" s="73">
        <f>D3044</f>
        <v>200915.34400000001</v>
      </c>
      <c r="Q3036" s="22">
        <f t="shared" si="411"/>
        <v>0.24036302075564708</v>
      </c>
    </row>
    <row r="3037" spans="1:17" x14ac:dyDescent="0.25">
      <c r="A3037" t="s">
        <v>808</v>
      </c>
      <c r="B3037" t="s">
        <v>333</v>
      </c>
      <c r="C3037">
        <v>25</v>
      </c>
      <c r="D3037" s="194">
        <v>8603660.4810000006</v>
      </c>
      <c r="E3037" t="s">
        <v>10</v>
      </c>
      <c r="F3037" s="194">
        <v>380114.44300000003</v>
      </c>
      <c r="G3037" t="s">
        <v>335</v>
      </c>
      <c r="H3037" s="124">
        <f t="shared" si="403"/>
        <v>4.4180548946512993E-2</v>
      </c>
      <c r="J3037" s="67">
        <v>1000</v>
      </c>
      <c r="K3037" s="119">
        <f>D3045</f>
        <v>17078.451000000001</v>
      </c>
      <c r="L3037" s="119">
        <f>D3046</f>
        <v>20810.183000000001</v>
      </c>
      <c r="M3037" s="18">
        <f t="shared" si="409"/>
        <v>-0.1793224019221743</v>
      </c>
      <c r="N3037" s="73">
        <f>D3047</f>
        <v>16820.022000000001</v>
      </c>
      <c r="O3037" s="18">
        <f t="shared" si="410"/>
        <v>1.5364367537688217E-2</v>
      </c>
      <c r="P3037" s="73">
        <f>D3048</f>
        <v>16532.035</v>
      </c>
      <c r="Q3037" s="22">
        <f t="shared" si="411"/>
        <v>3.3051950349730186E-2</v>
      </c>
    </row>
    <row r="3038" spans="1:17" ht="20" thickBot="1" x14ac:dyDescent="0.3">
      <c r="A3038" t="s">
        <v>809</v>
      </c>
      <c r="B3038" t="s">
        <v>333</v>
      </c>
      <c r="C3038">
        <v>25</v>
      </c>
      <c r="D3038" s="194">
        <v>9392896.1079999991</v>
      </c>
      <c r="E3038" t="s">
        <v>10</v>
      </c>
      <c r="F3038" s="194">
        <v>474747.34</v>
      </c>
      <c r="G3038" t="s">
        <v>335</v>
      </c>
      <c r="H3038" s="124">
        <f t="shared" si="403"/>
        <v>5.0543233369275124E-2</v>
      </c>
      <c r="J3038" s="68">
        <v>100</v>
      </c>
      <c r="K3038" s="120">
        <f>D3049</f>
        <v>1379.5160000000001</v>
      </c>
      <c r="L3038" s="120">
        <f>D3050</f>
        <v>1511.0650000000001</v>
      </c>
      <c r="M3038" s="19">
        <f t="shared" si="409"/>
        <v>-8.7057141817195149E-2</v>
      </c>
      <c r="N3038" s="74">
        <f>D3051</f>
        <v>1139.154</v>
      </c>
      <c r="O3038" s="19">
        <f t="shared" si="410"/>
        <v>0.21100044418928432</v>
      </c>
      <c r="P3038" s="74">
        <f>D3052</f>
        <v>1398.7940000000001</v>
      </c>
      <c r="Q3038" s="23">
        <f t="shared" si="411"/>
        <v>-1.3781872098393322E-2</v>
      </c>
    </row>
    <row r="3039" spans="1:17" ht="20" thickBot="1" x14ac:dyDescent="0.3">
      <c r="A3039" t="s">
        <v>810</v>
      </c>
      <c r="B3039" t="s">
        <v>333</v>
      </c>
      <c r="C3039">
        <v>25</v>
      </c>
      <c r="D3039" s="194">
        <v>7774933.9369999999</v>
      </c>
      <c r="E3039" t="s">
        <v>10</v>
      </c>
      <c r="F3039" s="194">
        <v>377052.27500000002</v>
      </c>
      <c r="G3039" t="s">
        <v>335</v>
      </c>
      <c r="H3039" s="124">
        <f t="shared" si="403"/>
        <v>4.8495881515552487E-2</v>
      </c>
    </row>
    <row r="3040" spans="1:17" x14ac:dyDescent="0.25">
      <c r="A3040" t="s">
        <v>811</v>
      </c>
      <c r="B3040" t="s">
        <v>333</v>
      </c>
      <c r="C3040">
        <v>25</v>
      </c>
      <c r="D3040" s="194">
        <v>8948828.8910000008</v>
      </c>
      <c r="E3040" t="s">
        <v>10</v>
      </c>
      <c r="F3040" s="194">
        <v>611234.15099999995</v>
      </c>
      <c r="G3040" t="s">
        <v>335</v>
      </c>
      <c r="H3040" s="124">
        <f t="shared" si="403"/>
        <v>6.8303256039986326E-2</v>
      </c>
      <c r="J3040" s="106" t="str">
        <f>A3031</f>
        <v>distinct2_90</v>
      </c>
      <c r="K3040" s="72" t="s">
        <v>341</v>
      </c>
      <c r="L3040" s="72" t="s">
        <v>342</v>
      </c>
      <c r="M3040" s="17" t="s">
        <v>162</v>
      </c>
      <c r="N3040" s="72" t="s">
        <v>343</v>
      </c>
      <c r="O3040" s="21" t="s">
        <v>162</v>
      </c>
    </row>
    <row r="3041" spans="1:15" x14ac:dyDescent="0.25">
      <c r="A3041" t="s">
        <v>816</v>
      </c>
      <c r="B3041" t="s">
        <v>333</v>
      </c>
      <c r="C3041">
        <v>25</v>
      </c>
      <c r="D3041" s="194">
        <v>249207.96299999999</v>
      </c>
      <c r="E3041" t="s">
        <v>10</v>
      </c>
      <c r="F3041" s="194">
        <v>5824.5259999999998</v>
      </c>
      <c r="G3041" t="s">
        <v>335</v>
      </c>
      <c r="H3041" s="124">
        <f t="shared" si="403"/>
        <v>2.3372150431645717E-2</v>
      </c>
      <c r="J3041" s="6">
        <v>100000</v>
      </c>
      <c r="K3041" s="119">
        <f>D3034</f>
        <v>1600528.652</v>
      </c>
      <c r="L3041" s="119">
        <f>D3036</f>
        <v>1439354.656</v>
      </c>
      <c r="M3041" s="18">
        <f>(K3041/L3041-1)</f>
        <v>0.1119765690326151</v>
      </c>
      <c r="N3041" s="73">
        <f>D3035</f>
        <v>1446699.831</v>
      </c>
      <c r="O3041" s="22">
        <f>(N3041/L3041-1)</f>
        <v>5.103102956162564E-3</v>
      </c>
    </row>
    <row r="3042" spans="1:15" x14ac:dyDescent="0.25">
      <c r="A3042" t="s">
        <v>817</v>
      </c>
      <c r="B3042" t="s">
        <v>333</v>
      </c>
      <c r="C3042">
        <v>25</v>
      </c>
      <c r="D3042" s="194">
        <v>230799.71299999999</v>
      </c>
      <c r="E3042" t="s">
        <v>10</v>
      </c>
      <c r="F3042" s="194">
        <v>4974.6909999999998</v>
      </c>
      <c r="G3042" t="s">
        <v>335</v>
      </c>
      <c r="H3042" s="124">
        <f t="shared" si="403"/>
        <v>2.1554147253207374E-2</v>
      </c>
      <c r="J3042" s="6">
        <v>50000</v>
      </c>
      <c r="K3042" s="119">
        <f>D3038</f>
        <v>9392896.1079999991</v>
      </c>
      <c r="L3042" s="119">
        <f>D3040</f>
        <v>8948828.8910000008</v>
      </c>
      <c r="M3042" s="18">
        <f t="shared" ref="M3042:M3045" si="412">(K3042/L3042-1)</f>
        <v>4.9622941997092385E-2</v>
      </c>
      <c r="N3042" s="73">
        <f>D3039</f>
        <v>7774933.9369999999</v>
      </c>
      <c r="O3042" s="22">
        <f t="shared" ref="O3042:O3045" si="413">(N3042/L3042-1)</f>
        <v>-0.13117861211768256</v>
      </c>
    </row>
    <row r="3043" spans="1:15" x14ac:dyDescent="0.25">
      <c r="A3043" t="s">
        <v>818</v>
      </c>
      <c r="B3043" t="s">
        <v>333</v>
      </c>
      <c r="C3043">
        <v>25</v>
      </c>
      <c r="D3043" s="194">
        <v>199196.06099999999</v>
      </c>
      <c r="E3043" t="s">
        <v>10</v>
      </c>
      <c r="F3043" s="194">
        <v>5840.817</v>
      </c>
      <c r="G3043" t="s">
        <v>335</v>
      </c>
      <c r="H3043" s="124">
        <f t="shared" si="403"/>
        <v>2.9321950296999098E-2</v>
      </c>
      <c r="J3043" s="6">
        <v>10000</v>
      </c>
      <c r="K3043" s="119">
        <f>D3042</f>
        <v>230799.71299999999</v>
      </c>
      <c r="L3043" s="119">
        <f>D3044</f>
        <v>200915.34400000001</v>
      </c>
      <c r="M3043" s="18">
        <f t="shared" si="412"/>
        <v>0.14874109863903673</v>
      </c>
      <c r="N3043" s="73">
        <f>D3043</f>
        <v>199196.06099999999</v>
      </c>
      <c r="O3043" s="22">
        <f t="shared" si="413"/>
        <v>-8.5572508588493967E-3</v>
      </c>
    </row>
    <row r="3044" spans="1:15" x14ac:dyDescent="0.25">
      <c r="A3044" t="s">
        <v>819</v>
      </c>
      <c r="B3044" t="s">
        <v>333</v>
      </c>
      <c r="C3044">
        <v>25</v>
      </c>
      <c r="D3044" s="194">
        <v>200915.34400000001</v>
      </c>
      <c r="E3044" t="s">
        <v>10</v>
      </c>
      <c r="F3044" s="194">
        <v>6019.52</v>
      </c>
      <c r="G3044" t="s">
        <v>335</v>
      </c>
      <c r="H3044" s="124">
        <f t="shared" si="403"/>
        <v>2.9960479275291191E-2</v>
      </c>
      <c r="J3044" s="67">
        <v>1000</v>
      </c>
      <c r="K3044" s="119">
        <f>D3046</f>
        <v>20810.183000000001</v>
      </c>
      <c r="L3044" s="119">
        <f>D3048</f>
        <v>16532.035</v>
      </c>
      <c r="M3044" s="18">
        <f t="shared" si="412"/>
        <v>0.25877927309009463</v>
      </c>
      <c r="N3044" s="73">
        <f>D3047</f>
        <v>16820.022000000001</v>
      </c>
      <c r="O3044" s="22">
        <f t="shared" si="413"/>
        <v>1.7419936505094658E-2</v>
      </c>
    </row>
    <row r="3045" spans="1:15" ht="20" thickBot="1" x14ac:dyDescent="0.3">
      <c r="A3045" t="s">
        <v>820</v>
      </c>
      <c r="B3045" t="s">
        <v>333</v>
      </c>
      <c r="C3045">
        <v>25</v>
      </c>
      <c r="D3045" s="194">
        <v>17078.451000000001</v>
      </c>
      <c r="E3045" t="s">
        <v>10</v>
      </c>
      <c r="F3045" s="194">
        <v>576.40499999999997</v>
      </c>
      <c r="G3045" t="s">
        <v>335</v>
      </c>
      <c r="H3045" s="124">
        <f t="shared" si="403"/>
        <v>3.3750426194975175E-2</v>
      </c>
      <c r="J3045" s="68">
        <v>100</v>
      </c>
      <c r="K3045" s="120">
        <f>D3050</f>
        <v>1511.0650000000001</v>
      </c>
      <c r="L3045" s="120">
        <f>D3052</f>
        <v>1398.7940000000001</v>
      </c>
      <c r="M3045" s="19">
        <f t="shared" si="412"/>
        <v>8.0262712021927474E-2</v>
      </c>
      <c r="N3045" s="74">
        <f>D3051</f>
        <v>1139.154</v>
      </c>
      <c r="O3045" s="23">
        <f t="shared" si="413"/>
        <v>-0.18561703867760382</v>
      </c>
    </row>
    <row r="3046" spans="1:15" x14ac:dyDescent="0.25">
      <c r="A3046" t="s">
        <v>821</v>
      </c>
      <c r="B3046" t="s">
        <v>333</v>
      </c>
      <c r="C3046">
        <v>25</v>
      </c>
      <c r="D3046" s="194">
        <v>20810.183000000001</v>
      </c>
      <c r="E3046" t="s">
        <v>10</v>
      </c>
      <c r="F3046" s="194">
        <v>517.59500000000003</v>
      </c>
      <c r="G3046" t="s">
        <v>335</v>
      </c>
      <c r="H3046" s="124">
        <f t="shared" si="403"/>
        <v>2.4872198384800363E-2</v>
      </c>
    </row>
    <row r="3047" spans="1:15" x14ac:dyDescent="0.25">
      <c r="A3047" t="s">
        <v>822</v>
      </c>
      <c r="B3047" t="s">
        <v>333</v>
      </c>
      <c r="C3047">
        <v>25</v>
      </c>
      <c r="D3047" s="194">
        <v>16820.022000000001</v>
      </c>
      <c r="E3047" t="s">
        <v>10</v>
      </c>
      <c r="F3047" s="194">
        <v>515.66099999999994</v>
      </c>
      <c r="G3047" t="s">
        <v>335</v>
      </c>
      <c r="H3047" s="124">
        <f t="shared" si="403"/>
        <v>3.0657569889028676E-2</v>
      </c>
    </row>
    <row r="3048" spans="1:15" x14ac:dyDescent="0.25">
      <c r="A3048" t="s">
        <v>823</v>
      </c>
      <c r="B3048" t="s">
        <v>333</v>
      </c>
      <c r="C3048">
        <v>25</v>
      </c>
      <c r="D3048" s="194">
        <v>16532.035</v>
      </c>
      <c r="E3048" t="s">
        <v>10</v>
      </c>
      <c r="F3048" s="194">
        <v>460.07</v>
      </c>
      <c r="G3048" t="s">
        <v>335</v>
      </c>
      <c r="H3048" s="124">
        <f t="shared" si="403"/>
        <v>2.7828999878115428E-2</v>
      </c>
    </row>
    <row r="3049" spans="1:15" x14ac:dyDescent="0.25">
      <c r="A3049" t="s">
        <v>824</v>
      </c>
      <c r="B3049" t="s">
        <v>333</v>
      </c>
      <c r="C3049">
        <v>25</v>
      </c>
      <c r="D3049" s="194">
        <v>1379.5160000000001</v>
      </c>
      <c r="E3049" t="s">
        <v>10</v>
      </c>
      <c r="F3049" s="194">
        <v>36.814999999999998</v>
      </c>
      <c r="G3049" t="s">
        <v>335</v>
      </c>
      <c r="H3049" s="124">
        <f t="shared" si="403"/>
        <v>2.6686895983808811E-2</v>
      </c>
    </row>
    <row r="3050" spans="1:15" x14ac:dyDescent="0.25">
      <c r="A3050" t="s">
        <v>825</v>
      </c>
      <c r="B3050" t="s">
        <v>333</v>
      </c>
      <c r="C3050">
        <v>25</v>
      </c>
      <c r="D3050" s="194">
        <v>1511.0650000000001</v>
      </c>
      <c r="E3050" t="s">
        <v>10</v>
      </c>
      <c r="F3050" s="194">
        <v>31.683</v>
      </c>
      <c r="G3050" t="s">
        <v>335</v>
      </c>
      <c r="H3050" s="124">
        <f t="shared" si="403"/>
        <v>2.0967330988408837E-2</v>
      </c>
    </row>
    <row r="3051" spans="1:15" x14ac:dyDescent="0.25">
      <c r="A3051" t="s">
        <v>826</v>
      </c>
      <c r="B3051" t="s">
        <v>333</v>
      </c>
      <c r="C3051">
        <v>25</v>
      </c>
      <c r="D3051" s="194">
        <v>1139.154</v>
      </c>
      <c r="E3051" t="s">
        <v>10</v>
      </c>
      <c r="F3051" s="194">
        <v>24.509</v>
      </c>
      <c r="G3051" t="s">
        <v>335</v>
      </c>
      <c r="H3051" s="124">
        <f t="shared" si="403"/>
        <v>2.151508926800064E-2</v>
      </c>
    </row>
    <row r="3052" spans="1:15" x14ac:dyDescent="0.25">
      <c r="A3052" t="s">
        <v>827</v>
      </c>
      <c r="B3052" t="s">
        <v>333</v>
      </c>
      <c r="C3052">
        <v>25</v>
      </c>
      <c r="D3052" s="194">
        <v>1398.7940000000001</v>
      </c>
      <c r="E3052" t="s">
        <v>10</v>
      </c>
      <c r="F3052" s="194">
        <v>35.564</v>
      </c>
      <c r="G3052" t="s">
        <v>335</v>
      </c>
      <c r="H3052" s="124">
        <f t="shared" si="403"/>
        <v>2.5424758756471644E-2</v>
      </c>
    </row>
    <row r="3053" spans="1:15" x14ac:dyDescent="0.25">
      <c r="A3053"/>
      <c r="B3053"/>
      <c r="C3053"/>
      <c r="D3053" s="194"/>
      <c r="E3053"/>
      <c r="F3053" s="194"/>
      <c r="G3053"/>
      <c r="H3053" s="124"/>
    </row>
    <row r="3054" spans="1:15" x14ac:dyDescent="0.25">
      <c r="A3054" t="s">
        <v>724</v>
      </c>
      <c r="B3054"/>
      <c r="C3054"/>
      <c r="D3054" s="194"/>
      <c r="E3054"/>
      <c r="F3054" s="194"/>
      <c r="G3054"/>
      <c r="H3054" s="124"/>
    </row>
    <row r="3055" spans="1:15" ht="20" thickBot="1" x14ac:dyDescent="0.3">
      <c r="A3055" t="s">
        <v>2</v>
      </c>
      <c r="B3055" t="s">
        <v>3</v>
      </c>
      <c r="C3055" t="s">
        <v>4</v>
      </c>
      <c r="D3055" s="194" t="s">
        <v>5</v>
      </c>
      <c r="E3055" t="s">
        <v>6</v>
      </c>
      <c r="F3055" s="194" t="s">
        <v>7</v>
      </c>
      <c r="G3055"/>
      <c r="H3055" s="124"/>
    </row>
    <row r="3056" spans="1:15" x14ac:dyDescent="0.25">
      <c r="A3056" t="s">
        <v>725</v>
      </c>
      <c r="B3056" t="s">
        <v>333</v>
      </c>
      <c r="C3056">
        <v>25</v>
      </c>
      <c r="D3056" s="194">
        <v>223383.40299999999</v>
      </c>
      <c r="E3056" t="s">
        <v>10</v>
      </c>
      <c r="F3056" s="194">
        <v>7822.7939999999999</v>
      </c>
      <c r="G3056" t="s">
        <v>335</v>
      </c>
      <c r="H3056" s="124">
        <f t="shared" si="403"/>
        <v>3.5019584691347909E-2</v>
      </c>
      <c r="J3056" s="105" t="str">
        <f>A3054</f>
        <v>filter2_10</v>
      </c>
      <c r="K3056" s="72" t="s">
        <v>340</v>
      </c>
      <c r="L3056" s="72" t="s">
        <v>341</v>
      </c>
      <c r="M3056" s="17" t="s">
        <v>162</v>
      </c>
      <c r="N3056" s="72" t="s">
        <v>342</v>
      </c>
      <c r="O3056" s="21" t="s">
        <v>162</v>
      </c>
    </row>
    <row r="3057" spans="1:15" x14ac:dyDescent="0.25">
      <c r="A3057" t="s">
        <v>726</v>
      </c>
      <c r="B3057" t="s">
        <v>333</v>
      </c>
      <c r="C3057">
        <v>25</v>
      </c>
      <c r="D3057" s="194">
        <v>136031.89499999999</v>
      </c>
      <c r="E3057" t="s">
        <v>10</v>
      </c>
      <c r="F3057" s="194">
        <v>3780.2510000000002</v>
      </c>
      <c r="G3057" t="s">
        <v>335</v>
      </c>
      <c r="H3057" s="124">
        <f t="shared" si="403"/>
        <v>2.778944599720529E-2</v>
      </c>
      <c r="J3057" s="6">
        <v>100000</v>
      </c>
      <c r="K3057" s="119">
        <f>D3056</f>
        <v>223383.40299999999</v>
      </c>
      <c r="L3057" s="119">
        <f>D3057</f>
        <v>136031.89499999999</v>
      </c>
      <c r="M3057" s="18">
        <f>(K3057/L3057-1)</f>
        <v>0.64213990402765475</v>
      </c>
      <c r="N3057" s="73">
        <f>D3058</f>
        <v>110057.788</v>
      </c>
      <c r="O3057" s="22">
        <f>(K3057/N3057-1)</f>
        <v>1.0296919196667846</v>
      </c>
    </row>
    <row r="3058" spans="1:15" x14ac:dyDescent="0.25">
      <c r="A3058" t="s">
        <v>727</v>
      </c>
      <c r="B3058" t="s">
        <v>333</v>
      </c>
      <c r="C3058">
        <v>25</v>
      </c>
      <c r="D3058" s="194">
        <v>110057.788</v>
      </c>
      <c r="E3058" t="s">
        <v>10</v>
      </c>
      <c r="F3058" s="194">
        <v>2907.3330000000001</v>
      </c>
      <c r="G3058" t="s">
        <v>335</v>
      </c>
      <c r="H3058" s="124">
        <f t="shared" si="403"/>
        <v>2.641642225264422E-2</v>
      </c>
      <c r="J3058" s="6">
        <v>50000</v>
      </c>
      <c r="K3058" s="119">
        <f>D3059</f>
        <v>221271.663</v>
      </c>
      <c r="L3058" s="119">
        <f>D3060</f>
        <v>49906.853000000003</v>
      </c>
      <c r="M3058" s="18">
        <f t="shared" ref="M3058:M3061" si="414">(K3058/L3058-1)</f>
        <v>3.4336929639702989</v>
      </c>
      <c r="N3058" s="73">
        <f>D3061</f>
        <v>382512.924</v>
      </c>
      <c r="O3058" s="22">
        <f t="shared" ref="O3058:O3061" si="415">(K3058/N3058-1)</f>
        <v>-0.42153153758538109</v>
      </c>
    </row>
    <row r="3059" spans="1:15" x14ac:dyDescent="0.25">
      <c r="A3059" t="s">
        <v>728</v>
      </c>
      <c r="B3059" t="s">
        <v>333</v>
      </c>
      <c r="C3059">
        <v>25</v>
      </c>
      <c r="D3059" s="194">
        <v>221271.663</v>
      </c>
      <c r="E3059" t="s">
        <v>10</v>
      </c>
      <c r="F3059" s="194">
        <v>6114.6729999999998</v>
      </c>
      <c r="G3059" t="s">
        <v>335</v>
      </c>
      <c r="H3059" s="124">
        <f t="shared" si="403"/>
        <v>2.763423439358342E-2</v>
      </c>
      <c r="J3059" s="6">
        <v>10000</v>
      </c>
      <c r="K3059" s="119">
        <f>D3062</f>
        <v>32882.082999999999</v>
      </c>
      <c r="L3059" s="119">
        <f>D3063</f>
        <v>8231.1020000000008</v>
      </c>
      <c r="M3059" s="18">
        <f t="shared" si="414"/>
        <v>2.9948579181742612</v>
      </c>
      <c r="N3059" s="73">
        <f>D3064</f>
        <v>71515.706000000006</v>
      </c>
      <c r="O3059" s="22">
        <f t="shared" si="415"/>
        <v>-0.54021172635840298</v>
      </c>
    </row>
    <row r="3060" spans="1:15" x14ac:dyDescent="0.25">
      <c r="A3060" t="s">
        <v>729</v>
      </c>
      <c r="B3060" t="s">
        <v>333</v>
      </c>
      <c r="C3060">
        <v>25</v>
      </c>
      <c r="D3060" s="194">
        <v>49906.853000000003</v>
      </c>
      <c r="E3060" t="s">
        <v>10</v>
      </c>
      <c r="F3060" s="194">
        <v>1335.424</v>
      </c>
      <c r="G3060" t="s">
        <v>335</v>
      </c>
      <c r="H3060" s="124">
        <f t="shared" si="403"/>
        <v>2.6758329161728548E-2</v>
      </c>
      <c r="J3060" s="67">
        <v>1000</v>
      </c>
      <c r="K3060" s="119">
        <f>D3065</f>
        <v>1701.501</v>
      </c>
      <c r="L3060" s="119">
        <f>D3066</f>
        <v>765.45899999999995</v>
      </c>
      <c r="M3060" s="18">
        <f t="shared" si="414"/>
        <v>1.2228506033634723</v>
      </c>
      <c r="N3060" s="73">
        <f>D3067</f>
        <v>6075.4080000000004</v>
      </c>
      <c r="O3060" s="22">
        <f t="shared" si="415"/>
        <v>-0.71993634007790097</v>
      </c>
    </row>
    <row r="3061" spans="1:15" ht="20" thickBot="1" x14ac:dyDescent="0.3">
      <c r="A3061" t="s">
        <v>730</v>
      </c>
      <c r="B3061" t="s">
        <v>333</v>
      </c>
      <c r="C3061">
        <v>25</v>
      </c>
      <c r="D3061" s="194">
        <v>382512.924</v>
      </c>
      <c r="E3061" t="s">
        <v>10</v>
      </c>
      <c r="F3061" s="194">
        <v>12871.831</v>
      </c>
      <c r="G3061" t="s">
        <v>335</v>
      </c>
      <c r="H3061" s="124">
        <f t="shared" si="403"/>
        <v>3.3650708753568806E-2</v>
      </c>
      <c r="J3061" s="68">
        <v>100</v>
      </c>
      <c r="K3061" s="120">
        <f>D3068</f>
        <v>205.64500000000001</v>
      </c>
      <c r="L3061" s="120">
        <f>D3069</f>
        <v>79.043000000000006</v>
      </c>
      <c r="M3061" s="19">
        <f t="shared" si="414"/>
        <v>1.6016851587110814</v>
      </c>
      <c r="N3061" s="74">
        <f>D3070</f>
        <v>667.45699999999999</v>
      </c>
      <c r="O3061" s="23">
        <f t="shared" si="415"/>
        <v>-0.69189775521119712</v>
      </c>
    </row>
    <row r="3062" spans="1:15" ht="20" thickBot="1" x14ac:dyDescent="0.3">
      <c r="A3062" t="s">
        <v>731</v>
      </c>
      <c r="B3062" t="s">
        <v>333</v>
      </c>
      <c r="C3062">
        <v>25</v>
      </c>
      <c r="D3062" s="194">
        <v>32882.082999999999</v>
      </c>
      <c r="E3062" t="s">
        <v>10</v>
      </c>
      <c r="F3062" s="194">
        <v>741.12400000000002</v>
      </c>
      <c r="G3062" t="s">
        <v>335</v>
      </c>
      <c r="H3062" s="124">
        <f t="shared" si="403"/>
        <v>2.2538839768757962E-2</v>
      </c>
    </row>
    <row r="3063" spans="1:15" x14ac:dyDescent="0.25">
      <c r="A3063" t="s">
        <v>732</v>
      </c>
      <c r="B3063" t="s">
        <v>333</v>
      </c>
      <c r="C3063">
        <v>25</v>
      </c>
      <c r="D3063" s="194">
        <v>8231.1020000000008</v>
      </c>
      <c r="E3063" t="s">
        <v>10</v>
      </c>
      <c r="F3063" s="194">
        <v>211.262</v>
      </c>
      <c r="G3063" t="s">
        <v>335</v>
      </c>
      <c r="H3063" s="124">
        <f t="shared" si="403"/>
        <v>2.5666308107954436E-2</v>
      </c>
      <c r="J3063" s="105" t="str">
        <f>A3054</f>
        <v>filter2_10</v>
      </c>
      <c r="K3063" s="72" t="s">
        <v>341</v>
      </c>
      <c r="L3063" s="72" t="s">
        <v>342</v>
      </c>
      <c r="M3063" s="21" t="s">
        <v>162</v>
      </c>
    </row>
    <row r="3064" spans="1:15" x14ac:dyDescent="0.25">
      <c r="A3064" t="s">
        <v>733</v>
      </c>
      <c r="B3064" t="s">
        <v>333</v>
      </c>
      <c r="C3064">
        <v>25</v>
      </c>
      <c r="D3064" s="194">
        <v>71515.706000000006</v>
      </c>
      <c r="E3064" t="s">
        <v>10</v>
      </c>
      <c r="F3064" s="194">
        <v>2159.471</v>
      </c>
      <c r="G3064" t="s">
        <v>335</v>
      </c>
      <c r="H3064" s="124">
        <f t="shared" si="403"/>
        <v>3.0195758677121917E-2</v>
      </c>
      <c r="J3064" s="6">
        <v>100000</v>
      </c>
      <c r="K3064" s="119">
        <f>D3057</f>
        <v>136031.89499999999</v>
      </c>
      <c r="L3064" s="119">
        <f>D3058</f>
        <v>110057.788</v>
      </c>
      <c r="M3064" s="22">
        <f>(K3064/L3064-1)</f>
        <v>0.23600426168841393</v>
      </c>
    </row>
    <row r="3065" spans="1:15" x14ac:dyDescent="0.25">
      <c r="A3065" t="s">
        <v>734</v>
      </c>
      <c r="B3065" t="s">
        <v>333</v>
      </c>
      <c r="C3065">
        <v>25</v>
      </c>
      <c r="D3065" s="194">
        <v>1701.501</v>
      </c>
      <c r="E3065" t="s">
        <v>10</v>
      </c>
      <c r="F3065" s="194">
        <v>35.804000000000002</v>
      </c>
      <c r="G3065" t="s">
        <v>335</v>
      </c>
      <c r="H3065" s="124">
        <f t="shared" si="403"/>
        <v>2.1042597095153045E-2</v>
      </c>
      <c r="J3065" s="6">
        <v>50000</v>
      </c>
      <c r="K3065" s="119">
        <f>D3060</f>
        <v>49906.853000000003</v>
      </c>
      <c r="L3065" s="119">
        <f>D3061</f>
        <v>382512.924</v>
      </c>
      <c r="M3065" s="22">
        <f t="shared" ref="M3065:M3068" si="416">(K3065/L3065-1)</f>
        <v>-0.86952897570592935</v>
      </c>
    </row>
    <row r="3066" spans="1:15" x14ac:dyDescent="0.25">
      <c r="A3066" t="s">
        <v>735</v>
      </c>
      <c r="B3066" t="s">
        <v>333</v>
      </c>
      <c r="C3066">
        <v>25</v>
      </c>
      <c r="D3066" s="194">
        <v>765.45899999999995</v>
      </c>
      <c r="E3066" t="s">
        <v>10</v>
      </c>
      <c r="F3066" s="194">
        <v>17.815000000000001</v>
      </c>
      <c r="G3066" t="s">
        <v>335</v>
      </c>
      <c r="H3066" s="124">
        <f t="shared" si="403"/>
        <v>2.3273617528829112E-2</v>
      </c>
      <c r="J3066" s="6">
        <v>10000</v>
      </c>
      <c r="K3066" s="119">
        <f>D3063</f>
        <v>8231.1020000000008</v>
      </c>
      <c r="L3066" s="119">
        <f>D3064</f>
        <v>71515.706000000006</v>
      </c>
      <c r="M3066" s="22">
        <f t="shared" si="416"/>
        <v>-0.88490497457998951</v>
      </c>
    </row>
    <row r="3067" spans="1:15" x14ac:dyDescent="0.25">
      <c r="A3067" t="s">
        <v>736</v>
      </c>
      <c r="B3067" t="s">
        <v>333</v>
      </c>
      <c r="C3067">
        <v>25</v>
      </c>
      <c r="D3067" s="194">
        <v>6075.4080000000004</v>
      </c>
      <c r="E3067" t="s">
        <v>10</v>
      </c>
      <c r="F3067" s="194">
        <v>162.62200000000001</v>
      </c>
      <c r="G3067" t="s">
        <v>335</v>
      </c>
      <c r="H3067" s="124">
        <f t="shared" si="403"/>
        <v>2.6767255795824743E-2</v>
      </c>
      <c r="J3067" s="67">
        <v>1000</v>
      </c>
      <c r="K3067" s="119">
        <f>D3066</f>
        <v>765.45899999999995</v>
      </c>
      <c r="L3067" s="119">
        <f>D3067</f>
        <v>6075.4080000000004</v>
      </c>
      <c r="M3067" s="22">
        <f t="shared" si="416"/>
        <v>-0.87400698027194224</v>
      </c>
    </row>
    <row r="3068" spans="1:15" ht="20" thickBot="1" x14ac:dyDescent="0.3">
      <c r="A3068" t="s">
        <v>737</v>
      </c>
      <c r="B3068" t="s">
        <v>333</v>
      </c>
      <c r="C3068">
        <v>25</v>
      </c>
      <c r="D3068" s="194">
        <v>205.64500000000001</v>
      </c>
      <c r="E3068" t="s">
        <v>10</v>
      </c>
      <c r="F3068" s="194">
        <v>4.218</v>
      </c>
      <c r="G3068" t="s">
        <v>335</v>
      </c>
      <c r="H3068" s="124">
        <f t="shared" si="403"/>
        <v>2.0511074910646989E-2</v>
      </c>
      <c r="J3068" s="68">
        <v>100</v>
      </c>
      <c r="K3068" s="120">
        <f>D3069</f>
        <v>79.043000000000006</v>
      </c>
      <c r="L3068" s="120">
        <f>D3070</f>
        <v>667.45699999999999</v>
      </c>
      <c r="M3068" s="23">
        <f t="shared" si="416"/>
        <v>-0.8815758917802945</v>
      </c>
    </row>
    <row r="3069" spans="1:15" x14ac:dyDescent="0.25">
      <c r="A3069" t="s">
        <v>738</v>
      </c>
      <c r="B3069" t="s">
        <v>333</v>
      </c>
      <c r="C3069">
        <v>25</v>
      </c>
      <c r="D3069" s="194">
        <v>79.043000000000006</v>
      </c>
      <c r="E3069" t="s">
        <v>10</v>
      </c>
      <c r="F3069" s="194">
        <v>3.3730000000000002</v>
      </c>
      <c r="G3069" t="s">
        <v>335</v>
      </c>
      <c r="H3069" s="124">
        <f t="shared" si="403"/>
        <v>4.2672975469048489E-2</v>
      </c>
    </row>
    <row r="3070" spans="1:15" x14ac:dyDescent="0.25">
      <c r="A3070" t="s">
        <v>739</v>
      </c>
      <c r="B3070" t="s">
        <v>333</v>
      </c>
      <c r="C3070">
        <v>25</v>
      </c>
      <c r="D3070" s="194">
        <v>667.45699999999999</v>
      </c>
      <c r="E3070" t="s">
        <v>10</v>
      </c>
      <c r="F3070" s="194">
        <v>19.798999999999999</v>
      </c>
      <c r="G3070" t="s">
        <v>335</v>
      </c>
      <c r="H3070" s="124">
        <f t="shared" si="403"/>
        <v>2.9663334117403819E-2</v>
      </c>
    </row>
    <row r="3071" spans="1:15" x14ac:dyDescent="0.25">
      <c r="A3071"/>
      <c r="B3071"/>
      <c r="C3071"/>
      <c r="D3071" s="194"/>
      <c r="E3071"/>
      <c r="F3071" s="194"/>
      <c r="G3071"/>
      <c r="H3071" s="124"/>
    </row>
    <row r="3072" spans="1:15" x14ac:dyDescent="0.25">
      <c r="A3072" t="s">
        <v>740</v>
      </c>
      <c r="B3072"/>
      <c r="C3072"/>
      <c r="D3072" s="194"/>
      <c r="E3072"/>
      <c r="F3072" s="194"/>
      <c r="G3072"/>
      <c r="H3072" s="124"/>
    </row>
    <row r="3073" spans="1:15" ht="20" thickBot="1" x14ac:dyDescent="0.3">
      <c r="A3073" t="s">
        <v>2</v>
      </c>
      <c r="B3073" t="s">
        <v>3</v>
      </c>
      <c r="C3073" t="s">
        <v>4</v>
      </c>
      <c r="D3073" s="194" t="s">
        <v>5</v>
      </c>
      <c r="E3073" t="s">
        <v>6</v>
      </c>
      <c r="F3073" s="194" t="s">
        <v>7</v>
      </c>
      <c r="G3073"/>
      <c r="H3073" s="124"/>
    </row>
    <row r="3074" spans="1:15" x14ac:dyDescent="0.25">
      <c r="A3074" t="s">
        <v>741</v>
      </c>
      <c r="B3074" t="s">
        <v>333</v>
      </c>
      <c r="C3074">
        <v>25</v>
      </c>
      <c r="D3074" s="194">
        <v>771338.09900000005</v>
      </c>
      <c r="E3074" t="s">
        <v>10</v>
      </c>
      <c r="F3074" s="194">
        <v>23827.441999999999</v>
      </c>
      <c r="G3074" t="s">
        <v>335</v>
      </c>
      <c r="H3074" s="124">
        <f t="shared" ref="H3074:H3129" si="417">F3074/D3074</f>
        <v>3.0891047688284871E-2</v>
      </c>
      <c r="J3074" s="105" t="str">
        <f>A3072</f>
        <v>filter2_90</v>
      </c>
      <c r="K3074" s="72" t="s">
        <v>340</v>
      </c>
      <c r="L3074" s="72" t="s">
        <v>341</v>
      </c>
      <c r="M3074" s="17" t="s">
        <v>162</v>
      </c>
      <c r="N3074" s="72" t="s">
        <v>342</v>
      </c>
      <c r="O3074" s="21" t="s">
        <v>162</v>
      </c>
    </row>
    <row r="3075" spans="1:15" x14ac:dyDescent="0.25">
      <c r="A3075" t="s">
        <v>742</v>
      </c>
      <c r="B3075" t="s">
        <v>333</v>
      </c>
      <c r="C3075">
        <v>25</v>
      </c>
      <c r="D3075" s="194">
        <v>199911.63800000001</v>
      </c>
      <c r="E3075" t="s">
        <v>10</v>
      </c>
      <c r="F3075" s="194">
        <v>5271.35</v>
      </c>
      <c r="G3075" t="s">
        <v>335</v>
      </c>
      <c r="H3075" s="124">
        <f t="shared" si="417"/>
        <v>2.636839982272568E-2</v>
      </c>
      <c r="J3075" s="6">
        <v>100000</v>
      </c>
      <c r="K3075" s="119">
        <f>D3074</f>
        <v>771338.09900000005</v>
      </c>
      <c r="L3075" s="119">
        <f>D3075</f>
        <v>199911.63800000001</v>
      </c>
      <c r="M3075" s="18">
        <f>(K3075/L3075-1)</f>
        <v>2.8583951725711936</v>
      </c>
      <c r="N3075" s="73">
        <f>D3076</f>
        <v>129927.893</v>
      </c>
      <c r="O3075" s="22">
        <f>(K3075/N3075-1)</f>
        <v>4.936662876538759</v>
      </c>
    </row>
    <row r="3076" spans="1:15" x14ac:dyDescent="0.25">
      <c r="A3076" t="s">
        <v>743</v>
      </c>
      <c r="B3076" t="s">
        <v>333</v>
      </c>
      <c r="C3076">
        <v>25</v>
      </c>
      <c r="D3076" s="194">
        <v>129927.893</v>
      </c>
      <c r="E3076" t="s">
        <v>10</v>
      </c>
      <c r="F3076" s="194">
        <v>4337.0290000000005</v>
      </c>
      <c r="G3076" t="s">
        <v>335</v>
      </c>
      <c r="H3076" s="124">
        <f t="shared" si="417"/>
        <v>3.3380276550778826E-2</v>
      </c>
      <c r="J3076" s="6">
        <v>50000</v>
      </c>
      <c r="K3076" s="119">
        <f>D3077</f>
        <v>321323.565</v>
      </c>
      <c r="L3076" s="119">
        <f>D3078</f>
        <v>76745.45</v>
      </c>
      <c r="M3076" s="18">
        <f t="shared" ref="M3076:M3079" si="418">(K3076/L3076-1)</f>
        <v>3.1868744661735651</v>
      </c>
      <c r="N3076" s="73">
        <f>D3079</f>
        <v>40192.048999999999</v>
      </c>
      <c r="O3076" s="22">
        <f t="shared" ref="O3076:O3079" si="419">(K3076/N3076-1)</f>
        <v>6.994704748692957</v>
      </c>
    </row>
    <row r="3077" spans="1:15" x14ac:dyDescent="0.25">
      <c r="A3077" t="s">
        <v>744</v>
      </c>
      <c r="B3077" t="s">
        <v>333</v>
      </c>
      <c r="C3077">
        <v>25</v>
      </c>
      <c r="D3077" s="194">
        <v>321323.565</v>
      </c>
      <c r="E3077" t="s">
        <v>10</v>
      </c>
      <c r="F3077" s="194">
        <v>8611.7630000000008</v>
      </c>
      <c r="G3077" t="s">
        <v>335</v>
      </c>
      <c r="H3077" s="124">
        <f t="shared" si="417"/>
        <v>2.680090705454485E-2</v>
      </c>
      <c r="J3077" s="6">
        <v>10000</v>
      </c>
      <c r="K3077" s="119">
        <f>D3080</f>
        <v>60653.906999999999</v>
      </c>
      <c r="L3077" s="119">
        <f>D3081</f>
        <v>12404.655000000001</v>
      </c>
      <c r="M3077" s="18">
        <f t="shared" si="418"/>
        <v>3.8896085380850973</v>
      </c>
      <c r="N3077" s="73">
        <f>D3082</f>
        <v>74355.297000000006</v>
      </c>
      <c r="O3077" s="22">
        <f t="shared" si="419"/>
        <v>-0.1842691852874988</v>
      </c>
    </row>
    <row r="3078" spans="1:15" x14ac:dyDescent="0.25">
      <c r="A3078" t="s">
        <v>745</v>
      </c>
      <c r="B3078" t="s">
        <v>333</v>
      </c>
      <c r="C3078">
        <v>25</v>
      </c>
      <c r="D3078" s="194">
        <v>76745.45</v>
      </c>
      <c r="E3078" t="s">
        <v>10</v>
      </c>
      <c r="F3078" s="194">
        <v>1268.2159999999999</v>
      </c>
      <c r="G3078" t="s">
        <v>335</v>
      </c>
      <c r="H3078" s="124">
        <f t="shared" si="417"/>
        <v>1.6524966626686011E-2</v>
      </c>
      <c r="J3078" s="67">
        <v>1000</v>
      </c>
      <c r="K3078" s="119">
        <f>D3083</f>
        <v>4691.6109999999999</v>
      </c>
      <c r="L3078" s="119">
        <f>D3084</f>
        <v>1040.789</v>
      </c>
      <c r="M3078" s="18">
        <f t="shared" si="418"/>
        <v>3.5077446052946373</v>
      </c>
      <c r="N3078" s="73">
        <f>D3085</f>
        <v>6705.17</v>
      </c>
      <c r="O3078" s="22">
        <f t="shared" si="419"/>
        <v>-0.30029947040865479</v>
      </c>
    </row>
    <row r="3079" spans="1:15" ht="20" thickBot="1" x14ac:dyDescent="0.3">
      <c r="A3079" t="s">
        <v>746</v>
      </c>
      <c r="B3079" t="s">
        <v>333</v>
      </c>
      <c r="C3079">
        <v>25</v>
      </c>
      <c r="D3079" s="194">
        <v>40192.048999999999</v>
      </c>
      <c r="E3079" t="s">
        <v>10</v>
      </c>
      <c r="F3079" s="194">
        <v>1120.53</v>
      </c>
      <c r="G3079" t="s">
        <v>335</v>
      </c>
      <c r="H3079" s="124">
        <f t="shared" si="417"/>
        <v>2.7879394752927375E-2</v>
      </c>
      <c r="J3079" s="68">
        <v>100</v>
      </c>
      <c r="K3079" s="120">
        <f>D3086</f>
        <v>414.01799999999997</v>
      </c>
      <c r="L3079" s="120">
        <f>D3087</f>
        <v>109.297</v>
      </c>
      <c r="M3079" s="19">
        <f t="shared" si="418"/>
        <v>2.7880088200042086</v>
      </c>
      <c r="N3079" s="74">
        <f>D3088</f>
        <v>690.83699999999999</v>
      </c>
      <c r="O3079" s="23">
        <f t="shared" si="419"/>
        <v>-0.40070088892169931</v>
      </c>
    </row>
    <row r="3080" spans="1:15" ht="20" thickBot="1" x14ac:dyDescent="0.3">
      <c r="A3080" t="s">
        <v>747</v>
      </c>
      <c r="B3080" t="s">
        <v>333</v>
      </c>
      <c r="C3080">
        <v>25</v>
      </c>
      <c r="D3080" s="194">
        <v>60653.906999999999</v>
      </c>
      <c r="E3080" t="s">
        <v>10</v>
      </c>
      <c r="F3080" s="194">
        <v>1634.8130000000001</v>
      </c>
      <c r="G3080" t="s">
        <v>335</v>
      </c>
      <c r="H3080" s="124">
        <f t="shared" si="417"/>
        <v>2.6953135929067194E-2</v>
      </c>
    </row>
    <row r="3081" spans="1:15" x14ac:dyDescent="0.25">
      <c r="A3081" t="s">
        <v>748</v>
      </c>
      <c r="B3081" t="s">
        <v>333</v>
      </c>
      <c r="C3081">
        <v>25</v>
      </c>
      <c r="D3081" s="194">
        <v>12404.655000000001</v>
      </c>
      <c r="E3081" t="s">
        <v>10</v>
      </c>
      <c r="F3081" s="194">
        <v>242.20699999999999</v>
      </c>
      <c r="G3081" t="s">
        <v>335</v>
      </c>
      <c r="H3081" s="124">
        <f t="shared" si="417"/>
        <v>1.9525492647719744E-2</v>
      </c>
      <c r="J3081" s="105" t="str">
        <f>A3072</f>
        <v>filter2_90</v>
      </c>
      <c r="K3081" s="72" t="s">
        <v>341</v>
      </c>
      <c r="L3081" s="72" t="s">
        <v>342</v>
      </c>
      <c r="M3081" s="21" t="s">
        <v>162</v>
      </c>
    </row>
    <row r="3082" spans="1:15" x14ac:dyDescent="0.25">
      <c r="A3082" t="s">
        <v>749</v>
      </c>
      <c r="B3082" t="s">
        <v>333</v>
      </c>
      <c r="C3082">
        <v>25</v>
      </c>
      <c r="D3082" s="194">
        <v>74355.297000000006</v>
      </c>
      <c r="E3082" t="s">
        <v>10</v>
      </c>
      <c r="F3082" s="194">
        <v>2361.8339999999998</v>
      </c>
      <c r="G3082" t="s">
        <v>335</v>
      </c>
      <c r="H3082" s="124">
        <f t="shared" si="417"/>
        <v>3.1764166041862489E-2</v>
      </c>
      <c r="J3082" s="6">
        <v>100000</v>
      </c>
      <c r="K3082" s="119">
        <f>D3075</f>
        <v>199911.63800000001</v>
      </c>
      <c r="L3082" s="119">
        <f>D3076</f>
        <v>129927.893</v>
      </c>
      <c r="M3082" s="22">
        <f>(K3082/L3082-1)</f>
        <v>0.53863526440777432</v>
      </c>
    </row>
    <row r="3083" spans="1:15" x14ac:dyDescent="0.25">
      <c r="A3083" t="s">
        <v>750</v>
      </c>
      <c r="B3083" t="s">
        <v>333</v>
      </c>
      <c r="C3083">
        <v>25</v>
      </c>
      <c r="D3083" s="194">
        <v>4691.6109999999999</v>
      </c>
      <c r="E3083" t="s">
        <v>10</v>
      </c>
      <c r="F3083" s="194">
        <v>120.527</v>
      </c>
      <c r="G3083" t="s">
        <v>335</v>
      </c>
      <c r="H3083" s="124">
        <f t="shared" si="417"/>
        <v>2.5689896285092689E-2</v>
      </c>
      <c r="J3083" s="6">
        <v>50000</v>
      </c>
      <c r="K3083" s="119">
        <f>D3078</f>
        <v>76745.45</v>
      </c>
      <c r="L3083" s="119">
        <f>D3079</f>
        <v>40192.048999999999</v>
      </c>
      <c r="M3083" s="22">
        <f t="shared" ref="M3083:M3086" si="420">(K3083/L3083-1)</f>
        <v>0.90946846228217915</v>
      </c>
    </row>
    <row r="3084" spans="1:15" x14ac:dyDescent="0.25">
      <c r="A3084" t="s">
        <v>751</v>
      </c>
      <c r="B3084" t="s">
        <v>333</v>
      </c>
      <c r="C3084">
        <v>25</v>
      </c>
      <c r="D3084" s="194">
        <v>1040.789</v>
      </c>
      <c r="E3084" t="s">
        <v>10</v>
      </c>
      <c r="F3084" s="194">
        <v>37.558</v>
      </c>
      <c r="G3084" t="s">
        <v>335</v>
      </c>
      <c r="H3084" s="124">
        <f t="shared" si="417"/>
        <v>3.6086084691517688E-2</v>
      </c>
      <c r="J3084" s="6">
        <v>10000</v>
      </c>
      <c r="K3084" s="119">
        <f>D3081</f>
        <v>12404.655000000001</v>
      </c>
      <c r="L3084" s="119">
        <f>D3082</f>
        <v>74355.297000000006</v>
      </c>
      <c r="M3084" s="22">
        <f t="shared" si="420"/>
        <v>-0.83317052717844708</v>
      </c>
    </row>
    <row r="3085" spans="1:15" x14ac:dyDescent="0.25">
      <c r="A3085" t="s">
        <v>752</v>
      </c>
      <c r="B3085" t="s">
        <v>333</v>
      </c>
      <c r="C3085">
        <v>25</v>
      </c>
      <c r="D3085" s="194">
        <v>6705.17</v>
      </c>
      <c r="E3085" t="s">
        <v>10</v>
      </c>
      <c r="F3085" s="194">
        <v>241.30799999999999</v>
      </c>
      <c r="G3085" t="s">
        <v>335</v>
      </c>
      <c r="H3085" s="124">
        <f t="shared" si="417"/>
        <v>3.5988349288683212E-2</v>
      </c>
      <c r="J3085" s="67">
        <v>1000</v>
      </c>
      <c r="K3085" s="119">
        <f>D3084</f>
        <v>1040.789</v>
      </c>
      <c r="L3085" s="119">
        <f>D3085</f>
        <v>6705.17</v>
      </c>
      <c r="M3085" s="22">
        <f t="shared" si="420"/>
        <v>-0.84477813388773138</v>
      </c>
    </row>
    <row r="3086" spans="1:15" ht="20" thickBot="1" x14ac:dyDescent="0.3">
      <c r="A3086" t="s">
        <v>753</v>
      </c>
      <c r="B3086" t="s">
        <v>333</v>
      </c>
      <c r="C3086">
        <v>25</v>
      </c>
      <c r="D3086" s="194">
        <v>414.01799999999997</v>
      </c>
      <c r="E3086" t="s">
        <v>10</v>
      </c>
      <c r="F3086" s="194">
        <v>10.353999999999999</v>
      </c>
      <c r="G3086" t="s">
        <v>335</v>
      </c>
      <c r="H3086" s="124">
        <f t="shared" si="417"/>
        <v>2.5008574506422427E-2</v>
      </c>
      <c r="J3086" s="68">
        <v>100</v>
      </c>
      <c r="K3086" s="120">
        <f>D3087</f>
        <v>109.297</v>
      </c>
      <c r="L3086" s="120">
        <f>D3088</f>
        <v>690.83699999999999</v>
      </c>
      <c r="M3086" s="23">
        <f t="shared" si="420"/>
        <v>-0.84179046576833616</v>
      </c>
    </row>
    <row r="3087" spans="1:15" x14ac:dyDescent="0.25">
      <c r="A3087" t="s">
        <v>754</v>
      </c>
      <c r="B3087" t="s">
        <v>333</v>
      </c>
      <c r="C3087">
        <v>25</v>
      </c>
      <c r="D3087" s="194">
        <v>109.297</v>
      </c>
      <c r="E3087" t="s">
        <v>10</v>
      </c>
      <c r="F3087" s="194">
        <v>3.5150000000000001</v>
      </c>
      <c r="G3087" t="s">
        <v>335</v>
      </c>
      <c r="H3087" s="124">
        <f t="shared" si="417"/>
        <v>3.2160077586759019E-2</v>
      </c>
    </row>
    <row r="3088" spans="1:15" x14ac:dyDescent="0.25">
      <c r="A3088" t="s">
        <v>755</v>
      </c>
      <c r="B3088" t="s">
        <v>333</v>
      </c>
      <c r="C3088">
        <v>25</v>
      </c>
      <c r="D3088" s="194">
        <v>690.83699999999999</v>
      </c>
      <c r="E3088" t="s">
        <v>10</v>
      </c>
      <c r="F3088" s="194">
        <v>19.986999999999998</v>
      </c>
      <c r="G3088" t="s">
        <v>335</v>
      </c>
      <c r="H3088" s="124">
        <f t="shared" si="417"/>
        <v>2.8931571412648713E-2</v>
      </c>
    </row>
    <row r="3089" spans="1:15" x14ac:dyDescent="0.25">
      <c r="A3089" s="130"/>
      <c r="B3089" s="130"/>
      <c r="C3089" s="130"/>
      <c r="D3089" s="195"/>
      <c r="E3089" s="130"/>
      <c r="F3089" s="195"/>
      <c r="G3089" s="130"/>
      <c r="H3089" s="132"/>
      <c r="I3089" s="133"/>
      <c r="J3089" s="133"/>
      <c r="K3089" s="134"/>
      <c r="L3089" s="134"/>
    </row>
    <row r="3090" spans="1:15" x14ac:dyDescent="0.25">
      <c r="A3090" t="s">
        <v>964</v>
      </c>
      <c r="B3090"/>
      <c r="C3090"/>
      <c r="D3090" s="194"/>
      <c r="E3090"/>
      <c r="F3090" s="194"/>
      <c r="G3090"/>
      <c r="H3090" s="124"/>
    </row>
    <row r="3091" spans="1:15" ht="20" thickBot="1" x14ac:dyDescent="0.3">
      <c r="A3091" t="s">
        <v>2</v>
      </c>
      <c r="B3091" t="s">
        <v>3</v>
      </c>
      <c r="C3091" t="s">
        <v>4</v>
      </c>
      <c r="D3091" s="194" t="s">
        <v>5</v>
      </c>
      <c r="E3091" t="s">
        <v>6</v>
      </c>
      <c r="F3091" s="194" t="s">
        <v>7</v>
      </c>
      <c r="G3091"/>
      <c r="H3091" s="124"/>
    </row>
    <row r="3092" spans="1:15" x14ac:dyDescent="0.25">
      <c r="A3092" t="s">
        <v>965</v>
      </c>
      <c r="B3092" t="s">
        <v>333</v>
      </c>
      <c r="C3092">
        <v>25</v>
      </c>
      <c r="D3092" s="194">
        <v>12723788.573999999</v>
      </c>
      <c r="E3092" t="s">
        <v>10</v>
      </c>
      <c r="F3092" s="194">
        <v>258117.15599999999</v>
      </c>
      <c r="G3092" t="s">
        <v>335</v>
      </c>
      <c r="H3092" s="124">
        <f t="shared" si="417"/>
        <v>2.0286187128843124E-2</v>
      </c>
      <c r="J3092" s="105" t="str">
        <f>A3090</f>
        <v>sort2</v>
      </c>
      <c r="K3092" s="72" t="s">
        <v>340</v>
      </c>
      <c r="L3092" s="72" t="s">
        <v>341</v>
      </c>
      <c r="M3092" s="17" t="s">
        <v>162</v>
      </c>
      <c r="N3092" s="72" t="s">
        <v>342</v>
      </c>
      <c r="O3092" s="21" t="s">
        <v>162</v>
      </c>
    </row>
    <row r="3093" spans="1:15" x14ac:dyDescent="0.25">
      <c r="A3093" t="s">
        <v>966</v>
      </c>
      <c r="B3093" t="s">
        <v>333</v>
      </c>
      <c r="C3093">
        <v>25</v>
      </c>
      <c r="D3093" s="194">
        <v>13150844.834000001</v>
      </c>
      <c r="E3093" t="s">
        <v>10</v>
      </c>
      <c r="F3093" s="194">
        <v>474305.92800000001</v>
      </c>
      <c r="G3093" t="s">
        <v>335</v>
      </c>
      <c r="H3093" s="124">
        <f t="shared" si="417"/>
        <v>3.6066574732426047E-2</v>
      </c>
      <c r="J3093" s="6">
        <v>100000</v>
      </c>
      <c r="K3093" s="119">
        <f>D3092</f>
        <v>12723788.573999999</v>
      </c>
      <c r="L3093" s="119">
        <f>D3093</f>
        <v>13150844.834000001</v>
      </c>
      <c r="M3093" s="18">
        <f>(K3093/L3093-1)</f>
        <v>-3.2473674915234119E-2</v>
      </c>
      <c r="N3093" s="73">
        <f>D3094</f>
        <v>12410783.014</v>
      </c>
      <c r="O3093" s="22">
        <f>(K3093/N3093-1)</f>
        <v>2.522045221859992E-2</v>
      </c>
    </row>
    <row r="3094" spans="1:15" x14ac:dyDescent="0.25">
      <c r="A3094" t="s">
        <v>967</v>
      </c>
      <c r="B3094" t="s">
        <v>333</v>
      </c>
      <c r="C3094">
        <v>25</v>
      </c>
      <c r="D3094" s="194">
        <v>12410783.014</v>
      </c>
      <c r="E3094" t="s">
        <v>10</v>
      </c>
      <c r="F3094" s="194">
        <v>304891.01699999999</v>
      </c>
      <c r="G3094" t="s">
        <v>335</v>
      </c>
      <c r="H3094" s="124">
        <f t="shared" si="417"/>
        <v>2.4566622158816834E-2</v>
      </c>
      <c r="J3094" s="6">
        <v>50000</v>
      </c>
      <c r="K3094" s="119">
        <f>D3095</f>
        <v>5370418.4620000003</v>
      </c>
      <c r="L3094" s="119">
        <f>D3096</f>
        <v>5493333.7630000003</v>
      </c>
      <c r="M3094" s="18">
        <f t="shared" ref="M3094:M3097" si="421">(K3094/L3094-1)</f>
        <v>-2.237535644163624E-2</v>
      </c>
      <c r="N3094" s="73">
        <f>D3097</f>
        <v>5557611.7489999998</v>
      </c>
      <c r="O3094" s="22">
        <f t="shared" ref="O3094:O3097" si="422">(K3094/N3094-1)</f>
        <v>-3.3682325332222374E-2</v>
      </c>
    </row>
    <row r="3095" spans="1:15" x14ac:dyDescent="0.25">
      <c r="A3095" t="s">
        <v>968</v>
      </c>
      <c r="B3095" t="s">
        <v>333</v>
      </c>
      <c r="C3095">
        <v>25</v>
      </c>
      <c r="D3095" s="194">
        <v>5370418.4620000003</v>
      </c>
      <c r="E3095" t="s">
        <v>10</v>
      </c>
      <c r="F3095" s="194">
        <v>126099.34</v>
      </c>
      <c r="G3095" t="s">
        <v>335</v>
      </c>
      <c r="H3095" s="124">
        <f t="shared" si="417"/>
        <v>2.3480356492190234E-2</v>
      </c>
      <c r="J3095" s="6">
        <v>10000</v>
      </c>
      <c r="K3095" s="119">
        <f>D3098</f>
        <v>843796.74899999995</v>
      </c>
      <c r="L3095" s="119">
        <f>D3099</f>
        <v>893082.17799999996</v>
      </c>
      <c r="M3095" s="18">
        <f t="shared" si="421"/>
        <v>-5.5185771493471703E-2</v>
      </c>
      <c r="N3095" s="73">
        <f>D3100</f>
        <v>876849.06900000002</v>
      </c>
      <c r="O3095" s="22">
        <f t="shared" si="422"/>
        <v>-3.769442332611983E-2</v>
      </c>
    </row>
    <row r="3096" spans="1:15" x14ac:dyDescent="0.25">
      <c r="A3096" t="s">
        <v>969</v>
      </c>
      <c r="B3096" t="s">
        <v>333</v>
      </c>
      <c r="C3096">
        <v>25</v>
      </c>
      <c r="D3096" s="194">
        <v>5493333.7630000003</v>
      </c>
      <c r="E3096" t="s">
        <v>10</v>
      </c>
      <c r="F3096" s="194">
        <v>137120.69200000001</v>
      </c>
      <c r="G3096" t="s">
        <v>335</v>
      </c>
      <c r="H3096" s="124">
        <f t="shared" si="417"/>
        <v>2.4961289067044805E-2</v>
      </c>
      <c r="J3096" s="67">
        <v>1000</v>
      </c>
      <c r="K3096" s="119">
        <f>D3101</f>
        <v>33074.964999999997</v>
      </c>
      <c r="L3096" s="119">
        <f>D3102</f>
        <v>36415.771999999997</v>
      </c>
      <c r="M3096" s="18">
        <f t="shared" si="421"/>
        <v>-9.1740661161872405E-2</v>
      </c>
      <c r="N3096" s="73">
        <f>D3103</f>
        <v>33553.152999999998</v>
      </c>
      <c r="O3096" s="22">
        <f t="shared" si="422"/>
        <v>-1.4251656170733096E-2</v>
      </c>
    </row>
    <row r="3097" spans="1:15" ht="20" thickBot="1" x14ac:dyDescent="0.3">
      <c r="A3097" t="s">
        <v>970</v>
      </c>
      <c r="B3097" t="s">
        <v>333</v>
      </c>
      <c r="C3097">
        <v>25</v>
      </c>
      <c r="D3097" s="194">
        <v>5557611.7489999998</v>
      </c>
      <c r="E3097" t="s">
        <v>10</v>
      </c>
      <c r="F3097" s="194">
        <v>138287.245</v>
      </c>
      <c r="G3097" t="s">
        <v>335</v>
      </c>
      <c r="H3097" s="124">
        <f t="shared" si="417"/>
        <v>2.4882494719945577E-2</v>
      </c>
      <c r="J3097" s="68">
        <v>100</v>
      </c>
      <c r="K3097" s="120">
        <f>D3104</f>
        <v>2093.52</v>
      </c>
      <c r="L3097" s="120">
        <f>D3105</f>
        <v>2214.5749999999998</v>
      </c>
      <c r="M3097" s="19">
        <f t="shared" si="421"/>
        <v>-5.4662858562026462E-2</v>
      </c>
      <c r="N3097" s="74">
        <f>D3106</f>
        <v>2110.0540000000001</v>
      </c>
      <c r="O3097" s="23">
        <f t="shared" si="422"/>
        <v>-7.8358184198129566E-3</v>
      </c>
    </row>
    <row r="3098" spans="1:15" ht="20" thickBot="1" x14ac:dyDescent="0.3">
      <c r="A3098" t="s">
        <v>971</v>
      </c>
      <c r="B3098" t="s">
        <v>333</v>
      </c>
      <c r="C3098">
        <v>25</v>
      </c>
      <c r="D3098" s="194">
        <v>843796.74899999995</v>
      </c>
      <c r="E3098" t="s">
        <v>10</v>
      </c>
      <c r="F3098" s="194">
        <v>11974.517</v>
      </c>
      <c r="G3098" t="s">
        <v>335</v>
      </c>
      <c r="H3098" s="124">
        <f t="shared" si="417"/>
        <v>1.4191233865490991E-2</v>
      </c>
    </row>
    <row r="3099" spans="1:15" x14ac:dyDescent="0.25">
      <c r="A3099" t="s">
        <v>972</v>
      </c>
      <c r="B3099" t="s">
        <v>333</v>
      </c>
      <c r="C3099">
        <v>25</v>
      </c>
      <c r="D3099" s="194">
        <v>893082.17799999996</v>
      </c>
      <c r="E3099" t="s">
        <v>10</v>
      </c>
      <c r="F3099" s="194">
        <v>15359.742</v>
      </c>
      <c r="G3099" t="s">
        <v>335</v>
      </c>
      <c r="H3099" s="124">
        <f t="shared" si="417"/>
        <v>1.7198576321830937E-2</v>
      </c>
      <c r="J3099" s="105" t="str">
        <f>A3090</f>
        <v>sort2</v>
      </c>
      <c r="K3099" s="72" t="s">
        <v>341</v>
      </c>
      <c r="L3099" s="72" t="s">
        <v>342</v>
      </c>
      <c r="M3099" s="21" t="s">
        <v>162</v>
      </c>
    </row>
    <row r="3100" spans="1:15" x14ac:dyDescent="0.25">
      <c r="A3100" t="s">
        <v>973</v>
      </c>
      <c r="B3100" t="s">
        <v>333</v>
      </c>
      <c r="C3100">
        <v>25</v>
      </c>
      <c r="D3100" s="194">
        <v>876849.06900000002</v>
      </c>
      <c r="E3100" t="s">
        <v>10</v>
      </c>
      <c r="F3100" s="194">
        <v>14008.677</v>
      </c>
      <c r="G3100" t="s">
        <v>335</v>
      </c>
      <c r="H3100" s="124">
        <f t="shared" si="417"/>
        <v>1.5976155412899228E-2</v>
      </c>
      <c r="J3100" s="6">
        <v>100000</v>
      </c>
      <c r="K3100" s="119">
        <f>D3093</f>
        <v>13150844.834000001</v>
      </c>
      <c r="L3100" s="119">
        <f>D3094</f>
        <v>12410783.014</v>
      </c>
      <c r="M3100" s="22">
        <f>(K3100/L3100-1)</f>
        <v>5.9630550237255164E-2</v>
      </c>
    </row>
    <row r="3101" spans="1:15" x14ac:dyDescent="0.25">
      <c r="A3101" t="s">
        <v>974</v>
      </c>
      <c r="B3101" t="s">
        <v>333</v>
      </c>
      <c r="C3101">
        <v>25</v>
      </c>
      <c r="D3101" s="194">
        <v>33074.964999999997</v>
      </c>
      <c r="E3101" t="s">
        <v>10</v>
      </c>
      <c r="F3101" s="194">
        <v>799.29399999999998</v>
      </c>
      <c r="G3101" t="s">
        <v>335</v>
      </c>
      <c r="H3101" s="124">
        <f t="shared" si="417"/>
        <v>2.4166132904449033E-2</v>
      </c>
      <c r="J3101" s="6">
        <v>50000</v>
      </c>
      <c r="K3101" s="119">
        <f>D3096</f>
        <v>5493333.7630000003</v>
      </c>
      <c r="L3101" s="119">
        <f>D3097</f>
        <v>5557611.7489999998</v>
      </c>
      <c r="M3101" s="22">
        <f t="shared" ref="M3101:M3104" si="423">(K3101/L3101-1)</f>
        <v>-1.1565756821995565E-2</v>
      </c>
    </row>
    <row r="3102" spans="1:15" x14ac:dyDescent="0.25">
      <c r="A3102" t="s">
        <v>975</v>
      </c>
      <c r="B3102" t="s">
        <v>333</v>
      </c>
      <c r="C3102">
        <v>25</v>
      </c>
      <c r="D3102" s="194">
        <v>36415.771999999997</v>
      </c>
      <c r="E3102" t="s">
        <v>10</v>
      </c>
      <c r="F3102" s="194">
        <v>669.91499999999996</v>
      </c>
      <c r="G3102" t="s">
        <v>335</v>
      </c>
      <c r="H3102" s="124">
        <f t="shared" si="417"/>
        <v>1.8396287191165411E-2</v>
      </c>
      <c r="J3102" s="6">
        <v>10000</v>
      </c>
      <c r="K3102" s="119">
        <f>D3099</f>
        <v>893082.17799999996</v>
      </c>
      <c r="L3102" s="119">
        <f>D3100</f>
        <v>876849.06900000002</v>
      </c>
      <c r="M3102" s="22">
        <f t="shared" si="423"/>
        <v>1.8513002492564601E-2</v>
      </c>
    </row>
    <row r="3103" spans="1:15" x14ac:dyDescent="0.25">
      <c r="A3103" t="s">
        <v>976</v>
      </c>
      <c r="B3103" t="s">
        <v>333</v>
      </c>
      <c r="C3103">
        <v>25</v>
      </c>
      <c r="D3103" s="194">
        <v>33553.152999999998</v>
      </c>
      <c r="E3103" t="s">
        <v>10</v>
      </c>
      <c r="F3103" s="194">
        <v>769.48500000000001</v>
      </c>
      <c r="G3103" t="s">
        <v>335</v>
      </c>
      <c r="H3103" s="124">
        <f t="shared" si="417"/>
        <v>2.2933314195539241E-2</v>
      </c>
      <c r="J3103" s="67">
        <v>1000</v>
      </c>
      <c r="K3103" s="119">
        <f>D3102</f>
        <v>36415.771999999997</v>
      </c>
      <c r="L3103" s="119">
        <f>D3103</f>
        <v>33553.152999999998</v>
      </c>
      <c r="M3103" s="22">
        <f t="shared" si="423"/>
        <v>8.5315946313599733E-2</v>
      </c>
    </row>
    <row r="3104" spans="1:15" ht="20" thickBot="1" x14ac:dyDescent="0.3">
      <c r="A3104" t="s">
        <v>977</v>
      </c>
      <c r="B3104" t="s">
        <v>333</v>
      </c>
      <c r="C3104">
        <v>25</v>
      </c>
      <c r="D3104" s="194">
        <v>2093.52</v>
      </c>
      <c r="E3104" t="s">
        <v>10</v>
      </c>
      <c r="F3104" s="194">
        <v>66.506</v>
      </c>
      <c r="G3104" t="s">
        <v>335</v>
      </c>
      <c r="H3104" s="124">
        <f t="shared" si="417"/>
        <v>3.1767549390500208E-2</v>
      </c>
      <c r="J3104" s="68">
        <v>100</v>
      </c>
      <c r="K3104" s="120">
        <f>D3105</f>
        <v>2214.5749999999998</v>
      </c>
      <c r="L3104" s="120">
        <f>D3106</f>
        <v>2110.0540000000001</v>
      </c>
      <c r="M3104" s="23">
        <f t="shared" si="423"/>
        <v>4.9534751243333064E-2</v>
      </c>
    </row>
    <row r="3105" spans="1:17" x14ac:dyDescent="0.25">
      <c r="A3105" t="s">
        <v>978</v>
      </c>
      <c r="B3105" t="s">
        <v>333</v>
      </c>
      <c r="C3105">
        <v>25</v>
      </c>
      <c r="D3105" s="194">
        <v>2214.5749999999998</v>
      </c>
      <c r="E3105" t="s">
        <v>10</v>
      </c>
      <c r="F3105" s="194">
        <v>62.128999999999998</v>
      </c>
      <c r="G3105" t="s">
        <v>335</v>
      </c>
      <c r="H3105" s="124">
        <f t="shared" si="417"/>
        <v>2.8054592867705994E-2</v>
      </c>
    </row>
    <row r="3106" spans="1:17" x14ac:dyDescent="0.25">
      <c r="A3106" t="s">
        <v>979</v>
      </c>
      <c r="B3106" t="s">
        <v>333</v>
      </c>
      <c r="C3106">
        <v>25</v>
      </c>
      <c r="D3106" s="194">
        <v>2110.0540000000001</v>
      </c>
      <c r="E3106" t="s">
        <v>10</v>
      </c>
      <c r="F3106" s="194">
        <v>85.876000000000005</v>
      </c>
      <c r="G3106" t="s">
        <v>335</v>
      </c>
      <c r="H3106" s="124">
        <f t="shared" si="417"/>
        <v>4.0698484493761775E-2</v>
      </c>
    </row>
    <row r="3107" spans="1:17" x14ac:dyDescent="0.25">
      <c r="A3107"/>
      <c r="B3107"/>
      <c r="C3107"/>
      <c r="D3107" s="194"/>
      <c r="E3107"/>
      <c r="F3107" s="194"/>
      <c r="G3107"/>
      <c r="H3107" s="124"/>
    </row>
    <row r="3108" spans="1:17" x14ac:dyDescent="0.25">
      <c r="A3108" t="s">
        <v>1224</v>
      </c>
      <c r="B3108"/>
      <c r="C3108"/>
      <c r="D3108" s="194"/>
      <c r="E3108"/>
      <c r="F3108" s="194"/>
      <c r="G3108"/>
      <c r="H3108" s="124"/>
    </row>
    <row r="3109" spans="1:17" ht="20" thickBot="1" x14ac:dyDescent="0.3">
      <c r="A3109" t="s">
        <v>2</v>
      </c>
      <c r="B3109" t="s">
        <v>3</v>
      </c>
      <c r="C3109" t="s">
        <v>4</v>
      </c>
      <c r="D3109" s="194" t="s">
        <v>5</v>
      </c>
      <c r="E3109" t="s">
        <v>6</v>
      </c>
      <c r="F3109" s="194" t="s">
        <v>7</v>
      </c>
      <c r="G3109"/>
      <c r="H3109" s="124"/>
    </row>
    <row r="3110" spans="1:17" x14ac:dyDescent="0.25">
      <c r="A3110" t="s">
        <v>1107</v>
      </c>
      <c r="B3110" t="s">
        <v>333</v>
      </c>
      <c r="C3110">
        <v>25</v>
      </c>
      <c r="D3110" s="194">
        <v>19504357.647999998</v>
      </c>
      <c r="E3110" t="s">
        <v>10</v>
      </c>
      <c r="F3110" s="194">
        <v>666194.03500000003</v>
      </c>
      <c r="G3110" t="s">
        <v>335</v>
      </c>
      <c r="H3110" s="124">
        <f t="shared" si="417"/>
        <v>3.4156163818515314E-2</v>
      </c>
      <c r="J3110" s="106" t="str">
        <f>A3108</f>
        <v>crazy2</v>
      </c>
      <c r="K3110" s="72" t="s">
        <v>344</v>
      </c>
      <c r="L3110" s="72" t="s">
        <v>341</v>
      </c>
      <c r="M3110" s="17" t="s">
        <v>162</v>
      </c>
      <c r="N3110" s="72" t="s">
        <v>343</v>
      </c>
      <c r="O3110" s="17" t="s">
        <v>162</v>
      </c>
      <c r="P3110" s="72" t="s">
        <v>342</v>
      </c>
      <c r="Q3110" s="21" t="s">
        <v>162</v>
      </c>
    </row>
    <row r="3111" spans="1:17" x14ac:dyDescent="0.25">
      <c r="A3111" t="s">
        <v>1108</v>
      </c>
      <c r="B3111" t="s">
        <v>333</v>
      </c>
      <c r="C3111">
        <v>25</v>
      </c>
      <c r="D3111" s="194">
        <v>20167925.723999999</v>
      </c>
      <c r="E3111" t="s">
        <v>10</v>
      </c>
      <c r="F3111" s="194">
        <v>754590.53599999996</v>
      </c>
      <c r="G3111" t="s">
        <v>335</v>
      </c>
      <c r="H3111" s="124">
        <f t="shared" si="417"/>
        <v>3.7415376589870666E-2</v>
      </c>
      <c r="J3111" s="6">
        <v>100000</v>
      </c>
      <c r="K3111" s="119">
        <f>D3110</f>
        <v>19504357.647999998</v>
      </c>
      <c r="L3111" s="119">
        <f>D3111</f>
        <v>20167925.723999999</v>
      </c>
      <c r="M3111" s="18">
        <f>(K3111/L3111-1)</f>
        <v>-3.2902147949223637E-2</v>
      </c>
      <c r="N3111" s="73">
        <f>D3112</f>
        <v>21670666.776999999</v>
      </c>
      <c r="O3111" s="18">
        <f>(K3111/N3111-1)</f>
        <v>-9.9965042667685577E-2</v>
      </c>
      <c r="P3111" s="73">
        <f>D3113</f>
        <v>21739590.206999999</v>
      </c>
      <c r="Q3111" s="22">
        <f>(K3111/P3111-1)</f>
        <v>-0.10281852315138262</v>
      </c>
    </row>
    <row r="3112" spans="1:17" x14ac:dyDescent="0.25">
      <c r="A3112" t="s">
        <v>1109</v>
      </c>
      <c r="B3112" t="s">
        <v>333</v>
      </c>
      <c r="C3112">
        <v>25</v>
      </c>
      <c r="D3112" s="194">
        <v>21670666.776999999</v>
      </c>
      <c r="E3112" t="s">
        <v>10</v>
      </c>
      <c r="F3112" s="194">
        <v>779239.652</v>
      </c>
      <c r="G3112" t="s">
        <v>335</v>
      </c>
      <c r="H3112" s="124">
        <f t="shared" si="417"/>
        <v>3.595826838272647E-2</v>
      </c>
      <c r="J3112" s="6">
        <v>50000</v>
      </c>
      <c r="K3112" s="119">
        <f>D3114</f>
        <v>7903729.4950000001</v>
      </c>
      <c r="L3112" s="119">
        <f>D3115</f>
        <v>7927268.4450000003</v>
      </c>
      <c r="M3112" s="18">
        <f t="shared" ref="M3112:M3115" si="424">(K3112/L3112-1)</f>
        <v>-2.9693645627513199E-3</v>
      </c>
      <c r="N3112" s="73">
        <f>D3116</f>
        <v>8179527.523</v>
      </c>
      <c r="O3112" s="18">
        <f t="shared" ref="O3112:O3115" si="425">(K3112/N3112-1)</f>
        <v>-3.3718087899879734E-2</v>
      </c>
      <c r="P3112" s="73">
        <f>D3117</f>
        <v>7953527.1540000001</v>
      </c>
      <c r="Q3112" s="22">
        <f t="shared" ref="Q3112:Q3115" si="426">(K3112/P3112-1)</f>
        <v>-6.2610786429458942E-3</v>
      </c>
    </row>
    <row r="3113" spans="1:17" x14ac:dyDescent="0.25">
      <c r="A3113" t="s">
        <v>1110</v>
      </c>
      <c r="B3113" t="s">
        <v>333</v>
      </c>
      <c r="C3113">
        <v>25</v>
      </c>
      <c r="D3113" s="194">
        <v>21739590.206999999</v>
      </c>
      <c r="E3113" t="s">
        <v>10</v>
      </c>
      <c r="F3113" s="194">
        <v>852874.03200000001</v>
      </c>
      <c r="G3113" t="s">
        <v>335</v>
      </c>
      <c r="H3113" s="124">
        <f t="shared" si="417"/>
        <v>3.9231375747155552E-2</v>
      </c>
      <c r="J3113" s="6">
        <v>10000</v>
      </c>
      <c r="K3113" s="119">
        <f>D3118</f>
        <v>1143492.737</v>
      </c>
      <c r="L3113" s="119">
        <f>D3119</f>
        <v>1227228.2709999999</v>
      </c>
      <c r="M3113" s="18">
        <f t="shared" si="424"/>
        <v>-6.823142521950587E-2</v>
      </c>
      <c r="N3113" s="73">
        <f>D3120</f>
        <v>1239189.7439999999</v>
      </c>
      <c r="O3113" s="18">
        <f t="shared" si="425"/>
        <v>-7.7225467256610836E-2</v>
      </c>
      <c r="P3113" s="73">
        <f>D3121</f>
        <v>1163490.175</v>
      </c>
      <c r="Q3113" s="22">
        <f t="shared" si="426"/>
        <v>-1.7187457556313346E-2</v>
      </c>
    </row>
    <row r="3114" spans="1:17" x14ac:dyDescent="0.25">
      <c r="A3114" t="s">
        <v>1111</v>
      </c>
      <c r="B3114" t="s">
        <v>333</v>
      </c>
      <c r="C3114">
        <v>25</v>
      </c>
      <c r="D3114" s="194">
        <v>7903729.4950000001</v>
      </c>
      <c r="E3114" t="s">
        <v>10</v>
      </c>
      <c r="F3114" s="194">
        <v>204487.94399999999</v>
      </c>
      <c r="G3114" t="s">
        <v>335</v>
      </c>
      <c r="H3114" s="124">
        <f t="shared" si="417"/>
        <v>2.5872335854783702E-2</v>
      </c>
      <c r="J3114" s="67">
        <v>1000</v>
      </c>
      <c r="K3114" s="119">
        <f>D3122</f>
        <v>55019.857000000004</v>
      </c>
      <c r="L3114" s="119">
        <f>D3123</f>
        <v>63099.016000000003</v>
      </c>
      <c r="M3114" s="18">
        <f t="shared" si="424"/>
        <v>-0.12803938178687291</v>
      </c>
      <c r="N3114" s="73">
        <f>D3124</f>
        <v>60589.218999999997</v>
      </c>
      <c r="O3114" s="18">
        <f t="shared" si="425"/>
        <v>-9.1920016331618282E-2</v>
      </c>
      <c r="P3114" s="73">
        <f>D3125</f>
        <v>57807.538999999997</v>
      </c>
      <c r="Q3114" s="22">
        <f t="shared" si="426"/>
        <v>-4.822350247430518E-2</v>
      </c>
    </row>
    <row r="3115" spans="1:17" ht="20" thickBot="1" x14ac:dyDescent="0.3">
      <c r="A3115" t="s">
        <v>1112</v>
      </c>
      <c r="B3115" t="s">
        <v>333</v>
      </c>
      <c r="C3115">
        <v>25</v>
      </c>
      <c r="D3115" s="194">
        <v>7927268.4450000003</v>
      </c>
      <c r="E3115" t="s">
        <v>10</v>
      </c>
      <c r="F3115" s="194">
        <v>184674.073</v>
      </c>
      <c r="G3115" t="s">
        <v>335</v>
      </c>
      <c r="H3115" s="124">
        <f t="shared" si="417"/>
        <v>2.3296053903218109E-2</v>
      </c>
      <c r="J3115" s="68">
        <v>100</v>
      </c>
      <c r="K3115" s="120">
        <f>D3126</f>
        <v>4291.6189999999997</v>
      </c>
      <c r="L3115" s="120">
        <f>D3127</f>
        <v>4837.6940000000004</v>
      </c>
      <c r="M3115" s="19">
        <f t="shared" si="424"/>
        <v>-0.11287919409536873</v>
      </c>
      <c r="N3115" s="74">
        <f>D3128</f>
        <v>4819.54</v>
      </c>
      <c r="O3115" s="19">
        <f t="shared" si="425"/>
        <v>-0.10953763222216228</v>
      </c>
      <c r="P3115" s="74">
        <f>D3129</f>
        <v>4868.1850000000004</v>
      </c>
      <c r="Q3115" s="23">
        <f t="shared" si="426"/>
        <v>-0.11843551549499465</v>
      </c>
    </row>
    <row r="3116" spans="1:17" ht="20" thickBot="1" x14ac:dyDescent="0.3">
      <c r="A3116" t="s">
        <v>1113</v>
      </c>
      <c r="B3116" t="s">
        <v>333</v>
      </c>
      <c r="C3116">
        <v>25</v>
      </c>
      <c r="D3116" s="194">
        <v>8179527.523</v>
      </c>
      <c r="E3116" t="s">
        <v>10</v>
      </c>
      <c r="F3116" s="194">
        <v>221125.12899999999</v>
      </c>
      <c r="G3116" t="s">
        <v>335</v>
      </c>
      <c r="H3116" s="124">
        <f t="shared" si="417"/>
        <v>2.703397334115187E-2</v>
      </c>
    </row>
    <row r="3117" spans="1:17" x14ac:dyDescent="0.25">
      <c r="A3117" t="s">
        <v>1114</v>
      </c>
      <c r="B3117" t="s">
        <v>333</v>
      </c>
      <c r="C3117">
        <v>25</v>
      </c>
      <c r="D3117" s="194">
        <v>7953527.1540000001</v>
      </c>
      <c r="E3117" t="s">
        <v>10</v>
      </c>
      <c r="F3117" s="194">
        <v>247450.609</v>
      </c>
      <c r="G3117" t="s">
        <v>335</v>
      </c>
      <c r="H3117" s="124">
        <f t="shared" si="417"/>
        <v>3.1112059367968809E-2</v>
      </c>
      <c r="J3117" s="106" t="str">
        <f>A3108</f>
        <v>crazy2</v>
      </c>
      <c r="K3117" s="72" t="s">
        <v>341</v>
      </c>
      <c r="L3117" s="72" t="s">
        <v>342</v>
      </c>
      <c r="M3117" s="17" t="s">
        <v>162</v>
      </c>
      <c r="N3117" s="72" t="s">
        <v>343</v>
      </c>
      <c r="O3117" s="21" t="s">
        <v>162</v>
      </c>
    </row>
    <row r="3118" spans="1:17" x14ac:dyDescent="0.25">
      <c r="A3118" t="s">
        <v>1115</v>
      </c>
      <c r="B3118" t="s">
        <v>333</v>
      </c>
      <c r="C3118">
        <v>25</v>
      </c>
      <c r="D3118" s="194">
        <v>1143492.737</v>
      </c>
      <c r="E3118" t="s">
        <v>10</v>
      </c>
      <c r="F3118" s="194">
        <v>22982.856</v>
      </c>
      <c r="G3118" t="s">
        <v>335</v>
      </c>
      <c r="H3118" s="124">
        <f t="shared" si="417"/>
        <v>2.0098821143627429E-2</v>
      </c>
      <c r="J3118" s="6">
        <v>100000</v>
      </c>
      <c r="K3118" s="119">
        <f>D3111</f>
        <v>20167925.723999999</v>
      </c>
      <c r="L3118" s="119">
        <f>D3113</f>
        <v>21739590.206999999</v>
      </c>
      <c r="M3118" s="18">
        <f>(K3118/L3118-1)</f>
        <v>-7.2295037212519953E-2</v>
      </c>
      <c r="N3118" s="73">
        <f>D3112</f>
        <v>21670666.776999999</v>
      </c>
      <c r="O3118" s="22">
        <f>(N3118/L3118-1)</f>
        <v>-3.1704107273285986E-3</v>
      </c>
    </row>
    <row r="3119" spans="1:17" x14ac:dyDescent="0.25">
      <c r="A3119" t="s">
        <v>1116</v>
      </c>
      <c r="B3119" t="s">
        <v>333</v>
      </c>
      <c r="C3119">
        <v>25</v>
      </c>
      <c r="D3119" s="194">
        <v>1227228.2709999999</v>
      </c>
      <c r="E3119" t="s">
        <v>10</v>
      </c>
      <c r="F3119" s="194">
        <v>23530.743999999999</v>
      </c>
      <c r="G3119" t="s">
        <v>335</v>
      </c>
      <c r="H3119" s="124">
        <f t="shared" si="417"/>
        <v>1.9173893362826547E-2</v>
      </c>
      <c r="J3119" s="6">
        <v>50000</v>
      </c>
      <c r="K3119" s="119">
        <f>D3115</f>
        <v>7927268.4450000003</v>
      </c>
      <c r="L3119" s="119">
        <f>D3117</f>
        <v>7953527.1540000001</v>
      </c>
      <c r="M3119" s="18">
        <f t="shared" ref="M3119:M3122" si="427">(K3119/L3119-1)</f>
        <v>-3.3015174892303545E-3</v>
      </c>
      <c r="N3119" s="73">
        <f>D3116</f>
        <v>8179527.523</v>
      </c>
      <c r="O3119" s="22">
        <f t="shared" ref="O3119:O3122" si="428">(N3119/L3119-1)</f>
        <v>2.8415112518518137E-2</v>
      </c>
    </row>
    <row r="3120" spans="1:17" x14ac:dyDescent="0.25">
      <c r="A3120" t="s">
        <v>1117</v>
      </c>
      <c r="B3120" t="s">
        <v>333</v>
      </c>
      <c r="C3120">
        <v>25</v>
      </c>
      <c r="D3120" s="194">
        <v>1239189.7439999999</v>
      </c>
      <c r="E3120" t="s">
        <v>10</v>
      </c>
      <c r="F3120" s="194">
        <v>24717.249</v>
      </c>
      <c r="G3120" t="s">
        <v>335</v>
      </c>
      <c r="H3120" s="124">
        <f t="shared" si="417"/>
        <v>1.994629887769633E-2</v>
      </c>
      <c r="J3120" s="6">
        <v>10000</v>
      </c>
      <c r="K3120" s="119">
        <f>D3119</f>
        <v>1227228.2709999999</v>
      </c>
      <c r="L3120" s="119">
        <f>D3121</f>
        <v>1163490.175</v>
      </c>
      <c r="M3120" s="18">
        <f t="shared" si="427"/>
        <v>5.4781808535684373E-2</v>
      </c>
      <c r="N3120" s="73">
        <f>D3120</f>
        <v>1239189.7439999999</v>
      </c>
      <c r="O3120" s="22">
        <f t="shared" si="428"/>
        <v>6.5062490966028008E-2</v>
      </c>
    </row>
    <row r="3121" spans="1:17" x14ac:dyDescent="0.25">
      <c r="A3121" t="s">
        <v>1118</v>
      </c>
      <c r="B3121" t="s">
        <v>333</v>
      </c>
      <c r="C3121">
        <v>25</v>
      </c>
      <c r="D3121" s="194">
        <v>1163490.175</v>
      </c>
      <c r="E3121" t="s">
        <v>10</v>
      </c>
      <c r="F3121" s="194">
        <v>24907.06</v>
      </c>
      <c r="G3121" t="s">
        <v>335</v>
      </c>
      <c r="H3121" s="124">
        <f t="shared" si="417"/>
        <v>2.1407194091690548E-2</v>
      </c>
      <c r="J3121" s="67">
        <v>1000</v>
      </c>
      <c r="K3121" s="119">
        <f>D3123</f>
        <v>63099.016000000003</v>
      </c>
      <c r="L3121" s="119">
        <f>D3125</f>
        <v>57807.538999999997</v>
      </c>
      <c r="M3121" s="18">
        <f t="shared" si="427"/>
        <v>9.1536105697217263E-2</v>
      </c>
      <c r="N3121" s="73">
        <f>D3124</f>
        <v>60589.218999999997</v>
      </c>
      <c r="O3121" s="22">
        <f t="shared" si="428"/>
        <v>4.8119675186310884E-2</v>
      </c>
    </row>
    <row r="3122" spans="1:17" ht="20" thickBot="1" x14ac:dyDescent="0.3">
      <c r="A3122" t="s">
        <v>1119</v>
      </c>
      <c r="B3122" t="s">
        <v>333</v>
      </c>
      <c r="C3122">
        <v>25</v>
      </c>
      <c r="D3122" s="194">
        <v>55019.857000000004</v>
      </c>
      <c r="E3122" t="s">
        <v>10</v>
      </c>
      <c r="F3122" s="194">
        <v>1414.3330000000001</v>
      </c>
      <c r="G3122" t="s">
        <v>335</v>
      </c>
      <c r="H3122" s="124">
        <f t="shared" si="417"/>
        <v>2.5705864702629089E-2</v>
      </c>
      <c r="J3122" s="68">
        <v>100</v>
      </c>
      <c r="K3122" s="120">
        <f>D3127</f>
        <v>4837.6940000000004</v>
      </c>
      <c r="L3122" s="120">
        <f>D3129</f>
        <v>4868.1850000000004</v>
      </c>
      <c r="M3122" s="19">
        <f t="shared" si="427"/>
        <v>-6.2633199025919906E-3</v>
      </c>
      <c r="N3122" s="74">
        <f>D3128</f>
        <v>4819.54</v>
      </c>
      <c r="O3122" s="23">
        <f t="shared" si="428"/>
        <v>-9.9924304437897238E-3</v>
      </c>
    </row>
    <row r="3123" spans="1:17" x14ac:dyDescent="0.25">
      <c r="A3123" t="s">
        <v>1120</v>
      </c>
      <c r="B3123" t="s">
        <v>333</v>
      </c>
      <c r="C3123">
        <v>25</v>
      </c>
      <c r="D3123" s="194">
        <v>63099.016000000003</v>
      </c>
      <c r="E3123" t="s">
        <v>10</v>
      </c>
      <c r="F3123" s="194">
        <v>1313.373</v>
      </c>
      <c r="G3123" t="s">
        <v>335</v>
      </c>
      <c r="H3123" s="124">
        <f t="shared" si="417"/>
        <v>2.0814476726546734E-2</v>
      </c>
    </row>
    <row r="3124" spans="1:17" x14ac:dyDescent="0.25">
      <c r="A3124" t="s">
        <v>1121</v>
      </c>
      <c r="B3124" t="s">
        <v>333</v>
      </c>
      <c r="C3124">
        <v>25</v>
      </c>
      <c r="D3124" s="194">
        <v>60589.218999999997</v>
      </c>
      <c r="E3124" t="s">
        <v>10</v>
      </c>
      <c r="F3124" s="194">
        <v>1875.9349999999999</v>
      </c>
      <c r="G3124" t="s">
        <v>335</v>
      </c>
      <c r="H3124" s="124">
        <f t="shared" si="417"/>
        <v>3.0961531291565255E-2</v>
      </c>
    </row>
    <row r="3125" spans="1:17" x14ac:dyDescent="0.25">
      <c r="A3125" t="s">
        <v>1122</v>
      </c>
      <c r="B3125" t="s">
        <v>333</v>
      </c>
      <c r="C3125">
        <v>25</v>
      </c>
      <c r="D3125" s="194">
        <v>57807.538999999997</v>
      </c>
      <c r="E3125" t="s">
        <v>10</v>
      </c>
      <c r="F3125" s="194">
        <v>940.39</v>
      </c>
      <c r="G3125" t="s">
        <v>335</v>
      </c>
      <c r="H3125" s="124">
        <f t="shared" si="417"/>
        <v>1.626760135905457E-2</v>
      </c>
    </row>
    <row r="3126" spans="1:17" x14ac:dyDescent="0.25">
      <c r="A3126" t="s">
        <v>1123</v>
      </c>
      <c r="B3126" t="s">
        <v>333</v>
      </c>
      <c r="C3126">
        <v>25</v>
      </c>
      <c r="D3126" s="194">
        <v>4291.6189999999997</v>
      </c>
      <c r="E3126" t="s">
        <v>10</v>
      </c>
      <c r="F3126" s="194">
        <v>151.68199999999999</v>
      </c>
      <c r="G3126" t="s">
        <v>335</v>
      </c>
      <c r="H3126" s="124">
        <f t="shared" si="417"/>
        <v>3.5343771196837369E-2</v>
      </c>
    </row>
    <row r="3127" spans="1:17" x14ac:dyDescent="0.25">
      <c r="A3127" t="s">
        <v>1124</v>
      </c>
      <c r="B3127" t="s">
        <v>333</v>
      </c>
      <c r="C3127">
        <v>25</v>
      </c>
      <c r="D3127" s="194">
        <v>4837.6940000000004</v>
      </c>
      <c r="E3127" t="s">
        <v>10</v>
      </c>
      <c r="F3127" s="194">
        <v>123.78100000000001</v>
      </c>
      <c r="G3127" t="s">
        <v>335</v>
      </c>
      <c r="H3127" s="124">
        <f t="shared" si="417"/>
        <v>2.5586777501842819E-2</v>
      </c>
    </row>
    <row r="3128" spans="1:17" x14ac:dyDescent="0.25">
      <c r="A3128" t="s">
        <v>1125</v>
      </c>
      <c r="B3128" t="s">
        <v>333</v>
      </c>
      <c r="C3128">
        <v>25</v>
      </c>
      <c r="D3128" s="194">
        <v>4819.54</v>
      </c>
      <c r="E3128" t="s">
        <v>10</v>
      </c>
      <c r="F3128" s="194">
        <v>142.44800000000001</v>
      </c>
      <c r="G3128" t="s">
        <v>335</v>
      </c>
      <c r="H3128" s="124">
        <f t="shared" si="417"/>
        <v>2.9556347701232898E-2</v>
      </c>
    </row>
    <row r="3129" spans="1:17" x14ac:dyDescent="0.25">
      <c r="A3129" t="s">
        <v>1126</v>
      </c>
      <c r="B3129" t="s">
        <v>333</v>
      </c>
      <c r="C3129">
        <v>25</v>
      </c>
      <c r="D3129" s="194">
        <v>4868.1850000000004</v>
      </c>
      <c r="E3129" t="s">
        <v>10</v>
      </c>
      <c r="F3129" s="194">
        <v>160.447</v>
      </c>
      <c r="G3129" t="s">
        <v>335</v>
      </c>
      <c r="H3129" s="124">
        <f t="shared" si="417"/>
        <v>3.2958279112235873E-2</v>
      </c>
    </row>
    <row r="3131" spans="1:17" x14ac:dyDescent="0.25">
      <c r="A3131" t="s">
        <v>786</v>
      </c>
      <c r="B3131"/>
      <c r="C3131"/>
      <c r="D3131" s="194"/>
      <c r="E3131"/>
      <c r="F3131" s="194"/>
      <c r="G3131"/>
      <c r="H3131" s="79" t="e">
        <f t="shared" ref="H3131:H3194" si="429">F3131/D3131</f>
        <v>#DIV/0!</v>
      </c>
    </row>
    <row r="3132" spans="1:17" ht="20" thickBot="1" x14ac:dyDescent="0.3">
      <c r="A3132" t="s">
        <v>2</v>
      </c>
      <c r="B3132" t="s">
        <v>3</v>
      </c>
      <c r="C3132" t="s">
        <v>4</v>
      </c>
      <c r="D3132" s="194" t="s">
        <v>5</v>
      </c>
      <c r="E3132" t="s">
        <v>6</v>
      </c>
      <c r="F3132" s="194" t="s">
        <v>7</v>
      </c>
      <c r="G3132"/>
      <c r="H3132" s="79" t="e">
        <f t="shared" si="429"/>
        <v>#VALUE!</v>
      </c>
    </row>
    <row r="3133" spans="1:17" x14ac:dyDescent="0.25">
      <c r="A3133" t="s">
        <v>787</v>
      </c>
      <c r="B3133" t="s">
        <v>333</v>
      </c>
      <c r="C3133">
        <v>25</v>
      </c>
      <c r="D3133" s="194">
        <v>1903464.601</v>
      </c>
      <c r="E3133" t="s">
        <v>10</v>
      </c>
      <c r="F3133" s="194">
        <v>106373.374</v>
      </c>
      <c r="G3133" t="s">
        <v>335</v>
      </c>
      <c r="H3133" s="79">
        <f t="shared" si="429"/>
        <v>5.5884083131420417E-2</v>
      </c>
      <c r="J3133" s="106" t="str">
        <f>A3131</f>
        <v>distinct2_10</v>
      </c>
      <c r="K3133" s="72" t="s">
        <v>344</v>
      </c>
      <c r="L3133" s="72" t="s">
        <v>341</v>
      </c>
      <c r="M3133" s="17" t="s">
        <v>162</v>
      </c>
      <c r="N3133" s="72" t="s">
        <v>343</v>
      </c>
      <c r="O3133" s="17" t="s">
        <v>162</v>
      </c>
      <c r="P3133" s="72" t="s">
        <v>342</v>
      </c>
      <c r="Q3133" s="21" t="s">
        <v>162</v>
      </c>
    </row>
    <row r="3134" spans="1:17" x14ac:dyDescent="0.25">
      <c r="A3134" t="s">
        <v>788</v>
      </c>
      <c r="B3134" t="s">
        <v>333</v>
      </c>
      <c r="C3134">
        <v>25</v>
      </c>
      <c r="D3134" s="194">
        <v>2036880.6640000001</v>
      </c>
      <c r="E3134" t="s">
        <v>10</v>
      </c>
      <c r="F3134" s="194">
        <v>76973.259999999995</v>
      </c>
      <c r="G3134" t="s">
        <v>335</v>
      </c>
      <c r="H3134" s="79">
        <f t="shared" si="429"/>
        <v>3.7789774020850535E-2</v>
      </c>
      <c r="J3134" s="6">
        <v>100000</v>
      </c>
      <c r="K3134" s="119">
        <f>D3133</f>
        <v>1903464.601</v>
      </c>
      <c r="L3134" s="119">
        <f>D3134</f>
        <v>2036880.6640000001</v>
      </c>
      <c r="M3134" s="18">
        <f>(K3134/L3134-1)</f>
        <v>-6.5500186318230069E-2</v>
      </c>
      <c r="N3134" s="73">
        <f>D3135</f>
        <v>1779496.6980000001</v>
      </c>
      <c r="O3134" s="18">
        <f>(K3134/N3134-1)</f>
        <v>6.9664587261852873E-2</v>
      </c>
      <c r="P3134" s="73">
        <f>D3136</f>
        <v>2247821.1680000001</v>
      </c>
      <c r="Q3134" s="22">
        <f>(K3134/P3134-1)</f>
        <v>-0.15319571320986869</v>
      </c>
    </row>
    <row r="3135" spans="1:17" x14ac:dyDescent="0.25">
      <c r="A3135" t="s">
        <v>789</v>
      </c>
      <c r="B3135" t="s">
        <v>333</v>
      </c>
      <c r="C3135">
        <v>25</v>
      </c>
      <c r="D3135" s="194">
        <v>1779496.6980000001</v>
      </c>
      <c r="E3135" t="s">
        <v>10</v>
      </c>
      <c r="F3135" s="194">
        <v>92164.758000000002</v>
      </c>
      <c r="G3135" t="s">
        <v>335</v>
      </c>
      <c r="H3135" s="79">
        <f t="shared" si="429"/>
        <v>5.1792598493487059E-2</v>
      </c>
      <c r="J3135" s="6">
        <v>50000</v>
      </c>
      <c r="K3135" s="119">
        <f>D3137</f>
        <v>674168.61300000001</v>
      </c>
      <c r="L3135" s="119">
        <f>D3138</f>
        <v>663993.71900000004</v>
      </c>
      <c r="M3135" s="18">
        <f t="shared" ref="M3135:M3138" si="430">(K3135/L3135-1)</f>
        <v>1.5323780494977735E-2</v>
      </c>
      <c r="N3135" s="73">
        <f>D3139</f>
        <v>570093.853</v>
      </c>
      <c r="O3135" s="18">
        <f t="shared" ref="O3135:O3138" si="431">(K3135/N3135-1)</f>
        <v>0.18255723939545798</v>
      </c>
      <c r="P3135" s="73">
        <f>D3140</f>
        <v>631569.02300000004</v>
      </c>
      <c r="Q3135" s="22">
        <f t="shared" ref="Q3135:Q3138" si="432">(K3135/P3135-1)</f>
        <v>6.7450410720983012E-2</v>
      </c>
    </row>
    <row r="3136" spans="1:17" x14ac:dyDescent="0.25">
      <c r="A3136" t="s">
        <v>790</v>
      </c>
      <c r="B3136" t="s">
        <v>333</v>
      </c>
      <c r="C3136">
        <v>25</v>
      </c>
      <c r="D3136" s="194">
        <v>2247821.1680000001</v>
      </c>
      <c r="E3136" t="s">
        <v>10</v>
      </c>
      <c r="F3136" s="194">
        <v>106816.41899999999</v>
      </c>
      <c r="G3136" t="s">
        <v>335</v>
      </c>
      <c r="H3136" s="79">
        <f t="shared" si="429"/>
        <v>4.7519980913357067E-2</v>
      </c>
      <c r="J3136" s="6">
        <v>10000</v>
      </c>
      <c r="K3136" s="119">
        <f>D3141</f>
        <v>122070.649</v>
      </c>
      <c r="L3136" s="119">
        <f>D3142</f>
        <v>94907.523000000001</v>
      </c>
      <c r="M3136" s="18">
        <f t="shared" si="430"/>
        <v>0.28620624731719113</v>
      </c>
      <c r="N3136" s="73">
        <f>D3143</f>
        <v>92541.313999999998</v>
      </c>
      <c r="O3136" s="18">
        <f t="shared" si="431"/>
        <v>0.31909353480759961</v>
      </c>
      <c r="P3136" s="73">
        <f>D3144</f>
        <v>113572.67</v>
      </c>
      <c r="Q3136" s="22">
        <f t="shared" si="432"/>
        <v>7.4824154437859169E-2</v>
      </c>
    </row>
    <row r="3137" spans="1:17" x14ac:dyDescent="0.25">
      <c r="A3137" t="s">
        <v>791</v>
      </c>
      <c r="B3137" t="s">
        <v>333</v>
      </c>
      <c r="C3137">
        <v>25</v>
      </c>
      <c r="D3137" s="194">
        <v>674168.61300000001</v>
      </c>
      <c r="E3137" t="s">
        <v>10</v>
      </c>
      <c r="F3137" s="194">
        <v>20976.355</v>
      </c>
      <c r="G3137" t="s">
        <v>335</v>
      </c>
      <c r="H3137" s="79">
        <f t="shared" si="429"/>
        <v>3.1114404609637322E-2</v>
      </c>
      <c r="J3137" s="67">
        <v>1000</v>
      </c>
      <c r="K3137" s="119">
        <f>D3145</f>
        <v>8562.848</v>
      </c>
      <c r="L3137" s="119">
        <f>D3146</f>
        <v>7478.0020000000004</v>
      </c>
      <c r="M3137" s="18">
        <f t="shared" si="430"/>
        <v>0.14507163811937995</v>
      </c>
      <c r="N3137" s="73">
        <f>D3147</f>
        <v>6954.57</v>
      </c>
      <c r="O3137" s="18">
        <f t="shared" si="431"/>
        <v>0.23125484393715223</v>
      </c>
      <c r="P3137" s="73">
        <f>D3148</f>
        <v>9308.4470000000001</v>
      </c>
      <c r="Q3137" s="22">
        <f t="shared" si="432"/>
        <v>-8.0099183032357635E-2</v>
      </c>
    </row>
    <row r="3138" spans="1:17" ht="20" thickBot="1" x14ac:dyDescent="0.3">
      <c r="A3138" t="s">
        <v>792</v>
      </c>
      <c r="B3138" t="s">
        <v>333</v>
      </c>
      <c r="C3138">
        <v>25</v>
      </c>
      <c r="D3138" s="194">
        <v>663993.71900000004</v>
      </c>
      <c r="E3138" t="s">
        <v>10</v>
      </c>
      <c r="F3138" s="194">
        <v>16816.73</v>
      </c>
      <c r="G3138" t="s">
        <v>335</v>
      </c>
      <c r="H3138" s="79">
        <f t="shared" si="429"/>
        <v>2.5326640175642984E-2</v>
      </c>
      <c r="J3138" s="68">
        <v>100</v>
      </c>
      <c r="K3138" s="120">
        <f>D3149</f>
        <v>448.72199999999998</v>
      </c>
      <c r="L3138" s="120">
        <f>D3150</f>
        <v>794.78300000000002</v>
      </c>
      <c r="M3138" s="19">
        <f t="shared" si="430"/>
        <v>-0.43541570466404045</v>
      </c>
      <c r="N3138" s="74">
        <f>D3151</f>
        <v>656.61699999999996</v>
      </c>
      <c r="O3138" s="19">
        <f t="shared" si="431"/>
        <v>-0.3166153176052402</v>
      </c>
      <c r="P3138" s="74">
        <f>D3152</f>
        <v>861.49400000000003</v>
      </c>
      <c r="Q3138" s="23">
        <f t="shared" si="432"/>
        <v>-0.47913508393558168</v>
      </c>
    </row>
    <row r="3139" spans="1:17" ht="20" thickBot="1" x14ac:dyDescent="0.3">
      <c r="A3139" t="s">
        <v>793</v>
      </c>
      <c r="B3139" t="s">
        <v>333</v>
      </c>
      <c r="C3139">
        <v>25</v>
      </c>
      <c r="D3139" s="194">
        <v>570093.853</v>
      </c>
      <c r="E3139" t="s">
        <v>10</v>
      </c>
      <c r="F3139" s="194">
        <v>15946.764999999999</v>
      </c>
      <c r="G3139" t="s">
        <v>335</v>
      </c>
      <c r="H3139" s="79">
        <f t="shared" si="429"/>
        <v>2.7972174960462167E-2</v>
      </c>
    </row>
    <row r="3140" spans="1:17" x14ac:dyDescent="0.25">
      <c r="A3140" t="s">
        <v>794</v>
      </c>
      <c r="B3140" t="s">
        <v>333</v>
      </c>
      <c r="C3140">
        <v>25</v>
      </c>
      <c r="D3140" s="194">
        <v>631569.02300000004</v>
      </c>
      <c r="E3140" t="s">
        <v>10</v>
      </c>
      <c r="F3140" s="194">
        <v>23946.54</v>
      </c>
      <c r="G3140" t="s">
        <v>335</v>
      </c>
      <c r="H3140" s="79">
        <f t="shared" si="429"/>
        <v>3.7915950795452485E-2</v>
      </c>
      <c r="J3140" s="106" t="str">
        <f>A3131</f>
        <v>distinct2_10</v>
      </c>
      <c r="K3140" s="72" t="s">
        <v>341</v>
      </c>
      <c r="L3140" s="72" t="s">
        <v>342</v>
      </c>
      <c r="M3140" s="17" t="s">
        <v>162</v>
      </c>
      <c r="N3140" s="72" t="s">
        <v>343</v>
      </c>
      <c r="O3140" s="21" t="s">
        <v>162</v>
      </c>
    </row>
    <row r="3141" spans="1:17" x14ac:dyDescent="0.25">
      <c r="A3141" t="s">
        <v>795</v>
      </c>
      <c r="B3141" t="s">
        <v>333</v>
      </c>
      <c r="C3141">
        <v>25</v>
      </c>
      <c r="D3141" s="194">
        <v>122070.649</v>
      </c>
      <c r="E3141" t="s">
        <v>10</v>
      </c>
      <c r="F3141" s="194">
        <v>2603.4639999999999</v>
      </c>
      <c r="G3141" t="s">
        <v>335</v>
      </c>
      <c r="H3141" s="79">
        <f t="shared" si="429"/>
        <v>2.1327518296392442E-2</v>
      </c>
      <c r="J3141" s="6">
        <v>100000</v>
      </c>
      <c r="K3141" s="119">
        <f>D3134</f>
        <v>2036880.6640000001</v>
      </c>
      <c r="L3141" s="119">
        <f>D3136</f>
        <v>2247821.1680000001</v>
      </c>
      <c r="M3141" s="18">
        <f>(K3141/L3141-1)</f>
        <v>-9.3842209070254645E-2</v>
      </c>
      <c r="N3141" s="73">
        <f>D3135</f>
        <v>1779496.6980000001</v>
      </c>
      <c r="O3141" s="22">
        <f>(N3141/L3141-1)</f>
        <v>-0.20834596482454693</v>
      </c>
    </row>
    <row r="3142" spans="1:17" x14ac:dyDescent="0.25">
      <c r="A3142" t="s">
        <v>796</v>
      </c>
      <c r="B3142" t="s">
        <v>333</v>
      </c>
      <c r="C3142">
        <v>25</v>
      </c>
      <c r="D3142" s="194">
        <v>94907.523000000001</v>
      </c>
      <c r="E3142" t="s">
        <v>10</v>
      </c>
      <c r="F3142" s="194">
        <v>2012.402</v>
      </c>
      <c r="G3142" t="s">
        <v>335</v>
      </c>
      <c r="H3142" s="79">
        <f t="shared" si="429"/>
        <v>2.1203819638196647E-2</v>
      </c>
      <c r="J3142" s="6">
        <v>50000</v>
      </c>
      <c r="K3142" s="119">
        <f>D3138</f>
        <v>663993.71900000004</v>
      </c>
      <c r="L3142" s="119">
        <f>D3140</f>
        <v>631569.02300000004</v>
      </c>
      <c r="M3142" s="18">
        <f t="shared" ref="M3142:M3145" si="433">(K3142/L3142-1)</f>
        <v>5.1339908733934125E-2</v>
      </c>
      <c r="N3142" s="73">
        <f>D3139</f>
        <v>570093.853</v>
      </c>
      <c r="O3142" s="22">
        <f t="shared" ref="O3142:O3145" si="434">(N3142/L3142-1)</f>
        <v>-9.7337215349778239E-2</v>
      </c>
    </row>
    <row r="3143" spans="1:17" x14ac:dyDescent="0.25">
      <c r="A3143" t="s">
        <v>797</v>
      </c>
      <c r="B3143" t="s">
        <v>333</v>
      </c>
      <c r="C3143">
        <v>25</v>
      </c>
      <c r="D3143" s="194">
        <v>92541.313999999998</v>
      </c>
      <c r="E3143" t="s">
        <v>10</v>
      </c>
      <c r="F3143" s="194">
        <v>2245.1419999999998</v>
      </c>
      <c r="G3143" t="s">
        <v>335</v>
      </c>
      <c r="H3143" s="79">
        <f t="shared" si="429"/>
        <v>2.4260969538426911E-2</v>
      </c>
      <c r="J3143" s="6">
        <v>10000</v>
      </c>
      <c r="K3143" s="119">
        <f>D3142</f>
        <v>94907.523000000001</v>
      </c>
      <c r="L3143" s="119">
        <f>D3144</f>
        <v>113572.67</v>
      </c>
      <c r="M3143" s="18">
        <f t="shared" si="433"/>
        <v>-0.16434540985960788</v>
      </c>
      <c r="N3143" s="73">
        <f>D3143</f>
        <v>92541.313999999998</v>
      </c>
      <c r="O3143" s="22">
        <f t="shared" si="434"/>
        <v>-0.18517972677757777</v>
      </c>
    </row>
    <row r="3144" spans="1:17" x14ac:dyDescent="0.25">
      <c r="A3144" t="s">
        <v>798</v>
      </c>
      <c r="B3144" t="s">
        <v>333</v>
      </c>
      <c r="C3144">
        <v>25</v>
      </c>
      <c r="D3144" s="194">
        <v>113572.67</v>
      </c>
      <c r="E3144" t="s">
        <v>10</v>
      </c>
      <c r="F3144" s="194">
        <v>3319.654</v>
      </c>
      <c r="G3144" t="s">
        <v>335</v>
      </c>
      <c r="H3144" s="79">
        <f t="shared" si="429"/>
        <v>2.9229338361068734E-2</v>
      </c>
      <c r="J3144" s="67">
        <v>1000</v>
      </c>
      <c r="K3144" s="119">
        <f>D3146</f>
        <v>7478.0020000000004</v>
      </c>
      <c r="L3144" s="119">
        <f>D3148</f>
        <v>9308.4470000000001</v>
      </c>
      <c r="M3144" s="18">
        <f t="shared" si="433"/>
        <v>-0.19664343579546617</v>
      </c>
      <c r="N3144" s="73">
        <f>D3147</f>
        <v>6954.57</v>
      </c>
      <c r="O3144" s="22">
        <f t="shared" si="434"/>
        <v>-0.25287537222911627</v>
      </c>
    </row>
    <row r="3145" spans="1:17" ht="20" thickBot="1" x14ac:dyDescent="0.3">
      <c r="A3145" t="s">
        <v>799</v>
      </c>
      <c r="B3145" t="s">
        <v>333</v>
      </c>
      <c r="C3145">
        <v>25</v>
      </c>
      <c r="D3145" s="194">
        <v>8562.848</v>
      </c>
      <c r="E3145" t="s">
        <v>10</v>
      </c>
      <c r="F3145" s="194">
        <v>230.30199999999999</v>
      </c>
      <c r="G3145" t="s">
        <v>335</v>
      </c>
      <c r="H3145" s="79">
        <f t="shared" si="429"/>
        <v>2.689549084603627E-2</v>
      </c>
      <c r="J3145" s="68">
        <v>100</v>
      </c>
      <c r="K3145" s="120">
        <f>D3150</f>
        <v>794.78300000000002</v>
      </c>
      <c r="L3145" s="120">
        <f>D3152</f>
        <v>861.49400000000003</v>
      </c>
      <c r="M3145" s="19">
        <f t="shared" si="433"/>
        <v>-7.7436406986003403E-2</v>
      </c>
      <c r="N3145" s="74">
        <f>D3151</f>
        <v>656.61699999999996</v>
      </c>
      <c r="O3145" s="23">
        <f t="shared" si="434"/>
        <v>-0.23781593371515075</v>
      </c>
    </row>
    <row r="3146" spans="1:17" x14ac:dyDescent="0.25">
      <c r="A3146" t="s">
        <v>800</v>
      </c>
      <c r="B3146" t="s">
        <v>333</v>
      </c>
      <c r="C3146">
        <v>25</v>
      </c>
      <c r="D3146" s="194">
        <v>7478.0020000000004</v>
      </c>
      <c r="E3146" t="s">
        <v>10</v>
      </c>
      <c r="F3146" s="194">
        <v>347.70600000000002</v>
      </c>
      <c r="G3146" t="s">
        <v>335</v>
      </c>
      <c r="H3146" s="79">
        <f t="shared" si="429"/>
        <v>4.6497179326777396E-2</v>
      </c>
    </row>
    <row r="3147" spans="1:17" x14ac:dyDescent="0.25">
      <c r="A3147" t="s">
        <v>801</v>
      </c>
      <c r="B3147" t="s">
        <v>333</v>
      </c>
      <c r="C3147">
        <v>25</v>
      </c>
      <c r="D3147" s="194">
        <v>6954.57</v>
      </c>
      <c r="E3147" t="s">
        <v>10</v>
      </c>
      <c r="F3147" s="194">
        <v>179.05199999999999</v>
      </c>
      <c r="G3147" t="s">
        <v>335</v>
      </c>
      <c r="H3147" s="79">
        <f t="shared" si="429"/>
        <v>2.5745948347633284E-2</v>
      </c>
    </row>
    <row r="3148" spans="1:17" x14ac:dyDescent="0.25">
      <c r="A3148" t="s">
        <v>802</v>
      </c>
      <c r="B3148" t="s">
        <v>333</v>
      </c>
      <c r="C3148">
        <v>25</v>
      </c>
      <c r="D3148" s="194">
        <v>9308.4470000000001</v>
      </c>
      <c r="E3148" t="s">
        <v>10</v>
      </c>
      <c r="F3148" s="194">
        <v>271.26</v>
      </c>
      <c r="G3148" t="s">
        <v>335</v>
      </c>
      <c r="H3148" s="79">
        <f t="shared" si="429"/>
        <v>2.9141273512112171E-2</v>
      </c>
    </row>
    <row r="3149" spans="1:17" x14ac:dyDescent="0.25">
      <c r="A3149" t="s">
        <v>803</v>
      </c>
      <c r="B3149" t="s">
        <v>333</v>
      </c>
      <c r="C3149">
        <v>25</v>
      </c>
      <c r="D3149" s="194">
        <v>448.72199999999998</v>
      </c>
      <c r="E3149" t="s">
        <v>10</v>
      </c>
      <c r="F3149" s="194">
        <v>9.0990000000000002</v>
      </c>
      <c r="G3149" t="s">
        <v>335</v>
      </c>
      <c r="H3149" s="79">
        <f t="shared" si="429"/>
        <v>2.0277588350916604E-2</v>
      </c>
    </row>
    <row r="3150" spans="1:17" x14ac:dyDescent="0.25">
      <c r="A3150" t="s">
        <v>804</v>
      </c>
      <c r="B3150" t="s">
        <v>333</v>
      </c>
      <c r="C3150">
        <v>25</v>
      </c>
      <c r="D3150" s="194">
        <v>794.78300000000002</v>
      </c>
      <c r="E3150" t="s">
        <v>10</v>
      </c>
      <c r="F3150" s="194">
        <v>19.521999999999998</v>
      </c>
      <c r="G3150" t="s">
        <v>335</v>
      </c>
      <c r="H3150" s="79">
        <f t="shared" si="429"/>
        <v>2.4562679372860264E-2</v>
      </c>
    </row>
    <row r="3151" spans="1:17" x14ac:dyDescent="0.25">
      <c r="A3151" t="s">
        <v>805</v>
      </c>
      <c r="B3151" t="s">
        <v>333</v>
      </c>
      <c r="C3151">
        <v>25</v>
      </c>
      <c r="D3151" s="194">
        <v>656.61699999999996</v>
      </c>
      <c r="E3151" t="s">
        <v>10</v>
      </c>
      <c r="F3151" s="194">
        <v>22.009</v>
      </c>
      <c r="G3151" t="s">
        <v>335</v>
      </c>
      <c r="H3151" s="79">
        <f t="shared" si="429"/>
        <v>3.3518778831495379E-2</v>
      </c>
    </row>
    <row r="3152" spans="1:17" x14ac:dyDescent="0.25">
      <c r="A3152" t="s">
        <v>806</v>
      </c>
      <c r="B3152" t="s">
        <v>333</v>
      </c>
      <c r="C3152">
        <v>25</v>
      </c>
      <c r="D3152" s="194">
        <v>861.49400000000003</v>
      </c>
      <c r="E3152" t="s">
        <v>10</v>
      </c>
      <c r="F3152" s="194">
        <v>19.731999999999999</v>
      </c>
      <c r="G3152" t="s">
        <v>335</v>
      </c>
      <c r="H3152" s="79">
        <f t="shared" si="429"/>
        <v>2.2904396316167031E-2</v>
      </c>
    </row>
    <row r="3153" spans="1:17" x14ac:dyDescent="0.25">
      <c r="A3153"/>
      <c r="B3153"/>
      <c r="C3153"/>
      <c r="D3153" s="194"/>
      <c r="E3153"/>
      <c r="F3153" s="194"/>
      <c r="G3153"/>
      <c r="H3153" s="79" t="e">
        <f t="shared" si="429"/>
        <v>#DIV/0!</v>
      </c>
    </row>
    <row r="3154" spans="1:17" x14ac:dyDescent="0.25">
      <c r="A3154" t="s">
        <v>807</v>
      </c>
      <c r="B3154"/>
      <c r="C3154"/>
      <c r="D3154" s="194"/>
      <c r="E3154"/>
      <c r="F3154" s="194"/>
      <c r="G3154"/>
      <c r="H3154" s="79" t="e">
        <f t="shared" si="429"/>
        <v>#DIV/0!</v>
      </c>
    </row>
    <row r="3155" spans="1:17" ht="20" thickBot="1" x14ac:dyDescent="0.3">
      <c r="A3155" t="s">
        <v>2</v>
      </c>
      <c r="B3155" t="s">
        <v>3</v>
      </c>
      <c r="C3155" t="s">
        <v>4</v>
      </c>
      <c r="D3155" s="194" t="s">
        <v>5</v>
      </c>
      <c r="E3155" t="s">
        <v>6</v>
      </c>
      <c r="F3155" s="194" t="s">
        <v>7</v>
      </c>
      <c r="G3155"/>
      <c r="H3155" s="79" t="e">
        <f t="shared" si="429"/>
        <v>#VALUE!</v>
      </c>
    </row>
    <row r="3156" spans="1:17" x14ac:dyDescent="0.25">
      <c r="A3156" t="s">
        <v>812</v>
      </c>
      <c r="B3156" t="s">
        <v>333</v>
      </c>
      <c r="C3156">
        <v>25</v>
      </c>
      <c r="D3156" s="194">
        <v>1552096.5460000001</v>
      </c>
      <c r="E3156" t="s">
        <v>10</v>
      </c>
      <c r="F3156" s="194">
        <v>46202.974999999999</v>
      </c>
      <c r="G3156" t="s">
        <v>335</v>
      </c>
      <c r="H3156" s="79">
        <f t="shared" si="429"/>
        <v>2.9768106319850024E-2</v>
      </c>
      <c r="J3156" s="106" t="str">
        <f>A3154</f>
        <v>distinct2_90</v>
      </c>
      <c r="K3156" s="72" t="s">
        <v>344</v>
      </c>
      <c r="L3156" s="72" t="s">
        <v>341</v>
      </c>
      <c r="M3156" s="17" t="s">
        <v>162</v>
      </c>
      <c r="N3156" s="72" t="s">
        <v>343</v>
      </c>
      <c r="O3156" s="17" t="s">
        <v>162</v>
      </c>
      <c r="P3156" s="72" t="s">
        <v>342</v>
      </c>
      <c r="Q3156" s="21" t="s">
        <v>162</v>
      </c>
    </row>
    <row r="3157" spans="1:17" x14ac:dyDescent="0.25">
      <c r="A3157" t="s">
        <v>813</v>
      </c>
      <c r="B3157" t="s">
        <v>333</v>
      </c>
      <c r="C3157">
        <v>25</v>
      </c>
      <c r="D3157" s="194">
        <v>1600528.652</v>
      </c>
      <c r="E3157" t="s">
        <v>10</v>
      </c>
      <c r="F3157" s="194">
        <v>54193.633999999998</v>
      </c>
      <c r="G3157" t="s">
        <v>335</v>
      </c>
      <c r="H3157" s="79">
        <f t="shared" si="429"/>
        <v>3.3859833706994455E-2</v>
      </c>
      <c r="J3157" s="6">
        <v>100000</v>
      </c>
      <c r="K3157" s="119">
        <f>D3156</f>
        <v>1552096.5460000001</v>
      </c>
      <c r="L3157" s="119">
        <f>D3157</f>
        <v>1600528.652</v>
      </c>
      <c r="M3157" s="18">
        <f>(K3157/L3157-1)</f>
        <v>-3.0260068096550352E-2</v>
      </c>
      <c r="N3157" s="73">
        <f>D3158</f>
        <v>1446699.831</v>
      </c>
      <c r="O3157" s="18">
        <f>(K3157/N3157-1)</f>
        <v>7.2853201985339844E-2</v>
      </c>
      <c r="P3157" s="73">
        <f>D3159</f>
        <v>1439354.656</v>
      </c>
      <c r="Q3157" s="22">
        <f>(K3157/P3157-1)</f>
        <v>7.8328082331919902E-2</v>
      </c>
    </row>
    <row r="3158" spans="1:17" x14ac:dyDescent="0.25">
      <c r="A3158" t="s">
        <v>814</v>
      </c>
      <c r="B3158" t="s">
        <v>333</v>
      </c>
      <c r="C3158">
        <v>25</v>
      </c>
      <c r="D3158" s="194">
        <v>1446699.831</v>
      </c>
      <c r="E3158" t="s">
        <v>10</v>
      </c>
      <c r="F3158" s="194">
        <v>48304.078999999998</v>
      </c>
      <c r="G3158" t="s">
        <v>335</v>
      </c>
      <c r="H3158" s="79">
        <f t="shared" si="429"/>
        <v>3.3389150924702085E-2</v>
      </c>
      <c r="J3158" s="6">
        <v>50000</v>
      </c>
      <c r="K3158" s="119">
        <f>D3160</f>
        <v>8603660.4810000006</v>
      </c>
      <c r="L3158" s="119">
        <f>D3161</f>
        <v>9392896.1079999991</v>
      </c>
      <c r="M3158" s="18">
        <f t="shared" ref="M3158:M3161" si="435">(K3158/L3158-1)</f>
        <v>-8.4024737197699984E-2</v>
      </c>
      <c r="N3158" s="73">
        <f>D3162</f>
        <v>7774933.9369999999</v>
      </c>
      <c r="O3158" s="18">
        <f t="shared" ref="O3158:O3161" si="436">(K3158/N3158-1)</f>
        <v>0.10658952869762506</v>
      </c>
      <c r="P3158" s="73">
        <f>D3163</f>
        <v>8948828.8910000008</v>
      </c>
      <c r="Q3158" s="22">
        <f t="shared" ref="Q3158:Q3161" si="437">(K3158/P3158-1)</f>
        <v>-3.8571349860889836E-2</v>
      </c>
    </row>
    <row r="3159" spans="1:17" x14ac:dyDescent="0.25">
      <c r="A3159" t="s">
        <v>815</v>
      </c>
      <c r="B3159" t="s">
        <v>333</v>
      </c>
      <c r="C3159">
        <v>25</v>
      </c>
      <c r="D3159" s="194">
        <v>1439354.656</v>
      </c>
      <c r="E3159" t="s">
        <v>10</v>
      </c>
      <c r="F3159" s="194">
        <v>47580.794000000002</v>
      </c>
      <c r="G3159" t="s">
        <v>335</v>
      </c>
      <c r="H3159" s="79">
        <f t="shared" si="429"/>
        <v>3.3057032748431948E-2</v>
      </c>
      <c r="J3159" s="6">
        <v>10000</v>
      </c>
      <c r="K3159" s="119">
        <f>D3164</f>
        <v>249207.96299999999</v>
      </c>
      <c r="L3159" s="119">
        <f>D3165</f>
        <v>230799.71299999999</v>
      </c>
      <c r="M3159" s="18">
        <f t="shared" si="435"/>
        <v>7.9758548053307177E-2</v>
      </c>
      <c r="N3159" s="73">
        <f>D3166</f>
        <v>199196.06099999999</v>
      </c>
      <c r="O3159" s="18">
        <f t="shared" si="436"/>
        <v>0.25106872971750183</v>
      </c>
      <c r="P3159" s="73">
        <f>D3167</f>
        <v>200915.34400000001</v>
      </c>
      <c r="Q3159" s="22">
        <f t="shared" si="437"/>
        <v>0.24036302075564708</v>
      </c>
    </row>
    <row r="3160" spans="1:17" x14ac:dyDescent="0.25">
      <c r="A3160" t="s">
        <v>808</v>
      </c>
      <c r="B3160" t="s">
        <v>333</v>
      </c>
      <c r="C3160">
        <v>25</v>
      </c>
      <c r="D3160" s="194">
        <v>8603660.4810000006</v>
      </c>
      <c r="E3160" t="s">
        <v>10</v>
      </c>
      <c r="F3160" s="194">
        <v>380114.44300000003</v>
      </c>
      <c r="G3160" t="s">
        <v>335</v>
      </c>
      <c r="H3160" s="79">
        <f t="shared" si="429"/>
        <v>4.4180548946512993E-2</v>
      </c>
      <c r="J3160" s="67">
        <v>1000</v>
      </c>
      <c r="K3160" s="119">
        <f>D3168</f>
        <v>17078.451000000001</v>
      </c>
      <c r="L3160" s="119">
        <f>D3169</f>
        <v>20810.183000000001</v>
      </c>
      <c r="M3160" s="18">
        <f t="shared" si="435"/>
        <v>-0.1793224019221743</v>
      </c>
      <c r="N3160" s="73">
        <f>D3170</f>
        <v>16820.022000000001</v>
      </c>
      <c r="O3160" s="18">
        <f t="shared" si="436"/>
        <v>1.5364367537688217E-2</v>
      </c>
      <c r="P3160" s="73">
        <f>D3171</f>
        <v>16532.035</v>
      </c>
      <c r="Q3160" s="22">
        <f t="shared" si="437"/>
        <v>3.3051950349730186E-2</v>
      </c>
    </row>
    <row r="3161" spans="1:17" ht="20" thickBot="1" x14ac:dyDescent="0.3">
      <c r="A3161" t="s">
        <v>809</v>
      </c>
      <c r="B3161" t="s">
        <v>333</v>
      </c>
      <c r="C3161">
        <v>25</v>
      </c>
      <c r="D3161" s="194">
        <v>9392896.1079999991</v>
      </c>
      <c r="E3161" t="s">
        <v>10</v>
      </c>
      <c r="F3161" s="194">
        <v>474747.34</v>
      </c>
      <c r="G3161" t="s">
        <v>335</v>
      </c>
      <c r="H3161" s="79">
        <f t="shared" si="429"/>
        <v>5.0543233369275124E-2</v>
      </c>
      <c r="J3161" s="68">
        <v>100</v>
      </c>
      <c r="K3161" s="120">
        <f>D3172</f>
        <v>1379.5160000000001</v>
      </c>
      <c r="L3161" s="120">
        <f>D3173</f>
        <v>1511.0650000000001</v>
      </c>
      <c r="M3161" s="19">
        <f t="shared" si="435"/>
        <v>-8.7057141817195149E-2</v>
      </c>
      <c r="N3161" s="74">
        <f>D3174</f>
        <v>1139.154</v>
      </c>
      <c r="O3161" s="19">
        <f t="shared" si="436"/>
        <v>0.21100044418928432</v>
      </c>
      <c r="P3161" s="74">
        <f>D3175</f>
        <v>1398.7940000000001</v>
      </c>
      <c r="Q3161" s="23">
        <f t="shared" si="437"/>
        <v>-1.3781872098393322E-2</v>
      </c>
    </row>
    <row r="3162" spans="1:17" ht="20" thickBot="1" x14ac:dyDescent="0.3">
      <c r="A3162" t="s">
        <v>810</v>
      </c>
      <c r="B3162" t="s">
        <v>333</v>
      </c>
      <c r="C3162">
        <v>25</v>
      </c>
      <c r="D3162" s="194">
        <v>7774933.9369999999</v>
      </c>
      <c r="E3162" t="s">
        <v>10</v>
      </c>
      <c r="F3162" s="194">
        <v>377052.27500000002</v>
      </c>
      <c r="G3162" t="s">
        <v>335</v>
      </c>
      <c r="H3162" s="79">
        <f t="shared" si="429"/>
        <v>4.8495881515552487E-2</v>
      </c>
    </row>
    <row r="3163" spans="1:17" x14ac:dyDescent="0.25">
      <c r="A3163" t="s">
        <v>811</v>
      </c>
      <c r="B3163" t="s">
        <v>333</v>
      </c>
      <c r="C3163">
        <v>25</v>
      </c>
      <c r="D3163" s="194">
        <v>8948828.8910000008</v>
      </c>
      <c r="E3163" t="s">
        <v>10</v>
      </c>
      <c r="F3163" s="194">
        <v>611234.15099999995</v>
      </c>
      <c r="G3163" t="s">
        <v>335</v>
      </c>
      <c r="H3163" s="79">
        <f t="shared" si="429"/>
        <v>6.8303256039986326E-2</v>
      </c>
      <c r="J3163" s="106" t="str">
        <f>A3154</f>
        <v>distinct2_90</v>
      </c>
      <c r="K3163" s="72" t="s">
        <v>341</v>
      </c>
      <c r="L3163" s="72" t="s">
        <v>342</v>
      </c>
      <c r="M3163" s="17" t="s">
        <v>162</v>
      </c>
      <c r="N3163" s="72" t="s">
        <v>343</v>
      </c>
      <c r="O3163" s="21" t="s">
        <v>162</v>
      </c>
    </row>
    <row r="3164" spans="1:17" x14ac:dyDescent="0.25">
      <c r="A3164" t="s">
        <v>816</v>
      </c>
      <c r="B3164" t="s">
        <v>333</v>
      </c>
      <c r="C3164">
        <v>25</v>
      </c>
      <c r="D3164" s="194">
        <v>249207.96299999999</v>
      </c>
      <c r="E3164" t="s">
        <v>10</v>
      </c>
      <c r="F3164" s="194">
        <v>5824.5259999999998</v>
      </c>
      <c r="G3164" t="s">
        <v>335</v>
      </c>
      <c r="H3164" s="79">
        <f t="shared" si="429"/>
        <v>2.3372150431645717E-2</v>
      </c>
      <c r="J3164" s="6">
        <v>100000</v>
      </c>
      <c r="K3164" s="119">
        <f>D3157</f>
        <v>1600528.652</v>
      </c>
      <c r="L3164" s="119">
        <f>D3159</f>
        <v>1439354.656</v>
      </c>
      <c r="M3164" s="18">
        <f>(K3164/L3164-1)</f>
        <v>0.1119765690326151</v>
      </c>
      <c r="N3164" s="73">
        <f>D3158</f>
        <v>1446699.831</v>
      </c>
      <c r="O3164" s="22">
        <f>(N3164/L3164-1)</f>
        <v>5.103102956162564E-3</v>
      </c>
    </row>
    <row r="3165" spans="1:17" x14ac:dyDescent="0.25">
      <c r="A3165" t="s">
        <v>817</v>
      </c>
      <c r="B3165" t="s">
        <v>333</v>
      </c>
      <c r="C3165">
        <v>25</v>
      </c>
      <c r="D3165" s="194">
        <v>230799.71299999999</v>
      </c>
      <c r="E3165" t="s">
        <v>10</v>
      </c>
      <c r="F3165" s="194">
        <v>4974.6909999999998</v>
      </c>
      <c r="G3165" t="s">
        <v>335</v>
      </c>
      <c r="H3165" s="79">
        <f t="shared" si="429"/>
        <v>2.1554147253207374E-2</v>
      </c>
      <c r="J3165" s="6">
        <v>50000</v>
      </c>
      <c r="K3165" s="119">
        <f>D3161</f>
        <v>9392896.1079999991</v>
      </c>
      <c r="L3165" s="119">
        <f>D3163</f>
        <v>8948828.8910000008</v>
      </c>
      <c r="M3165" s="18">
        <f t="shared" ref="M3165:M3168" si="438">(K3165/L3165-1)</f>
        <v>4.9622941997092385E-2</v>
      </c>
      <c r="N3165" s="73">
        <f>D3162</f>
        <v>7774933.9369999999</v>
      </c>
      <c r="O3165" s="22">
        <f t="shared" ref="O3165:O3168" si="439">(N3165/L3165-1)</f>
        <v>-0.13117861211768256</v>
      </c>
    </row>
    <row r="3166" spans="1:17" x14ac:dyDescent="0.25">
      <c r="A3166" t="s">
        <v>818</v>
      </c>
      <c r="B3166" t="s">
        <v>333</v>
      </c>
      <c r="C3166">
        <v>25</v>
      </c>
      <c r="D3166" s="194">
        <v>199196.06099999999</v>
      </c>
      <c r="E3166" t="s">
        <v>10</v>
      </c>
      <c r="F3166" s="194">
        <v>5840.817</v>
      </c>
      <c r="G3166" t="s">
        <v>335</v>
      </c>
      <c r="H3166" s="79">
        <f t="shared" si="429"/>
        <v>2.9321950296999098E-2</v>
      </c>
      <c r="J3166" s="6">
        <v>10000</v>
      </c>
      <c r="K3166" s="119">
        <f>D3165</f>
        <v>230799.71299999999</v>
      </c>
      <c r="L3166" s="119">
        <f>D3167</f>
        <v>200915.34400000001</v>
      </c>
      <c r="M3166" s="18">
        <f t="shared" si="438"/>
        <v>0.14874109863903673</v>
      </c>
      <c r="N3166" s="73">
        <f>D3166</f>
        <v>199196.06099999999</v>
      </c>
      <c r="O3166" s="22">
        <f t="shared" si="439"/>
        <v>-8.5572508588493967E-3</v>
      </c>
    </row>
    <row r="3167" spans="1:17" x14ac:dyDescent="0.25">
      <c r="A3167" t="s">
        <v>819</v>
      </c>
      <c r="B3167" t="s">
        <v>333</v>
      </c>
      <c r="C3167">
        <v>25</v>
      </c>
      <c r="D3167" s="194">
        <v>200915.34400000001</v>
      </c>
      <c r="E3167" t="s">
        <v>10</v>
      </c>
      <c r="F3167" s="194">
        <v>6019.52</v>
      </c>
      <c r="G3167" t="s">
        <v>335</v>
      </c>
      <c r="H3167" s="79">
        <f t="shared" si="429"/>
        <v>2.9960479275291191E-2</v>
      </c>
      <c r="J3167" s="67">
        <v>1000</v>
      </c>
      <c r="K3167" s="119">
        <f>D3169</f>
        <v>20810.183000000001</v>
      </c>
      <c r="L3167" s="119">
        <f>D3171</f>
        <v>16532.035</v>
      </c>
      <c r="M3167" s="18">
        <f t="shared" si="438"/>
        <v>0.25877927309009463</v>
      </c>
      <c r="N3167" s="73">
        <f>D3170</f>
        <v>16820.022000000001</v>
      </c>
      <c r="O3167" s="22">
        <f t="shared" si="439"/>
        <v>1.7419936505094658E-2</v>
      </c>
    </row>
    <row r="3168" spans="1:17" ht="20" thickBot="1" x14ac:dyDescent="0.3">
      <c r="A3168" t="s">
        <v>820</v>
      </c>
      <c r="B3168" t="s">
        <v>333</v>
      </c>
      <c r="C3168">
        <v>25</v>
      </c>
      <c r="D3168" s="194">
        <v>17078.451000000001</v>
      </c>
      <c r="E3168" t="s">
        <v>10</v>
      </c>
      <c r="F3168" s="194">
        <v>576.40499999999997</v>
      </c>
      <c r="G3168" t="s">
        <v>335</v>
      </c>
      <c r="H3168" s="79">
        <f t="shared" si="429"/>
        <v>3.3750426194975175E-2</v>
      </c>
      <c r="J3168" s="68">
        <v>100</v>
      </c>
      <c r="K3168" s="120">
        <f>D3173</f>
        <v>1511.0650000000001</v>
      </c>
      <c r="L3168" s="120">
        <f>D3175</f>
        <v>1398.7940000000001</v>
      </c>
      <c r="M3168" s="19">
        <f t="shared" si="438"/>
        <v>8.0262712021927474E-2</v>
      </c>
      <c r="N3168" s="74">
        <f>D3174</f>
        <v>1139.154</v>
      </c>
      <c r="O3168" s="23">
        <f t="shared" si="439"/>
        <v>-0.18561703867760382</v>
      </c>
    </row>
    <row r="3169" spans="1:15" x14ac:dyDescent="0.25">
      <c r="A3169" t="s">
        <v>821</v>
      </c>
      <c r="B3169" t="s">
        <v>333</v>
      </c>
      <c r="C3169">
        <v>25</v>
      </c>
      <c r="D3169" s="194">
        <v>20810.183000000001</v>
      </c>
      <c r="E3169" t="s">
        <v>10</v>
      </c>
      <c r="F3169" s="194">
        <v>517.59500000000003</v>
      </c>
      <c r="G3169" t="s">
        <v>335</v>
      </c>
      <c r="H3169" s="79">
        <f t="shared" si="429"/>
        <v>2.4872198384800363E-2</v>
      </c>
    </row>
    <row r="3170" spans="1:15" x14ac:dyDescent="0.25">
      <c r="A3170" t="s">
        <v>822</v>
      </c>
      <c r="B3170" t="s">
        <v>333</v>
      </c>
      <c r="C3170">
        <v>25</v>
      </c>
      <c r="D3170" s="194">
        <v>16820.022000000001</v>
      </c>
      <c r="E3170" t="s">
        <v>10</v>
      </c>
      <c r="F3170" s="194">
        <v>515.66099999999994</v>
      </c>
      <c r="G3170" t="s">
        <v>335</v>
      </c>
      <c r="H3170" s="79">
        <f t="shared" si="429"/>
        <v>3.0657569889028676E-2</v>
      </c>
    </row>
    <row r="3171" spans="1:15" x14ac:dyDescent="0.25">
      <c r="A3171" t="s">
        <v>823</v>
      </c>
      <c r="B3171" t="s">
        <v>333</v>
      </c>
      <c r="C3171">
        <v>25</v>
      </c>
      <c r="D3171" s="194">
        <v>16532.035</v>
      </c>
      <c r="E3171" t="s">
        <v>10</v>
      </c>
      <c r="F3171" s="194">
        <v>460.07</v>
      </c>
      <c r="G3171" t="s">
        <v>335</v>
      </c>
      <c r="H3171" s="79">
        <f t="shared" si="429"/>
        <v>2.7828999878115428E-2</v>
      </c>
    </row>
    <row r="3172" spans="1:15" x14ac:dyDescent="0.25">
      <c r="A3172" t="s">
        <v>824</v>
      </c>
      <c r="B3172" t="s">
        <v>333</v>
      </c>
      <c r="C3172">
        <v>25</v>
      </c>
      <c r="D3172" s="194">
        <v>1379.5160000000001</v>
      </c>
      <c r="E3172" t="s">
        <v>10</v>
      </c>
      <c r="F3172" s="194">
        <v>36.814999999999998</v>
      </c>
      <c r="G3172" t="s">
        <v>335</v>
      </c>
      <c r="H3172" s="79">
        <f t="shared" si="429"/>
        <v>2.6686895983808811E-2</v>
      </c>
    </row>
    <row r="3173" spans="1:15" x14ac:dyDescent="0.25">
      <c r="A3173" t="s">
        <v>825</v>
      </c>
      <c r="B3173" t="s">
        <v>333</v>
      </c>
      <c r="C3173">
        <v>25</v>
      </c>
      <c r="D3173" s="194">
        <v>1511.0650000000001</v>
      </c>
      <c r="E3173" t="s">
        <v>10</v>
      </c>
      <c r="F3173" s="194">
        <v>31.683</v>
      </c>
      <c r="G3173" t="s">
        <v>335</v>
      </c>
      <c r="H3173" s="79">
        <f t="shared" si="429"/>
        <v>2.0967330988408837E-2</v>
      </c>
    </row>
    <row r="3174" spans="1:15" x14ac:dyDescent="0.25">
      <c r="A3174" t="s">
        <v>826</v>
      </c>
      <c r="B3174" t="s">
        <v>333</v>
      </c>
      <c r="C3174">
        <v>25</v>
      </c>
      <c r="D3174" s="194">
        <v>1139.154</v>
      </c>
      <c r="E3174" t="s">
        <v>10</v>
      </c>
      <c r="F3174" s="194">
        <v>24.509</v>
      </c>
      <c r="G3174" t="s">
        <v>335</v>
      </c>
      <c r="H3174" s="79">
        <f t="shared" si="429"/>
        <v>2.151508926800064E-2</v>
      </c>
    </row>
    <row r="3175" spans="1:15" x14ac:dyDescent="0.25">
      <c r="A3175" t="s">
        <v>827</v>
      </c>
      <c r="B3175" t="s">
        <v>333</v>
      </c>
      <c r="C3175">
        <v>25</v>
      </c>
      <c r="D3175" s="194">
        <v>1398.7940000000001</v>
      </c>
      <c r="E3175" t="s">
        <v>10</v>
      </c>
      <c r="F3175" s="194">
        <v>35.564</v>
      </c>
      <c r="G3175" t="s">
        <v>335</v>
      </c>
      <c r="H3175" s="79">
        <f t="shared" si="429"/>
        <v>2.5424758756471644E-2</v>
      </c>
    </row>
    <row r="3176" spans="1:15" x14ac:dyDescent="0.25">
      <c r="A3176"/>
      <c r="B3176"/>
      <c r="C3176"/>
      <c r="D3176" s="194"/>
      <c r="E3176"/>
      <c r="F3176" s="194"/>
      <c r="G3176"/>
      <c r="H3176" s="79" t="e">
        <f t="shared" si="429"/>
        <v>#DIV/0!</v>
      </c>
    </row>
    <row r="3177" spans="1:15" x14ac:dyDescent="0.25">
      <c r="A3177" t="s">
        <v>1012</v>
      </c>
      <c r="B3177"/>
      <c r="C3177"/>
      <c r="D3177" s="194"/>
      <c r="E3177"/>
      <c r="F3177" s="194"/>
      <c r="G3177"/>
      <c r="H3177" s="79" t="e">
        <f t="shared" si="429"/>
        <v>#DIV/0!</v>
      </c>
    </row>
    <row r="3178" spans="1:15" ht="20" thickBot="1" x14ac:dyDescent="0.3">
      <c r="A3178" t="s">
        <v>2</v>
      </c>
      <c r="B3178" t="s">
        <v>3</v>
      </c>
      <c r="C3178" t="s">
        <v>4</v>
      </c>
      <c r="D3178" s="194" t="s">
        <v>5</v>
      </c>
      <c r="E3178" t="s">
        <v>6</v>
      </c>
      <c r="F3178" s="194" t="s">
        <v>7</v>
      </c>
      <c r="G3178"/>
      <c r="H3178" s="79" t="e">
        <f t="shared" si="429"/>
        <v>#VALUE!</v>
      </c>
    </row>
    <row r="3179" spans="1:15" x14ac:dyDescent="0.25">
      <c r="A3179" t="s">
        <v>1015</v>
      </c>
      <c r="B3179" t="s">
        <v>333</v>
      </c>
      <c r="C3179">
        <v>25</v>
      </c>
      <c r="D3179" s="194">
        <v>1424006.818</v>
      </c>
      <c r="E3179" t="s">
        <v>10</v>
      </c>
      <c r="F3179" s="194">
        <v>44789.930999999997</v>
      </c>
      <c r="G3179" t="s">
        <v>335</v>
      </c>
      <c r="H3179" s="79">
        <f t="shared" si="429"/>
        <v>3.1453452633679733E-2</v>
      </c>
      <c r="J3179" s="105" t="str">
        <f>A3177</f>
        <v>minus2_10</v>
      </c>
      <c r="K3179" s="72" t="s">
        <v>340</v>
      </c>
      <c r="L3179" s="72" t="s">
        <v>341</v>
      </c>
      <c r="M3179" s="17" t="s">
        <v>162</v>
      </c>
      <c r="N3179" s="72" t="s">
        <v>342</v>
      </c>
      <c r="O3179" s="21" t="s">
        <v>162</v>
      </c>
    </row>
    <row r="3180" spans="1:15" x14ac:dyDescent="0.25">
      <c r="A3180" t="s">
        <v>1016</v>
      </c>
      <c r="B3180" t="s">
        <v>333</v>
      </c>
      <c r="C3180">
        <v>25</v>
      </c>
      <c r="D3180" s="194">
        <v>1444902.3629999999</v>
      </c>
      <c r="E3180" t="s">
        <v>10</v>
      </c>
      <c r="F3180" s="194">
        <v>38883.826000000001</v>
      </c>
      <c r="G3180" t="s">
        <v>335</v>
      </c>
      <c r="H3180" s="79">
        <f t="shared" si="429"/>
        <v>2.6911040493606004E-2</v>
      </c>
      <c r="J3180" s="6">
        <v>100000</v>
      </c>
      <c r="K3180" s="119">
        <f>D3179</f>
        <v>1424006.818</v>
      </c>
      <c r="L3180" s="119">
        <f>D3180</f>
        <v>1444902.3629999999</v>
      </c>
      <c r="M3180" s="18">
        <f>(K3180/L3180-1)</f>
        <v>-1.4461561926312649E-2</v>
      </c>
      <c r="N3180" s="73">
        <f>D3181</f>
        <v>927696.70200000005</v>
      </c>
      <c r="O3180" s="22">
        <f>(K3180/N3180-1)</f>
        <v>0.5349917865720728</v>
      </c>
    </row>
    <row r="3181" spans="1:15" x14ac:dyDescent="0.25">
      <c r="A3181" t="s">
        <v>1017</v>
      </c>
      <c r="B3181" t="s">
        <v>333</v>
      </c>
      <c r="C3181">
        <v>25</v>
      </c>
      <c r="D3181" s="194">
        <v>927696.70200000005</v>
      </c>
      <c r="E3181" t="s">
        <v>10</v>
      </c>
      <c r="F3181" s="194">
        <v>28538.262999999999</v>
      </c>
      <c r="G3181" t="s">
        <v>335</v>
      </c>
      <c r="H3181" s="79">
        <f t="shared" si="429"/>
        <v>3.0762492675111393E-2</v>
      </c>
      <c r="J3181" s="6">
        <v>50000</v>
      </c>
      <c r="K3181" s="119">
        <f>D3182</f>
        <v>690880.79500000004</v>
      </c>
      <c r="L3181" s="119">
        <f>D3183</f>
        <v>653048.56200000003</v>
      </c>
      <c r="M3181" s="18">
        <f t="shared" ref="M3181:M3184" si="440">(K3181/L3181-1)</f>
        <v>5.7931730044908925E-2</v>
      </c>
      <c r="N3181" s="73">
        <f>D3184</f>
        <v>206852.136</v>
      </c>
      <c r="O3181" s="22">
        <f t="shared" ref="O3181:O3184" si="441">(K3181/N3181-1)</f>
        <v>2.3399741881321452</v>
      </c>
    </row>
    <row r="3182" spans="1:15" x14ac:dyDescent="0.25">
      <c r="A3182" t="s">
        <v>1018</v>
      </c>
      <c r="B3182" t="s">
        <v>333</v>
      </c>
      <c r="C3182">
        <v>25</v>
      </c>
      <c r="D3182" s="194">
        <v>690880.79500000004</v>
      </c>
      <c r="E3182" t="s">
        <v>10</v>
      </c>
      <c r="F3182" s="194">
        <v>19605.223000000002</v>
      </c>
      <c r="G3182" t="s">
        <v>335</v>
      </c>
      <c r="H3182" s="79">
        <f t="shared" si="429"/>
        <v>2.8377142832577942E-2</v>
      </c>
      <c r="J3182" s="6">
        <v>10000</v>
      </c>
      <c r="K3182" s="119">
        <f>D3185</f>
        <v>114639.395</v>
      </c>
      <c r="L3182" s="119">
        <f>D3186</f>
        <v>85308.403000000006</v>
      </c>
      <c r="M3182" s="18">
        <f t="shared" si="440"/>
        <v>0.34382301119855674</v>
      </c>
      <c r="N3182" s="73">
        <f>D3187</f>
        <v>32017.357</v>
      </c>
      <c r="O3182" s="22">
        <f t="shared" si="441"/>
        <v>2.580538987025069</v>
      </c>
    </row>
    <row r="3183" spans="1:15" x14ac:dyDescent="0.25">
      <c r="A3183" t="s">
        <v>1019</v>
      </c>
      <c r="B3183" t="s">
        <v>333</v>
      </c>
      <c r="C3183">
        <v>25</v>
      </c>
      <c r="D3183" s="194">
        <v>653048.56200000003</v>
      </c>
      <c r="E3183" t="s">
        <v>10</v>
      </c>
      <c r="F3183" s="194">
        <v>14399.427</v>
      </c>
      <c r="G3183" t="s">
        <v>335</v>
      </c>
      <c r="H3183" s="79">
        <f t="shared" si="429"/>
        <v>2.2049550122123996E-2</v>
      </c>
      <c r="J3183" s="67">
        <v>1000</v>
      </c>
      <c r="K3183" s="119">
        <f>D3188</f>
        <v>8334.9459999999999</v>
      </c>
      <c r="L3183" s="119">
        <f>D3189</f>
        <v>7119.7619999999997</v>
      </c>
      <c r="M3183" s="18">
        <f t="shared" si="440"/>
        <v>0.17067761534725467</v>
      </c>
      <c r="N3183" s="73">
        <f>D3190</f>
        <v>2982.7719999999999</v>
      </c>
      <c r="O3183" s="22">
        <f t="shared" si="441"/>
        <v>1.7943624252876185</v>
      </c>
    </row>
    <row r="3184" spans="1:15" ht="20" thickBot="1" x14ac:dyDescent="0.3">
      <c r="A3184" t="s">
        <v>1020</v>
      </c>
      <c r="B3184" t="s">
        <v>333</v>
      </c>
      <c r="C3184">
        <v>25</v>
      </c>
      <c r="D3184" s="194">
        <v>206852.136</v>
      </c>
      <c r="E3184" t="s">
        <v>10</v>
      </c>
      <c r="F3184" s="194">
        <v>7638.4170000000004</v>
      </c>
      <c r="G3184" t="s">
        <v>335</v>
      </c>
      <c r="H3184" s="79">
        <f t="shared" si="429"/>
        <v>3.6926942828378627E-2</v>
      </c>
      <c r="J3184" s="68">
        <v>100</v>
      </c>
      <c r="K3184" s="120">
        <f>D3191</f>
        <v>767.39300000000003</v>
      </c>
      <c r="L3184" s="120">
        <f>D3192</f>
        <v>607.15099999999995</v>
      </c>
      <c r="M3184" s="19">
        <f t="shared" si="440"/>
        <v>0.26392446030723837</v>
      </c>
      <c r="N3184" s="74">
        <f>D3193</f>
        <v>522.73900000000003</v>
      </c>
      <c r="O3184" s="23">
        <f t="shared" si="441"/>
        <v>0.46802323913080901</v>
      </c>
    </row>
    <row r="3185" spans="1:15" ht="20" thickBot="1" x14ac:dyDescent="0.3">
      <c r="A3185" t="s">
        <v>1021</v>
      </c>
      <c r="B3185" t="s">
        <v>333</v>
      </c>
      <c r="C3185">
        <v>25</v>
      </c>
      <c r="D3185" s="194">
        <v>114639.395</v>
      </c>
      <c r="E3185" t="s">
        <v>10</v>
      </c>
      <c r="F3185" s="194">
        <v>2783.9690000000001</v>
      </c>
      <c r="G3185" t="s">
        <v>335</v>
      </c>
      <c r="H3185" s="79">
        <f t="shared" si="429"/>
        <v>2.4284575123586442E-2</v>
      </c>
    </row>
    <row r="3186" spans="1:15" x14ac:dyDescent="0.25">
      <c r="A3186" t="s">
        <v>1022</v>
      </c>
      <c r="B3186" t="s">
        <v>333</v>
      </c>
      <c r="C3186">
        <v>25</v>
      </c>
      <c r="D3186" s="194">
        <v>85308.403000000006</v>
      </c>
      <c r="E3186" t="s">
        <v>10</v>
      </c>
      <c r="F3186" s="194">
        <v>2292.7060000000001</v>
      </c>
      <c r="G3186" t="s">
        <v>335</v>
      </c>
      <c r="H3186" s="79">
        <f t="shared" si="429"/>
        <v>2.6875500177866416E-2</v>
      </c>
      <c r="J3186" s="105" t="str">
        <f>A3177</f>
        <v>minus2_10</v>
      </c>
      <c r="K3186" s="72" t="s">
        <v>341</v>
      </c>
      <c r="L3186" s="72" t="s">
        <v>342</v>
      </c>
      <c r="M3186" s="21" t="s">
        <v>162</v>
      </c>
    </row>
    <row r="3187" spans="1:15" x14ac:dyDescent="0.25">
      <c r="A3187" t="s">
        <v>1023</v>
      </c>
      <c r="B3187" t="s">
        <v>333</v>
      </c>
      <c r="C3187">
        <v>25</v>
      </c>
      <c r="D3187" s="194">
        <v>32017.357</v>
      </c>
      <c r="E3187" t="s">
        <v>10</v>
      </c>
      <c r="F3187" s="194">
        <v>839.29200000000003</v>
      </c>
      <c r="G3187" t="s">
        <v>335</v>
      </c>
      <c r="H3187" s="79">
        <f t="shared" si="429"/>
        <v>2.6213656548852549E-2</v>
      </c>
      <c r="J3187" s="6">
        <v>100000</v>
      </c>
      <c r="K3187" s="119">
        <f>D3180</f>
        <v>1444902.3629999999</v>
      </c>
      <c r="L3187" s="119">
        <f>D3181</f>
        <v>927696.70200000005</v>
      </c>
      <c r="M3187" s="22">
        <f>(K3187/L3187-1)</f>
        <v>0.5575158991995639</v>
      </c>
    </row>
    <row r="3188" spans="1:15" x14ac:dyDescent="0.25">
      <c r="A3188" t="s">
        <v>1024</v>
      </c>
      <c r="B3188" t="s">
        <v>333</v>
      </c>
      <c r="C3188">
        <v>25</v>
      </c>
      <c r="D3188" s="194">
        <v>8334.9459999999999</v>
      </c>
      <c r="E3188" t="s">
        <v>10</v>
      </c>
      <c r="F3188" s="194">
        <v>159.376</v>
      </c>
      <c r="G3188" t="s">
        <v>335</v>
      </c>
      <c r="H3188" s="79">
        <f t="shared" si="429"/>
        <v>1.9121419622874582E-2</v>
      </c>
      <c r="J3188" s="6">
        <v>50000</v>
      </c>
      <c r="K3188" s="119">
        <f>D3183</f>
        <v>653048.56200000003</v>
      </c>
      <c r="L3188" s="119">
        <f>D3184</f>
        <v>206852.136</v>
      </c>
      <c r="M3188" s="22">
        <f t="shared" ref="M3188:M3191" si="442">(K3188/L3188-1)</f>
        <v>2.1570791321197671</v>
      </c>
    </row>
    <row r="3189" spans="1:15" x14ac:dyDescent="0.25">
      <c r="A3189" t="s">
        <v>1025</v>
      </c>
      <c r="B3189" t="s">
        <v>333</v>
      </c>
      <c r="C3189">
        <v>25</v>
      </c>
      <c r="D3189" s="194">
        <v>7119.7619999999997</v>
      </c>
      <c r="E3189" t="s">
        <v>10</v>
      </c>
      <c r="F3189" s="194">
        <v>161.566</v>
      </c>
      <c r="G3189" t="s">
        <v>335</v>
      </c>
      <c r="H3189" s="79">
        <f t="shared" si="429"/>
        <v>2.2692612477776646E-2</v>
      </c>
      <c r="J3189" s="6">
        <v>10000</v>
      </c>
      <c r="K3189" s="119">
        <f>D3186</f>
        <v>85308.403000000006</v>
      </c>
      <c r="L3189" s="119">
        <f>D3187</f>
        <v>32017.357</v>
      </c>
      <c r="M3189" s="22">
        <f t="shared" si="442"/>
        <v>1.6644423835483986</v>
      </c>
    </row>
    <row r="3190" spans="1:15" x14ac:dyDescent="0.25">
      <c r="A3190" t="s">
        <v>1026</v>
      </c>
      <c r="B3190" t="s">
        <v>333</v>
      </c>
      <c r="C3190">
        <v>25</v>
      </c>
      <c r="D3190" s="194">
        <v>2982.7719999999999</v>
      </c>
      <c r="E3190" t="s">
        <v>10</v>
      </c>
      <c r="F3190" s="194">
        <v>81.337999999999994</v>
      </c>
      <c r="G3190" t="s">
        <v>335</v>
      </c>
      <c r="H3190" s="79">
        <f t="shared" si="429"/>
        <v>2.726926496560917E-2</v>
      </c>
      <c r="J3190" s="67">
        <v>1000</v>
      </c>
      <c r="K3190" s="119">
        <f>D3189</f>
        <v>7119.7619999999997</v>
      </c>
      <c r="L3190" s="119">
        <f>D3190</f>
        <v>2982.7719999999999</v>
      </c>
      <c r="M3190" s="22">
        <f t="shared" si="442"/>
        <v>1.3869615243806765</v>
      </c>
    </row>
    <row r="3191" spans="1:15" ht="20" thickBot="1" x14ac:dyDescent="0.3">
      <c r="A3191" t="s">
        <v>1027</v>
      </c>
      <c r="B3191" t="s">
        <v>333</v>
      </c>
      <c r="C3191">
        <v>25</v>
      </c>
      <c r="D3191" s="194">
        <v>767.39300000000003</v>
      </c>
      <c r="E3191" t="s">
        <v>10</v>
      </c>
      <c r="F3191" s="194">
        <v>16.876000000000001</v>
      </c>
      <c r="G3191" t="s">
        <v>335</v>
      </c>
      <c r="H3191" s="79">
        <f t="shared" si="429"/>
        <v>2.1991339509221483E-2</v>
      </c>
      <c r="J3191" s="68">
        <v>100</v>
      </c>
      <c r="K3191" s="120">
        <f>D3192</f>
        <v>607.15099999999995</v>
      </c>
      <c r="L3191" s="120">
        <f>D3193</f>
        <v>522.73900000000003</v>
      </c>
      <c r="M3191" s="23">
        <f t="shared" si="442"/>
        <v>0.1614802033136995</v>
      </c>
    </row>
    <row r="3192" spans="1:15" x14ac:dyDescent="0.25">
      <c r="A3192" t="s">
        <v>1028</v>
      </c>
      <c r="B3192" t="s">
        <v>333</v>
      </c>
      <c r="C3192">
        <v>25</v>
      </c>
      <c r="D3192" s="194">
        <v>607.15099999999995</v>
      </c>
      <c r="E3192" t="s">
        <v>10</v>
      </c>
      <c r="F3192" s="194">
        <v>13.852</v>
      </c>
      <c r="G3192" t="s">
        <v>335</v>
      </c>
      <c r="H3192" s="79">
        <f t="shared" si="429"/>
        <v>2.2814752837432537E-2</v>
      </c>
    </row>
    <row r="3193" spans="1:15" x14ac:dyDescent="0.25">
      <c r="A3193" t="s">
        <v>1029</v>
      </c>
      <c r="B3193" t="s">
        <v>333</v>
      </c>
      <c r="C3193">
        <v>25</v>
      </c>
      <c r="D3193" s="194">
        <v>522.73900000000003</v>
      </c>
      <c r="E3193" t="s">
        <v>10</v>
      </c>
      <c r="F3193" s="194">
        <v>12.959</v>
      </c>
      <c r="G3193" t="s">
        <v>335</v>
      </c>
      <c r="H3193" s="79">
        <f t="shared" si="429"/>
        <v>2.4790574263638256E-2</v>
      </c>
    </row>
    <row r="3194" spans="1:15" x14ac:dyDescent="0.25">
      <c r="A3194"/>
      <c r="B3194"/>
      <c r="C3194"/>
      <c r="D3194" s="194"/>
      <c r="E3194"/>
      <c r="F3194" s="194"/>
      <c r="G3194"/>
      <c r="H3194" s="79" t="e">
        <f t="shared" si="429"/>
        <v>#DIV/0!</v>
      </c>
    </row>
    <row r="3195" spans="1:15" x14ac:dyDescent="0.25">
      <c r="A3195" t="s">
        <v>1013</v>
      </c>
      <c r="B3195"/>
      <c r="C3195"/>
      <c r="D3195" s="194"/>
      <c r="E3195"/>
      <c r="F3195" s="194"/>
      <c r="G3195"/>
      <c r="H3195" s="79" t="e">
        <f t="shared" ref="H3195:H3258" si="443">F3195/D3195</f>
        <v>#DIV/0!</v>
      </c>
    </row>
    <row r="3196" spans="1:15" ht="20" thickBot="1" x14ac:dyDescent="0.3">
      <c r="A3196" t="s">
        <v>2</v>
      </c>
      <c r="B3196" t="s">
        <v>3</v>
      </c>
      <c r="C3196" t="s">
        <v>4</v>
      </c>
      <c r="D3196" s="194" t="s">
        <v>5</v>
      </c>
      <c r="E3196" t="s">
        <v>6</v>
      </c>
      <c r="F3196" s="194" t="s">
        <v>7</v>
      </c>
      <c r="G3196"/>
      <c r="H3196" s="79" t="e">
        <f t="shared" si="443"/>
        <v>#VALUE!</v>
      </c>
    </row>
    <row r="3197" spans="1:15" x14ac:dyDescent="0.25">
      <c r="A3197" t="s">
        <v>1030</v>
      </c>
      <c r="B3197" t="s">
        <v>333</v>
      </c>
      <c r="C3197">
        <v>25</v>
      </c>
      <c r="D3197" s="194">
        <v>2624267.8659999999</v>
      </c>
      <c r="E3197" t="s">
        <v>10</v>
      </c>
      <c r="F3197" s="194">
        <v>380025.04</v>
      </c>
      <c r="G3197" t="s">
        <v>335</v>
      </c>
      <c r="H3197" s="79">
        <f t="shared" si="443"/>
        <v>0.14481183301582978</v>
      </c>
      <c r="J3197" s="105" t="str">
        <f>A3195</f>
        <v>minus2_90</v>
      </c>
      <c r="K3197" s="72" t="s">
        <v>340</v>
      </c>
      <c r="L3197" s="72" t="s">
        <v>341</v>
      </c>
      <c r="M3197" s="17" t="s">
        <v>162</v>
      </c>
      <c r="N3197" s="72" t="s">
        <v>342</v>
      </c>
      <c r="O3197" s="21" t="s">
        <v>162</v>
      </c>
    </row>
    <row r="3198" spans="1:15" x14ac:dyDescent="0.25">
      <c r="A3198" t="s">
        <v>1031</v>
      </c>
      <c r="B3198" t="s">
        <v>333</v>
      </c>
      <c r="C3198">
        <v>25</v>
      </c>
      <c r="D3198" s="194">
        <v>5508718.9709999999</v>
      </c>
      <c r="E3198" t="s">
        <v>10</v>
      </c>
      <c r="F3198" s="194">
        <v>890437.00300000003</v>
      </c>
      <c r="G3198" t="s">
        <v>335</v>
      </c>
      <c r="H3198" s="79">
        <f t="shared" si="443"/>
        <v>0.16164139207093345</v>
      </c>
      <c r="J3198" s="6">
        <v>100000</v>
      </c>
      <c r="K3198" s="119">
        <f>D3197</f>
        <v>2624267.8659999999</v>
      </c>
      <c r="L3198" s="119">
        <f>D3198</f>
        <v>5508718.9709999999</v>
      </c>
      <c r="M3198" s="18">
        <f>(K3198/L3198-1)</f>
        <v>-0.52361558470941283</v>
      </c>
      <c r="N3198" s="73">
        <f>D3199</f>
        <v>1559412.3970000001</v>
      </c>
      <c r="O3198" s="22">
        <f>(K3198/N3198-1)</f>
        <v>0.68285687034973575</v>
      </c>
    </row>
    <row r="3199" spans="1:15" x14ac:dyDescent="0.25">
      <c r="A3199" t="s">
        <v>1032</v>
      </c>
      <c r="B3199" t="s">
        <v>333</v>
      </c>
      <c r="C3199">
        <v>25</v>
      </c>
      <c r="D3199" s="194">
        <v>1559412.3970000001</v>
      </c>
      <c r="E3199" t="s">
        <v>10</v>
      </c>
      <c r="F3199" s="194">
        <v>202449.019</v>
      </c>
      <c r="G3199" t="s">
        <v>335</v>
      </c>
      <c r="H3199" s="79">
        <f t="shared" si="443"/>
        <v>0.1298239127696251</v>
      </c>
      <c r="J3199" s="6">
        <v>50000</v>
      </c>
      <c r="K3199" s="119">
        <f>D3200</f>
        <v>553022.78899999999</v>
      </c>
      <c r="L3199" s="119">
        <f>D3201</f>
        <v>677531.84499999997</v>
      </c>
      <c r="M3199" s="18">
        <f t="shared" ref="M3199:M3202" si="444">(K3199/L3199-1)</f>
        <v>-0.18376856662730001</v>
      </c>
      <c r="N3199" s="73">
        <f>D3202</f>
        <v>339265.94099999999</v>
      </c>
      <c r="O3199" s="22">
        <f t="shared" ref="O3199:O3202" si="445">(K3199/N3199-1)</f>
        <v>0.6300569027646663</v>
      </c>
    </row>
    <row r="3200" spans="1:15" x14ac:dyDescent="0.25">
      <c r="A3200" t="s">
        <v>1033</v>
      </c>
      <c r="B3200" t="s">
        <v>333</v>
      </c>
      <c r="C3200">
        <v>25</v>
      </c>
      <c r="D3200" s="194">
        <v>553022.78899999999</v>
      </c>
      <c r="E3200" t="s">
        <v>10</v>
      </c>
      <c r="F3200" s="194">
        <v>23710.004000000001</v>
      </c>
      <c r="G3200" t="s">
        <v>335</v>
      </c>
      <c r="H3200" s="79">
        <f t="shared" si="443"/>
        <v>4.2873466467581688E-2</v>
      </c>
      <c r="J3200" s="6">
        <v>10000</v>
      </c>
      <c r="K3200" s="119">
        <f>D3203</f>
        <v>79471.566000000006</v>
      </c>
      <c r="L3200" s="119">
        <f>D3204</f>
        <v>93999.808000000005</v>
      </c>
      <c r="M3200" s="18">
        <f t="shared" si="444"/>
        <v>-0.15455608164646462</v>
      </c>
      <c r="N3200" s="73">
        <f>D3205</f>
        <v>67746.406000000003</v>
      </c>
      <c r="O3200" s="22">
        <f t="shared" si="445"/>
        <v>0.17307427348987336</v>
      </c>
    </row>
    <row r="3201" spans="1:15" x14ac:dyDescent="0.25">
      <c r="A3201" t="s">
        <v>1034</v>
      </c>
      <c r="B3201" t="s">
        <v>333</v>
      </c>
      <c r="C3201">
        <v>25</v>
      </c>
      <c r="D3201" s="194">
        <v>677531.84499999997</v>
      </c>
      <c r="E3201" t="s">
        <v>10</v>
      </c>
      <c r="F3201" s="194">
        <v>23215.432000000001</v>
      </c>
      <c r="G3201" t="s">
        <v>335</v>
      </c>
      <c r="H3201" s="79">
        <f t="shared" si="443"/>
        <v>3.4264709727407722E-2</v>
      </c>
      <c r="J3201" s="67">
        <v>1000</v>
      </c>
      <c r="K3201" s="119">
        <f>D3206</f>
        <v>5866.8760000000002</v>
      </c>
      <c r="L3201" s="119">
        <f>D3207</f>
        <v>7391.1859999999997</v>
      </c>
      <c r="M3201" s="18">
        <f t="shared" si="444"/>
        <v>-0.2062334786325225</v>
      </c>
      <c r="N3201" s="73">
        <f>D3208</f>
        <v>3258.9459999999999</v>
      </c>
      <c r="O3201" s="22">
        <f t="shared" si="445"/>
        <v>0.80023725462158635</v>
      </c>
    </row>
    <row r="3202" spans="1:15" ht="20" thickBot="1" x14ac:dyDescent="0.3">
      <c r="A3202" t="s">
        <v>1035</v>
      </c>
      <c r="B3202" t="s">
        <v>333</v>
      </c>
      <c r="C3202">
        <v>25</v>
      </c>
      <c r="D3202" s="194">
        <v>339265.94099999999</v>
      </c>
      <c r="E3202" t="s">
        <v>10</v>
      </c>
      <c r="F3202" s="194">
        <v>9097.7639999999992</v>
      </c>
      <c r="G3202" t="s">
        <v>335</v>
      </c>
      <c r="H3202" s="79">
        <f t="shared" si="443"/>
        <v>2.68160251311522E-2</v>
      </c>
      <c r="J3202" s="68">
        <v>100</v>
      </c>
      <c r="K3202" s="120">
        <f>D3209</f>
        <v>590.06399999999996</v>
      </c>
      <c r="L3202" s="120">
        <f>D3210</f>
        <v>593.65599999999995</v>
      </c>
      <c r="M3202" s="19">
        <f t="shared" si="444"/>
        <v>-6.0506421227107809E-3</v>
      </c>
      <c r="N3202" s="74">
        <f>D3211</f>
        <v>298.36900000000003</v>
      </c>
      <c r="O3202" s="23">
        <f t="shared" si="445"/>
        <v>0.97763172447539759</v>
      </c>
    </row>
    <row r="3203" spans="1:15" ht="20" thickBot="1" x14ac:dyDescent="0.3">
      <c r="A3203" t="s">
        <v>1036</v>
      </c>
      <c r="B3203" t="s">
        <v>333</v>
      </c>
      <c r="C3203">
        <v>25</v>
      </c>
      <c r="D3203" s="194">
        <v>79471.566000000006</v>
      </c>
      <c r="E3203" t="s">
        <v>10</v>
      </c>
      <c r="F3203" s="194">
        <v>2181.6460000000002</v>
      </c>
      <c r="G3203" t="s">
        <v>335</v>
      </c>
      <c r="H3203" s="79">
        <f t="shared" si="443"/>
        <v>2.7451906509555882E-2</v>
      </c>
    </row>
    <row r="3204" spans="1:15" x14ac:dyDescent="0.25">
      <c r="A3204" t="s">
        <v>1037</v>
      </c>
      <c r="B3204" t="s">
        <v>333</v>
      </c>
      <c r="C3204">
        <v>25</v>
      </c>
      <c r="D3204" s="194">
        <v>93999.808000000005</v>
      </c>
      <c r="E3204" t="s">
        <v>10</v>
      </c>
      <c r="F3204" s="194">
        <v>3327.4070000000002</v>
      </c>
      <c r="G3204" t="s">
        <v>335</v>
      </c>
      <c r="H3204" s="79">
        <f t="shared" si="443"/>
        <v>3.5398019110847542E-2</v>
      </c>
      <c r="J3204" s="105" t="str">
        <f>A3195</f>
        <v>minus2_90</v>
      </c>
      <c r="K3204" s="72" t="s">
        <v>341</v>
      </c>
      <c r="L3204" s="72" t="s">
        <v>342</v>
      </c>
      <c r="M3204" s="21" t="s">
        <v>162</v>
      </c>
    </row>
    <row r="3205" spans="1:15" x14ac:dyDescent="0.25">
      <c r="A3205" t="s">
        <v>1038</v>
      </c>
      <c r="B3205" t="s">
        <v>333</v>
      </c>
      <c r="C3205">
        <v>25</v>
      </c>
      <c r="D3205" s="194">
        <v>67746.406000000003</v>
      </c>
      <c r="E3205" t="s">
        <v>10</v>
      </c>
      <c r="F3205" s="194">
        <v>1964.9490000000001</v>
      </c>
      <c r="G3205" t="s">
        <v>335</v>
      </c>
      <c r="H3205" s="79">
        <f t="shared" si="443"/>
        <v>2.9004475897953907E-2</v>
      </c>
      <c r="J3205" s="6">
        <v>100000</v>
      </c>
      <c r="K3205" s="119">
        <f>D3198</f>
        <v>5508718.9709999999</v>
      </c>
      <c r="L3205" s="119">
        <f>D3199</f>
        <v>1559412.3970000001</v>
      </c>
      <c r="M3205" s="22">
        <f>(K3205/L3205-1)</f>
        <v>2.5325607142778148</v>
      </c>
    </row>
    <row r="3206" spans="1:15" x14ac:dyDescent="0.25">
      <c r="A3206" t="s">
        <v>1039</v>
      </c>
      <c r="B3206" t="s">
        <v>333</v>
      </c>
      <c r="C3206">
        <v>25</v>
      </c>
      <c r="D3206" s="194">
        <v>5866.8760000000002</v>
      </c>
      <c r="E3206" t="s">
        <v>10</v>
      </c>
      <c r="F3206" s="194">
        <v>199.69200000000001</v>
      </c>
      <c r="G3206" t="s">
        <v>335</v>
      </c>
      <c r="H3206" s="79">
        <f t="shared" si="443"/>
        <v>3.4037194581920602E-2</v>
      </c>
      <c r="J3206" s="6">
        <v>50000</v>
      </c>
      <c r="K3206" s="119">
        <f>D3201</f>
        <v>677531.84499999997</v>
      </c>
      <c r="L3206" s="119">
        <f>D3202</f>
        <v>339265.94099999999</v>
      </c>
      <c r="M3206" s="22">
        <f t="shared" ref="M3206:M3209" si="446">(K3206/L3206-1)</f>
        <v>0.99705235073979903</v>
      </c>
    </row>
    <row r="3207" spans="1:15" x14ac:dyDescent="0.25">
      <c r="A3207" t="s">
        <v>1040</v>
      </c>
      <c r="B3207" t="s">
        <v>333</v>
      </c>
      <c r="C3207">
        <v>25</v>
      </c>
      <c r="D3207" s="194">
        <v>7391.1859999999997</v>
      </c>
      <c r="E3207" t="s">
        <v>10</v>
      </c>
      <c r="F3207" s="194">
        <v>195.47399999999999</v>
      </c>
      <c r="G3207" t="s">
        <v>335</v>
      </c>
      <c r="H3207" s="79">
        <f t="shared" si="443"/>
        <v>2.6446905814574279E-2</v>
      </c>
      <c r="J3207" s="6">
        <v>10000</v>
      </c>
      <c r="K3207" s="119">
        <f>D3204</f>
        <v>93999.808000000005</v>
      </c>
      <c r="L3207" s="119">
        <f>D3205</f>
        <v>67746.406000000003</v>
      </c>
      <c r="M3207" s="22">
        <f t="shared" si="446"/>
        <v>0.38752464595686442</v>
      </c>
    </row>
    <row r="3208" spans="1:15" x14ac:dyDescent="0.25">
      <c r="A3208" t="s">
        <v>1041</v>
      </c>
      <c r="B3208" t="s">
        <v>333</v>
      </c>
      <c r="C3208">
        <v>25</v>
      </c>
      <c r="D3208" s="194">
        <v>3258.9459999999999</v>
      </c>
      <c r="E3208" t="s">
        <v>10</v>
      </c>
      <c r="F3208" s="194">
        <v>168.29</v>
      </c>
      <c r="G3208" t="s">
        <v>335</v>
      </c>
      <c r="H3208" s="79">
        <f t="shared" si="443"/>
        <v>5.163939506822144E-2</v>
      </c>
      <c r="J3208" s="67">
        <v>1000</v>
      </c>
      <c r="K3208" s="119">
        <f>D3207</f>
        <v>7391.1859999999997</v>
      </c>
      <c r="L3208" s="119">
        <f>D3208</f>
        <v>3258.9459999999999</v>
      </c>
      <c r="M3208" s="22">
        <f t="shared" si="446"/>
        <v>1.2679682326739994</v>
      </c>
    </row>
    <row r="3209" spans="1:15" ht="20" thickBot="1" x14ac:dyDescent="0.3">
      <c r="A3209" t="s">
        <v>1042</v>
      </c>
      <c r="B3209" t="s">
        <v>333</v>
      </c>
      <c r="C3209">
        <v>25</v>
      </c>
      <c r="D3209" s="194">
        <v>590.06399999999996</v>
      </c>
      <c r="E3209" t="s">
        <v>10</v>
      </c>
      <c r="F3209" s="194">
        <v>16.32</v>
      </c>
      <c r="G3209" t="s">
        <v>335</v>
      </c>
      <c r="H3209" s="79">
        <f t="shared" si="443"/>
        <v>2.7658016757504272E-2</v>
      </c>
      <c r="J3209" s="68">
        <v>100</v>
      </c>
      <c r="K3209" s="120">
        <f>D3210</f>
        <v>593.65599999999995</v>
      </c>
      <c r="L3209" s="120">
        <f>D3211</f>
        <v>298.36900000000003</v>
      </c>
      <c r="M3209" s="23">
        <f t="shared" si="446"/>
        <v>0.98967050866544404</v>
      </c>
    </row>
    <row r="3210" spans="1:15" x14ac:dyDescent="0.25">
      <c r="A3210" t="s">
        <v>1043</v>
      </c>
      <c r="B3210" t="s">
        <v>333</v>
      </c>
      <c r="C3210">
        <v>25</v>
      </c>
      <c r="D3210" s="194">
        <v>593.65599999999995</v>
      </c>
      <c r="E3210" t="s">
        <v>10</v>
      </c>
      <c r="F3210" s="194">
        <v>10.602</v>
      </c>
      <c r="G3210" t="s">
        <v>335</v>
      </c>
      <c r="H3210" s="79">
        <f t="shared" si="443"/>
        <v>1.7858827334348515E-2</v>
      </c>
    </row>
    <row r="3211" spans="1:15" x14ac:dyDescent="0.25">
      <c r="A3211" t="s">
        <v>1044</v>
      </c>
      <c r="B3211" t="s">
        <v>333</v>
      </c>
      <c r="C3211">
        <v>25</v>
      </c>
      <c r="D3211" s="194">
        <v>298.36900000000003</v>
      </c>
      <c r="E3211" t="s">
        <v>10</v>
      </c>
      <c r="F3211" s="194">
        <v>7.0670000000000002</v>
      </c>
      <c r="G3211" t="s">
        <v>335</v>
      </c>
      <c r="H3211" s="79">
        <f t="shared" si="443"/>
        <v>2.3685436489715751E-2</v>
      </c>
    </row>
    <row r="3212" spans="1:15" x14ac:dyDescent="0.25">
      <c r="A3212"/>
      <c r="B3212"/>
      <c r="C3212"/>
      <c r="D3212" s="194"/>
      <c r="E3212"/>
      <c r="F3212" s="194"/>
      <c r="G3212"/>
      <c r="H3212" s="79" t="e">
        <f t="shared" si="443"/>
        <v>#DIV/0!</v>
      </c>
    </row>
    <row r="3213" spans="1:15" x14ac:dyDescent="0.25">
      <c r="A3213" t="s">
        <v>964</v>
      </c>
      <c r="B3213"/>
      <c r="C3213"/>
      <c r="D3213" s="194"/>
      <c r="E3213"/>
      <c r="F3213" s="194"/>
      <c r="G3213"/>
      <c r="H3213" s="79" t="e">
        <f t="shared" si="443"/>
        <v>#DIV/0!</v>
      </c>
    </row>
    <row r="3214" spans="1:15" ht="20" thickBot="1" x14ac:dyDescent="0.3">
      <c r="A3214" t="s">
        <v>2</v>
      </c>
      <c r="B3214" t="s">
        <v>3</v>
      </c>
      <c r="C3214" t="s">
        <v>4</v>
      </c>
      <c r="D3214" s="194" t="s">
        <v>5</v>
      </c>
      <c r="E3214" t="s">
        <v>6</v>
      </c>
      <c r="F3214" s="194" t="s">
        <v>7</v>
      </c>
      <c r="G3214"/>
      <c r="H3214" s="79" t="e">
        <f t="shared" si="443"/>
        <v>#VALUE!</v>
      </c>
    </row>
    <row r="3215" spans="1:15" x14ac:dyDescent="0.25">
      <c r="A3215" t="s">
        <v>965</v>
      </c>
      <c r="B3215" t="s">
        <v>333</v>
      </c>
      <c r="C3215">
        <v>25</v>
      </c>
      <c r="D3215" s="194">
        <v>12723788.573999999</v>
      </c>
      <c r="E3215" t="s">
        <v>10</v>
      </c>
      <c r="F3215" s="194">
        <v>258117.15599999999</v>
      </c>
      <c r="G3215" t="s">
        <v>335</v>
      </c>
      <c r="H3215" s="79">
        <f t="shared" si="443"/>
        <v>2.0286187128843124E-2</v>
      </c>
      <c r="J3215" s="105" t="str">
        <f>A3213</f>
        <v>sort2</v>
      </c>
      <c r="K3215" s="72" t="s">
        <v>340</v>
      </c>
      <c r="L3215" s="72" t="s">
        <v>341</v>
      </c>
      <c r="M3215" s="17" t="s">
        <v>162</v>
      </c>
      <c r="N3215" s="72" t="s">
        <v>342</v>
      </c>
      <c r="O3215" s="21" t="s">
        <v>162</v>
      </c>
    </row>
    <row r="3216" spans="1:15" x14ac:dyDescent="0.25">
      <c r="A3216" t="s">
        <v>966</v>
      </c>
      <c r="B3216" t="s">
        <v>333</v>
      </c>
      <c r="C3216">
        <v>25</v>
      </c>
      <c r="D3216" s="194">
        <v>13150844.834000001</v>
      </c>
      <c r="E3216" t="s">
        <v>10</v>
      </c>
      <c r="F3216" s="194">
        <v>474305.92800000001</v>
      </c>
      <c r="G3216" t="s">
        <v>335</v>
      </c>
      <c r="H3216" s="79">
        <f t="shared" si="443"/>
        <v>3.6066574732426047E-2</v>
      </c>
      <c r="J3216" s="6">
        <v>100000</v>
      </c>
      <c r="K3216" s="119">
        <f>D3215</f>
        <v>12723788.573999999</v>
      </c>
      <c r="L3216" s="119">
        <f>D3216</f>
        <v>13150844.834000001</v>
      </c>
      <c r="M3216" s="18">
        <f>(K3216/L3216-1)</f>
        <v>-3.2473674915234119E-2</v>
      </c>
      <c r="N3216" s="73">
        <f>D3217</f>
        <v>12410783.014</v>
      </c>
      <c r="O3216" s="22">
        <f>(K3216/N3216-1)</f>
        <v>2.522045221859992E-2</v>
      </c>
    </row>
    <row r="3217" spans="1:15" x14ac:dyDescent="0.25">
      <c r="A3217" t="s">
        <v>967</v>
      </c>
      <c r="B3217" t="s">
        <v>333</v>
      </c>
      <c r="C3217">
        <v>25</v>
      </c>
      <c r="D3217" s="194">
        <v>12410783.014</v>
      </c>
      <c r="E3217" t="s">
        <v>10</v>
      </c>
      <c r="F3217" s="194">
        <v>304891.01699999999</v>
      </c>
      <c r="G3217" t="s">
        <v>335</v>
      </c>
      <c r="H3217" s="79">
        <f t="shared" si="443"/>
        <v>2.4566622158816834E-2</v>
      </c>
      <c r="J3217" s="6">
        <v>50000</v>
      </c>
      <c r="K3217" s="119">
        <f>D3218</f>
        <v>5370418.4620000003</v>
      </c>
      <c r="L3217" s="119">
        <f>D3219</f>
        <v>5493333.7630000003</v>
      </c>
      <c r="M3217" s="18">
        <f t="shared" ref="M3217:M3220" si="447">(K3217/L3217-1)</f>
        <v>-2.237535644163624E-2</v>
      </c>
      <c r="N3217" s="73">
        <f>D3220</f>
        <v>5557611.7489999998</v>
      </c>
      <c r="O3217" s="22">
        <f t="shared" ref="O3217:O3220" si="448">(K3217/N3217-1)</f>
        <v>-3.3682325332222374E-2</v>
      </c>
    </row>
    <row r="3218" spans="1:15" x14ac:dyDescent="0.25">
      <c r="A3218" t="s">
        <v>968</v>
      </c>
      <c r="B3218" t="s">
        <v>333</v>
      </c>
      <c r="C3218">
        <v>25</v>
      </c>
      <c r="D3218" s="194">
        <v>5370418.4620000003</v>
      </c>
      <c r="E3218" t="s">
        <v>10</v>
      </c>
      <c r="F3218" s="194">
        <v>126099.34</v>
      </c>
      <c r="G3218" t="s">
        <v>335</v>
      </c>
      <c r="H3218" s="79">
        <f t="shared" si="443"/>
        <v>2.3480356492190234E-2</v>
      </c>
      <c r="J3218" s="6">
        <v>10000</v>
      </c>
      <c r="K3218" s="119">
        <f>D3221</f>
        <v>843796.74899999995</v>
      </c>
      <c r="L3218" s="119">
        <f>D3222</f>
        <v>893082.17799999996</v>
      </c>
      <c r="M3218" s="18">
        <f t="shared" si="447"/>
        <v>-5.5185771493471703E-2</v>
      </c>
      <c r="N3218" s="73">
        <f>D3223</f>
        <v>876849.06900000002</v>
      </c>
      <c r="O3218" s="22">
        <f t="shared" si="448"/>
        <v>-3.769442332611983E-2</v>
      </c>
    </row>
    <row r="3219" spans="1:15" x14ac:dyDescent="0.25">
      <c r="A3219" t="s">
        <v>969</v>
      </c>
      <c r="B3219" t="s">
        <v>333</v>
      </c>
      <c r="C3219">
        <v>25</v>
      </c>
      <c r="D3219" s="194">
        <v>5493333.7630000003</v>
      </c>
      <c r="E3219" t="s">
        <v>10</v>
      </c>
      <c r="F3219" s="194">
        <v>137120.69200000001</v>
      </c>
      <c r="G3219" t="s">
        <v>335</v>
      </c>
      <c r="H3219" s="79">
        <f t="shared" si="443"/>
        <v>2.4961289067044805E-2</v>
      </c>
      <c r="J3219" s="67">
        <v>1000</v>
      </c>
      <c r="K3219" s="119">
        <f>D3224</f>
        <v>33074.964999999997</v>
      </c>
      <c r="L3219" s="119">
        <f>D3225</f>
        <v>36415.771999999997</v>
      </c>
      <c r="M3219" s="18">
        <f t="shared" si="447"/>
        <v>-9.1740661161872405E-2</v>
      </c>
      <c r="N3219" s="73">
        <f>D3226</f>
        <v>33553.152999999998</v>
      </c>
      <c r="O3219" s="22">
        <f t="shared" si="448"/>
        <v>-1.4251656170733096E-2</v>
      </c>
    </row>
    <row r="3220" spans="1:15" ht="20" thickBot="1" x14ac:dyDescent="0.3">
      <c r="A3220" t="s">
        <v>970</v>
      </c>
      <c r="B3220" t="s">
        <v>333</v>
      </c>
      <c r="C3220">
        <v>25</v>
      </c>
      <c r="D3220" s="194">
        <v>5557611.7489999998</v>
      </c>
      <c r="E3220" t="s">
        <v>10</v>
      </c>
      <c r="F3220" s="194">
        <v>138287.245</v>
      </c>
      <c r="G3220" t="s">
        <v>335</v>
      </c>
      <c r="H3220" s="79">
        <f t="shared" si="443"/>
        <v>2.4882494719945577E-2</v>
      </c>
      <c r="J3220" s="68">
        <v>100</v>
      </c>
      <c r="K3220" s="120">
        <f>D3227</f>
        <v>2093.52</v>
      </c>
      <c r="L3220" s="120">
        <f>D3228</f>
        <v>2214.5749999999998</v>
      </c>
      <c r="M3220" s="19">
        <f t="shared" si="447"/>
        <v>-5.4662858562026462E-2</v>
      </c>
      <c r="N3220" s="74">
        <f>D3229</f>
        <v>2110.0540000000001</v>
      </c>
      <c r="O3220" s="23">
        <f t="shared" si="448"/>
        <v>-7.8358184198129566E-3</v>
      </c>
    </row>
    <row r="3221" spans="1:15" ht="20" thickBot="1" x14ac:dyDescent="0.3">
      <c r="A3221" t="s">
        <v>971</v>
      </c>
      <c r="B3221" t="s">
        <v>333</v>
      </c>
      <c r="C3221">
        <v>25</v>
      </c>
      <c r="D3221" s="194">
        <v>843796.74899999995</v>
      </c>
      <c r="E3221" t="s">
        <v>10</v>
      </c>
      <c r="F3221" s="194">
        <v>11974.517</v>
      </c>
      <c r="G3221" t="s">
        <v>335</v>
      </c>
      <c r="H3221" s="79">
        <f t="shared" si="443"/>
        <v>1.4191233865490991E-2</v>
      </c>
    </row>
    <row r="3222" spans="1:15" x14ac:dyDescent="0.25">
      <c r="A3222" t="s">
        <v>972</v>
      </c>
      <c r="B3222" t="s">
        <v>333</v>
      </c>
      <c r="C3222">
        <v>25</v>
      </c>
      <c r="D3222" s="194">
        <v>893082.17799999996</v>
      </c>
      <c r="E3222" t="s">
        <v>10</v>
      </c>
      <c r="F3222" s="194">
        <v>15359.742</v>
      </c>
      <c r="G3222" t="s">
        <v>335</v>
      </c>
      <c r="H3222" s="79">
        <f t="shared" si="443"/>
        <v>1.7198576321830937E-2</v>
      </c>
      <c r="J3222" s="105" t="str">
        <f>A3213</f>
        <v>sort2</v>
      </c>
      <c r="K3222" s="72" t="s">
        <v>341</v>
      </c>
      <c r="L3222" s="72" t="s">
        <v>342</v>
      </c>
      <c r="M3222" s="21" t="s">
        <v>162</v>
      </c>
    </row>
    <row r="3223" spans="1:15" x14ac:dyDescent="0.25">
      <c r="A3223" t="s">
        <v>973</v>
      </c>
      <c r="B3223" t="s">
        <v>333</v>
      </c>
      <c r="C3223">
        <v>25</v>
      </c>
      <c r="D3223" s="194">
        <v>876849.06900000002</v>
      </c>
      <c r="E3223" t="s">
        <v>10</v>
      </c>
      <c r="F3223" s="194">
        <v>14008.677</v>
      </c>
      <c r="G3223" t="s">
        <v>335</v>
      </c>
      <c r="H3223" s="79">
        <f t="shared" si="443"/>
        <v>1.5976155412899228E-2</v>
      </c>
      <c r="J3223" s="6">
        <v>100000</v>
      </c>
      <c r="K3223" s="119">
        <f>D3216</f>
        <v>13150844.834000001</v>
      </c>
      <c r="L3223" s="119">
        <f>D3217</f>
        <v>12410783.014</v>
      </c>
      <c r="M3223" s="22">
        <f>(K3223/L3223-1)</f>
        <v>5.9630550237255164E-2</v>
      </c>
    </row>
    <row r="3224" spans="1:15" x14ac:dyDescent="0.25">
      <c r="A3224" t="s">
        <v>974</v>
      </c>
      <c r="B3224" t="s">
        <v>333</v>
      </c>
      <c r="C3224">
        <v>25</v>
      </c>
      <c r="D3224" s="194">
        <v>33074.964999999997</v>
      </c>
      <c r="E3224" t="s">
        <v>10</v>
      </c>
      <c r="F3224" s="194">
        <v>799.29399999999998</v>
      </c>
      <c r="G3224" t="s">
        <v>335</v>
      </c>
      <c r="H3224" s="79">
        <f t="shared" si="443"/>
        <v>2.4166132904449033E-2</v>
      </c>
      <c r="J3224" s="6">
        <v>50000</v>
      </c>
      <c r="K3224" s="119">
        <f>D3219</f>
        <v>5493333.7630000003</v>
      </c>
      <c r="L3224" s="119">
        <f>D3220</f>
        <v>5557611.7489999998</v>
      </c>
      <c r="M3224" s="22">
        <f t="shared" ref="M3224:M3227" si="449">(K3224/L3224-1)</f>
        <v>-1.1565756821995565E-2</v>
      </c>
    </row>
    <row r="3225" spans="1:15" x14ac:dyDescent="0.25">
      <c r="A3225" t="s">
        <v>975</v>
      </c>
      <c r="B3225" t="s">
        <v>333</v>
      </c>
      <c r="C3225">
        <v>25</v>
      </c>
      <c r="D3225" s="194">
        <v>36415.771999999997</v>
      </c>
      <c r="E3225" t="s">
        <v>10</v>
      </c>
      <c r="F3225" s="194">
        <v>669.91499999999996</v>
      </c>
      <c r="G3225" t="s">
        <v>335</v>
      </c>
      <c r="H3225" s="79">
        <f t="shared" si="443"/>
        <v>1.8396287191165411E-2</v>
      </c>
      <c r="J3225" s="6">
        <v>10000</v>
      </c>
      <c r="K3225" s="119">
        <f>D3222</f>
        <v>893082.17799999996</v>
      </c>
      <c r="L3225" s="119">
        <f>D3223</f>
        <v>876849.06900000002</v>
      </c>
      <c r="M3225" s="22">
        <f t="shared" si="449"/>
        <v>1.8513002492564601E-2</v>
      </c>
    </row>
    <row r="3226" spans="1:15" x14ac:dyDescent="0.25">
      <c r="A3226" t="s">
        <v>976</v>
      </c>
      <c r="B3226" t="s">
        <v>333</v>
      </c>
      <c r="C3226">
        <v>25</v>
      </c>
      <c r="D3226" s="194">
        <v>33553.152999999998</v>
      </c>
      <c r="E3226" t="s">
        <v>10</v>
      </c>
      <c r="F3226" s="194">
        <v>769.48500000000001</v>
      </c>
      <c r="G3226" t="s">
        <v>335</v>
      </c>
      <c r="H3226" s="79">
        <f t="shared" si="443"/>
        <v>2.2933314195539241E-2</v>
      </c>
      <c r="J3226" s="67">
        <v>1000</v>
      </c>
      <c r="K3226" s="119">
        <f>D3225</f>
        <v>36415.771999999997</v>
      </c>
      <c r="L3226" s="119">
        <f>D3226</f>
        <v>33553.152999999998</v>
      </c>
      <c r="M3226" s="22">
        <f t="shared" si="449"/>
        <v>8.5315946313599733E-2</v>
      </c>
    </row>
    <row r="3227" spans="1:15" ht="20" thickBot="1" x14ac:dyDescent="0.3">
      <c r="A3227" t="s">
        <v>977</v>
      </c>
      <c r="B3227" t="s">
        <v>333</v>
      </c>
      <c r="C3227">
        <v>25</v>
      </c>
      <c r="D3227" s="194">
        <v>2093.52</v>
      </c>
      <c r="E3227" t="s">
        <v>10</v>
      </c>
      <c r="F3227" s="194">
        <v>66.506</v>
      </c>
      <c r="G3227" t="s">
        <v>335</v>
      </c>
      <c r="H3227" s="79">
        <f t="shared" si="443"/>
        <v>3.1767549390500208E-2</v>
      </c>
      <c r="J3227" s="68">
        <v>100</v>
      </c>
      <c r="K3227" s="120">
        <f>D3228</f>
        <v>2214.5749999999998</v>
      </c>
      <c r="L3227" s="120">
        <f>D3229</f>
        <v>2110.0540000000001</v>
      </c>
      <c r="M3227" s="23">
        <f t="shared" si="449"/>
        <v>4.9534751243333064E-2</v>
      </c>
    </row>
    <row r="3228" spans="1:15" x14ac:dyDescent="0.25">
      <c r="A3228" t="s">
        <v>978</v>
      </c>
      <c r="B3228" t="s">
        <v>333</v>
      </c>
      <c r="C3228">
        <v>25</v>
      </c>
      <c r="D3228" s="194">
        <v>2214.5749999999998</v>
      </c>
      <c r="E3228" t="s">
        <v>10</v>
      </c>
      <c r="F3228" s="194">
        <v>62.128999999999998</v>
      </c>
      <c r="G3228" t="s">
        <v>335</v>
      </c>
      <c r="H3228" s="79">
        <f t="shared" si="443"/>
        <v>2.8054592867705994E-2</v>
      </c>
    </row>
    <row r="3229" spans="1:15" x14ac:dyDescent="0.25">
      <c r="A3229" t="s">
        <v>979</v>
      </c>
      <c r="B3229" t="s">
        <v>333</v>
      </c>
      <c r="C3229">
        <v>25</v>
      </c>
      <c r="D3229" s="194">
        <v>2110.0540000000001</v>
      </c>
      <c r="E3229" t="s">
        <v>10</v>
      </c>
      <c r="F3229" s="194">
        <v>85.876000000000005</v>
      </c>
      <c r="G3229" t="s">
        <v>335</v>
      </c>
      <c r="H3229" s="79">
        <f t="shared" si="443"/>
        <v>4.0698484493761775E-2</v>
      </c>
    </row>
    <row r="3230" spans="1:15" x14ac:dyDescent="0.25">
      <c r="A3230"/>
      <c r="B3230"/>
      <c r="C3230"/>
      <c r="D3230" s="194"/>
      <c r="E3230"/>
      <c r="F3230" s="194"/>
      <c r="G3230"/>
      <c r="H3230" s="79" t="e">
        <f t="shared" si="443"/>
        <v>#DIV/0!</v>
      </c>
    </row>
    <row r="3231" spans="1:15" x14ac:dyDescent="0.25">
      <c r="A3231" t="s">
        <v>1224</v>
      </c>
      <c r="B3231"/>
      <c r="C3231"/>
      <c r="D3231" s="194"/>
      <c r="E3231"/>
      <c r="F3231" s="194"/>
      <c r="G3231"/>
      <c r="H3231" s="79" t="e">
        <f t="shared" si="443"/>
        <v>#DIV/0!</v>
      </c>
    </row>
    <row r="3232" spans="1:15" ht="20" thickBot="1" x14ac:dyDescent="0.3">
      <c r="A3232" t="s">
        <v>2</v>
      </c>
      <c r="B3232" t="s">
        <v>3</v>
      </c>
      <c r="C3232" t="s">
        <v>4</v>
      </c>
      <c r="D3232" s="194" t="s">
        <v>5</v>
      </c>
      <c r="E3232" t="s">
        <v>6</v>
      </c>
      <c r="F3232" s="194" t="s">
        <v>7</v>
      </c>
      <c r="G3232"/>
      <c r="H3232" s="79" t="e">
        <f t="shared" si="443"/>
        <v>#VALUE!</v>
      </c>
    </row>
    <row r="3233" spans="1:17" x14ac:dyDescent="0.25">
      <c r="A3233" t="s">
        <v>1107</v>
      </c>
      <c r="B3233" t="s">
        <v>333</v>
      </c>
      <c r="C3233">
        <v>25</v>
      </c>
      <c r="D3233" s="194">
        <v>19504357.647999998</v>
      </c>
      <c r="E3233" t="s">
        <v>10</v>
      </c>
      <c r="F3233" s="194">
        <v>666194.03500000003</v>
      </c>
      <c r="G3233" t="s">
        <v>335</v>
      </c>
      <c r="H3233" s="79">
        <f t="shared" si="443"/>
        <v>3.4156163818515314E-2</v>
      </c>
      <c r="J3233" s="106" t="str">
        <f>A3231</f>
        <v>crazy2</v>
      </c>
      <c r="K3233" s="72" t="s">
        <v>344</v>
      </c>
      <c r="L3233" s="72" t="s">
        <v>341</v>
      </c>
      <c r="M3233" s="17" t="s">
        <v>162</v>
      </c>
      <c r="N3233" s="72" t="s">
        <v>343</v>
      </c>
      <c r="O3233" s="17" t="s">
        <v>162</v>
      </c>
      <c r="P3233" s="72" t="s">
        <v>342</v>
      </c>
      <c r="Q3233" s="21" t="s">
        <v>162</v>
      </c>
    </row>
    <row r="3234" spans="1:17" x14ac:dyDescent="0.25">
      <c r="A3234" t="s">
        <v>1108</v>
      </c>
      <c r="B3234" t="s">
        <v>333</v>
      </c>
      <c r="C3234">
        <v>25</v>
      </c>
      <c r="D3234" s="194">
        <v>20167925.723999999</v>
      </c>
      <c r="E3234" t="s">
        <v>10</v>
      </c>
      <c r="F3234" s="194">
        <v>754590.53599999996</v>
      </c>
      <c r="G3234" t="s">
        <v>335</v>
      </c>
      <c r="H3234" s="79">
        <f t="shared" si="443"/>
        <v>3.7415376589870666E-2</v>
      </c>
      <c r="J3234" s="6">
        <v>100000</v>
      </c>
      <c r="K3234" s="119">
        <f>D3233</f>
        <v>19504357.647999998</v>
      </c>
      <c r="L3234" s="119">
        <f>D3234</f>
        <v>20167925.723999999</v>
      </c>
      <c r="M3234" s="18">
        <f>(K3234/L3234-1)</f>
        <v>-3.2902147949223637E-2</v>
      </c>
      <c r="N3234" s="73">
        <f>D3235</f>
        <v>21670666.776999999</v>
      </c>
      <c r="O3234" s="18">
        <f>(K3234/N3234-1)</f>
        <v>-9.9965042667685577E-2</v>
      </c>
      <c r="P3234" s="73">
        <f>D3236</f>
        <v>21739590.206999999</v>
      </c>
      <c r="Q3234" s="22">
        <f>(K3234/P3234-1)</f>
        <v>-0.10281852315138262</v>
      </c>
    </row>
    <row r="3235" spans="1:17" x14ac:dyDescent="0.25">
      <c r="A3235" t="s">
        <v>1109</v>
      </c>
      <c r="B3235" t="s">
        <v>333</v>
      </c>
      <c r="C3235">
        <v>25</v>
      </c>
      <c r="D3235" s="194">
        <v>21670666.776999999</v>
      </c>
      <c r="E3235" t="s">
        <v>10</v>
      </c>
      <c r="F3235" s="194">
        <v>779239.652</v>
      </c>
      <c r="G3235" t="s">
        <v>335</v>
      </c>
      <c r="H3235" s="79">
        <f t="shared" si="443"/>
        <v>3.595826838272647E-2</v>
      </c>
      <c r="J3235" s="6">
        <v>50000</v>
      </c>
      <c r="K3235" s="119">
        <f>D3237</f>
        <v>7903729.4950000001</v>
      </c>
      <c r="L3235" s="119">
        <f>D3238</f>
        <v>7927268.4450000003</v>
      </c>
      <c r="M3235" s="18">
        <f t="shared" ref="M3235:M3238" si="450">(K3235/L3235-1)</f>
        <v>-2.9693645627513199E-3</v>
      </c>
      <c r="N3235" s="73">
        <f>D3239</f>
        <v>8179527.523</v>
      </c>
      <c r="O3235" s="18">
        <f t="shared" ref="O3235:O3238" si="451">(K3235/N3235-1)</f>
        <v>-3.3718087899879734E-2</v>
      </c>
      <c r="P3235" s="73">
        <f>D3240</f>
        <v>7953527.1540000001</v>
      </c>
      <c r="Q3235" s="22">
        <f t="shared" ref="Q3235:Q3238" si="452">(K3235/P3235-1)</f>
        <v>-6.2610786429458942E-3</v>
      </c>
    </row>
    <row r="3236" spans="1:17" x14ac:dyDescent="0.25">
      <c r="A3236" t="s">
        <v>1110</v>
      </c>
      <c r="B3236" t="s">
        <v>333</v>
      </c>
      <c r="C3236">
        <v>25</v>
      </c>
      <c r="D3236" s="194">
        <v>21739590.206999999</v>
      </c>
      <c r="E3236" t="s">
        <v>10</v>
      </c>
      <c r="F3236" s="194">
        <v>852874.03200000001</v>
      </c>
      <c r="G3236" t="s">
        <v>335</v>
      </c>
      <c r="H3236" s="79">
        <f t="shared" si="443"/>
        <v>3.9231375747155552E-2</v>
      </c>
      <c r="J3236" s="6">
        <v>10000</v>
      </c>
      <c r="K3236" s="119">
        <f>D3241</f>
        <v>1143492.737</v>
      </c>
      <c r="L3236" s="119">
        <f>D3242</f>
        <v>1227228.2709999999</v>
      </c>
      <c r="M3236" s="18">
        <f t="shared" si="450"/>
        <v>-6.823142521950587E-2</v>
      </c>
      <c r="N3236" s="73">
        <f>D3243</f>
        <v>1239189.7439999999</v>
      </c>
      <c r="O3236" s="18">
        <f t="shared" si="451"/>
        <v>-7.7225467256610836E-2</v>
      </c>
      <c r="P3236" s="73">
        <f>D3244</f>
        <v>1163490.175</v>
      </c>
      <c r="Q3236" s="22">
        <f t="shared" si="452"/>
        <v>-1.7187457556313346E-2</v>
      </c>
    </row>
    <row r="3237" spans="1:17" x14ac:dyDescent="0.25">
      <c r="A3237" t="s">
        <v>1111</v>
      </c>
      <c r="B3237" t="s">
        <v>333</v>
      </c>
      <c r="C3237">
        <v>25</v>
      </c>
      <c r="D3237" s="194">
        <v>7903729.4950000001</v>
      </c>
      <c r="E3237" t="s">
        <v>10</v>
      </c>
      <c r="F3237" s="194">
        <v>204487.94399999999</v>
      </c>
      <c r="G3237" t="s">
        <v>335</v>
      </c>
      <c r="H3237" s="79">
        <f t="shared" si="443"/>
        <v>2.5872335854783702E-2</v>
      </c>
      <c r="J3237" s="67">
        <v>1000</v>
      </c>
      <c r="K3237" s="119">
        <f>D3245</f>
        <v>55019.857000000004</v>
      </c>
      <c r="L3237" s="119">
        <f>D3246</f>
        <v>63099.016000000003</v>
      </c>
      <c r="M3237" s="18">
        <f t="shared" si="450"/>
        <v>-0.12803938178687291</v>
      </c>
      <c r="N3237" s="73">
        <f>D3247</f>
        <v>60589.218999999997</v>
      </c>
      <c r="O3237" s="18">
        <f t="shared" si="451"/>
        <v>-9.1920016331618282E-2</v>
      </c>
      <c r="P3237" s="73">
        <f>D3248</f>
        <v>57807.538999999997</v>
      </c>
      <c r="Q3237" s="22">
        <f t="shared" si="452"/>
        <v>-4.822350247430518E-2</v>
      </c>
    </row>
    <row r="3238" spans="1:17" ht="20" thickBot="1" x14ac:dyDescent="0.3">
      <c r="A3238" t="s">
        <v>1112</v>
      </c>
      <c r="B3238" t="s">
        <v>333</v>
      </c>
      <c r="C3238">
        <v>25</v>
      </c>
      <c r="D3238" s="194">
        <v>7927268.4450000003</v>
      </c>
      <c r="E3238" t="s">
        <v>10</v>
      </c>
      <c r="F3238" s="194">
        <v>184674.073</v>
      </c>
      <c r="G3238" t="s">
        <v>335</v>
      </c>
      <c r="H3238" s="79">
        <f t="shared" si="443"/>
        <v>2.3296053903218109E-2</v>
      </c>
      <c r="J3238" s="68">
        <v>100</v>
      </c>
      <c r="K3238" s="120">
        <f>D3249</f>
        <v>4291.6189999999997</v>
      </c>
      <c r="L3238" s="120">
        <f>D3250</f>
        <v>4837.6940000000004</v>
      </c>
      <c r="M3238" s="19">
        <f t="shared" si="450"/>
        <v>-0.11287919409536873</v>
      </c>
      <c r="N3238" s="74">
        <f>D3251</f>
        <v>4819.54</v>
      </c>
      <c r="O3238" s="19">
        <f t="shared" si="451"/>
        <v>-0.10953763222216228</v>
      </c>
      <c r="P3238" s="74">
        <f>D3252</f>
        <v>4868.1850000000004</v>
      </c>
      <c r="Q3238" s="23">
        <f t="shared" si="452"/>
        <v>-0.11843551549499465</v>
      </c>
    </row>
    <row r="3239" spans="1:17" ht="20" thickBot="1" x14ac:dyDescent="0.3">
      <c r="A3239" t="s">
        <v>1113</v>
      </c>
      <c r="B3239" t="s">
        <v>333</v>
      </c>
      <c r="C3239">
        <v>25</v>
      </c>
      <c r="D3239" s="194">
        <v>8179527.523</v>
      </c>
      <c r="E3239" t="s">
        <v>10</v>
      </c>
      <c r="F3239" s="194">
        <v>221125.12899999999</v>
      </c>
      <c r="G3239" t="s">
        <v>335</v>
      </c>
      <c r="H3239" s="79">
        <f t="shared" si="443"/>
        <v>2.703397334115187E-2</v>
      </c>
    </row>
    <row r="3240" spans="1:17" x14ac:dyDescent="0.25">
      <c r="A3240" t="s">
        <v>1114</v>
      </c>
      <c r="B3240" t="s">
        <v>333</v>
      </c>
      <c r="C3240">
        <v>25</v>
      </c>
      <c r="D3240" s="194">
        <v>7953527.1540000001</v>
      </c>
      <c r="E3240" t="s">
        <v>10</v>
      </c>
      <c r="F3240" s="194">
        <v>247450.609</v>
      </c>
      <c r="G3240" t="s">
        <v>335</v>
      </c>
      <c r="H3240" s="79">
        <f t="shared" si="443"/>
        <v>3.1112059367968809E-2</v>
      </c>
      <c r="J3240" s="106" t="str">
        <f>A3231</f>
        <v>crazy2</v>
      </c>
      <c r="K3240" s="72" t="s">
        <v>341</v>
      </c>
      <c r="L3240" s="72" t="s">
        <v>342</v>
      </c>
      <c r="M3240" s="17" t="s">
        <v>162</v>
      </c>
      <c r="N3240" s="72" t="s">
        <v>343</v>
      </c>
      <c r="O3240" s="21" t="s">
        <v>162</v>
      </c>
    </row>
    <row r="3241" spans="1:17" x14ac:dyDescent="0.25">
      <c r="A3241" t="s">
        <v>1115</v>
      </c>
      <c r="B3241" t="s">
        <v>333</v>
      </c>
      <c r="C3241">
        <v>25</v>
      </c>
      <c r="D3241" s="194">
        <v>1143492.737</v>
      </c>
      <c r="E3241" t="s">
        <v>10</v>
      </c>
      <c r="F3241" s="194">
        <v>22982.856</v>
      </c>
      <c r="G3241" t="s">
        <v>335</v>
      </c>
      <c r="H3241" s="79">
        <f t="shared" si="443"/>
        <v>2.0098821143627429E-2</v>
      </c>
      <c r="J3241" s="6">
        <v>100000</v>
      </c>
      <c r="K3241" s="119">
        <f>D3234</f>
        <v>20167925.723999999</v>
      </c>
      <c r="L3241" s="119">
        <f>D3236</f>
        <v>21739590.206999999</v>
      </c>
      <c r="M3241" s="18">
        <f>(K3241/L3241-1)</f>
        <v>-7.2295037212519953E-2</v>
      </c>
      <c r="N3241" s="73">
        <f>D3235</f>
        <v>21670666.776999999</v>
      </c>
      <c r="O3241" s="22">
        <f>(N3241/L3241-1)</f>
        <v>-3.1704107273285986E-3</v>
      </c>
    </row>
    <row r="3242" spans="1:17" x14ac:dyDescent="0.25">
      <c r="A3242" t="s">
        <v>1116</v>
      </c>
      <c r="B3242" t="s">
        <v>333</v>
      </c>
      <c r="C3242">
        <v>25</v>
      </c>
      <c r="D3242" s="194">
        <v>1227228.2709999999</v>
      </c>
      <c r="E3242" t="s">
        <v>10</v>
      </c>
      <c r="F3242" s="194">
        <v>23530.743999999999</v>
      </c>
      <c r="G3242" t="s">
        <v>335</v>
      </c>
      <c r="H3242" s="79">
        <f t="shared" si="443"/>
        <v>1.9173893362826547E-2</v>
      </c>
      <c r="J3242" s="6">
        <v>50000</v>
      </c>
      <c r="K3242" s="119">
        <f>D3238</f>
        <v>7927268.4450000003</v>
      </c>
      <c r="L3242" s="119">
        <f>D3240</f>
        <v>7953527.1540000001</v>
      </c>
      <c r="M3242" s="18">
        <f t="shared" ref="M3242:M3245" si="453">(K3242/L3242-1)</f>
        <v>-3.3015174892303545E-3</v>
      </c>
      <c r="N3242" s="73">
        <f>D3239</f>
        <v>8179527.523</v>
      </c>
      <c r="O3242" s="22">
        <f t="shared" ref="O3242:O3245" si="454">(N3242/L3242-1)</f>
        <v>2.8415112518518137E-2</v>
      </c>
    </row>
    <row r="3243" spans="1:17" x14ac:dyDescent="0.25">
      <c r="A3243" t="s">
        <v>1117</v>
      </c>
      <c r="B3243" t="s">
        <v>333</v>
      </c>
      <c r="C3243">
        <v>25</v>
      </c>
      <c r="D3243" s="194">
        <v>1239189.7439999999</v>
      </c>
      <c r="E3243" t="s">
        <v>10</v>
      </c>
      <c r="F3243" s="194">
        <v>24717.249</v>
      </c>
      <c r="G3243" t="s">
        <v>335</v>
      </c>
      <c r="H3243" s="79">
        <f t="shared" si="443"/>
        <v>1.994629887769633E-2</v>
      </c>
      <c r="J3243" s="6">
        <v>10000</v>
      </c>
      <c r="K3243" s="119">
        <f>D3242</f>
        <v>1227228.2709999999</v>
      </c>
      <c r="L3243" s="119">
        <f>D3244</f>
        <v>1163490.175</v>
      </c>
      <c r="M3243" s="18">
        <f t="shared" si="453"/>
        <v>5.4781808535684373E-2</v>
      </c>
      <c r="N3243" s="73">
        <f>D3243</f>
        <v>1239189.7439999999</v>
      </c>
      <c r="O3243" s="22">
        <f t="shared" si="454"/>
        <v>6.5062490966028008E-2</v>
      </c>
    </row>
    <row r="3244" spans="1:17" x14ac:dyDescent="0.25">
      <c r="A3244" t="s">
        <v>1118</v>
      </c>
      <c r="B3244" t="s">
        <v>333</v>
      </c>
      <c r="C3244">
        <v>25</v>
      </c>
      <c r="D3244" s="194">
        <v>1163490.175</v>
      </c>
      <c r="E3244" t="s">
        <v>10</v>
      </c>
      <c r="F3244" s="194">
        <v>24907.06</v>
      </c>
      <c r="G3244" t="s">
        <v>335</v>
      </c>
      <c r="H3244" s="79">
        <f t="shared" si="443"/>
        <v>2.1407194091690548E-2</v>
      </c>
      <c r="J3244" s="67">
        <v>1000</v>
      </c>
      <c r="K3244" s="119">
        <f>D3246</f>
        <v>63099.016000000003</v>
      </c>
      <c r="L3244" s="119">
        <f>D3248</f>
        <v>57807.538999999997</v>
      </c>
      <c r="M3244" s="18">
        <f t="shared" si="453"/>
        <v>9.1536105697217263E-2</v>
      </c>
      <c r="N3244" s="73">
        <f>D3247</f>
        <v>60589.218999999997</v>
      </c>
      <c r="O3244" s="22">
        <f t="shared" si="454"/>
        <v>4.8119675186310884E-2</v>
      </c>
    </row>
    <row r="3245" spans="1:17" ht="20" thickBot="1" x14ac:dyDescent="0.3">
      <c r="A3245" t="s">
        <v>1119</v>
      </c>
      <c r="B3245" t="s">
        <v>333</v>
      </c>
      <c r="C3245">
        <v>25</v>
      </c>
      <c r="D3245" s="194">
        <v>55019.857000000004</v>
      </c>
      <c r="E3245" t="s">
        <v>10</v>
      </c>
      <c r="F3245" s="194">
        <v>1414.3330000000001</v>
      </c>
      <c r="G3245" t="s">
        <v>335</v>
      </c>
      <c r="H3245" s="79">
        <f t="shared" si="443"/>
        <v>2.5705864702629089E-2</v>
      </c>
      <c r="J3245" s="68">
        <v>100</v>
      </c>
      <c r="K3245" s="120">
        <f>D3250</f>
        <v>4837.6940000000004</v>
      </c>
      <c r="L3245" s="120">
        <f>D3252</f>
        <v>4868.1850000000004</v>
      </c>
      <c r="M3245" s="19">
        <f t="shared" si="453"/>
        <v>-6.2633199025919906E-3</v>
      </c>
      <c r="N3245" s="74">
        <f>D3251</f>
        <v>4819.54</v>
      </c>
      <c r="O3245" s="23">
        <f t="shared" si="454"/>
        <v>-9.9924304437897238E-3</v>
      </c>
    </row>
    <row r="3246" spans="1:17" x14ac:dyDescent="0.25">
      <c r="A3246" t="s">
        <v>1120</v>
      </c>
      <c r="B3246" t="s">
        <v>333</v>
      </c>
      <c r="C3246">
        <v>25</v>
      </c>
      <c r="D3246" s="194">
        <v>63099.016000000003</v>
      </c>
      <c r="E3246" t="s">
        <v>10</v>
      </c>
      <c r="F3246" s="194">
        <v>1313.373</v>
      </c>
      <c r="G3246" t="s">
        <v>335</v>
      </c>
      <c r="H3246" s="79">
        <f t="shared" si="443"/>
        <v>2.0814476726546734E-2</v>
      </c>
    </row>
    <row r="3247" spans="1:17" x14ac:dyDescent="0.25">
      <c r="A3247" t="s">
        <v>1121</v>
      </c>
      <c r="B3247" t="s">
        <v>333</v>
      </c>
      <c r="C3247">
        <v>25</v>
      </c>
      <c r="D3247" s="194">
        <v>60589.218999999997</v>
      </c>
      <c r="E3247" t="s">
        <v>10</v>
      </c>
      <c r="F3247" s="194">
        <v>1875.9349999999999</v>
      </c>
      <c r="G3247" t="s">
        <v>335</v>
      </c>
      <c r="H3247" s="79">
        <f t="shared" si="443"/>
        <v>3.0961531291565255E-2</v>
      </c>
    </row>
    <row r="3248" spans="1:17" x14ac:dyDescent="0.25">
      <c r="A3248" t="s">
        <v>1122</v>
      </c>
      <c r="B3248" t="s">
        <v>333</v>
      </c>
      <c r="C3248">
        <v>25</v>
      </c>
      <c r="D3248" s="194">
        <v>57807.538999999997</v>
      </c>
      <c r="E3248" t="s">
        <v>10</v>
      </c>
      <c r="F3248" s="194">
        <v>940.39</v>
      </c>
      <c r="G3248" t="s">
        <v>335</v>
      </c>
      <c r="H3248" s="79">
        <f t="shared" si="443"/>
        <v>1.626760135905457E-2</v>
      </c>
    </row>
    <row r="3249" spans="1:15" x14ac:dyDescent="0.25">
      <c r="A3249" t="s">
        <v>1123</v>
      </c>
      <c r="B3249" t="s">
        <v>333</v>
      </c>
      <c r="C3249">
        <v>25</v>
      </c>
      <c r="D3249" s="194">
        <v>4291.6189999999997</v>
      </c>
      <c r="E3249" t="s">
        <v>10</v>
      </c>
      <c r="F3249" s="194">
        <v>151.68199999999999</v>
      </c>
      <c r="G3249" t="s">
        <v>335</v>
      </c>
      <c r="H3249" s="79">
        <f t="shared" si="443"/>
        <v>3.5343771196837369E-2</v>
      </c>
    </row>
    <row r="3250" spans="1:15" x14ac:dyDescent="0.25">
      <c r="A3250" t="s">
        <v>1124</v>
      </c>
      <c r="B3250" t="s">
        <v>333</v>
      </c>
      <c r="C3250">
        <v>25</v>
      </c>
      <c r="D3250" s="194">
        <v>4837.6940000000004</v>
      </c>
      <c r="E3250" t="s">
        <v>10</v>
      </c>
      <c r="F3250" s="194">
        <v>123.78100000000001</v>
      </c>
      <c r="G3250" t="s">
        <v>335</v>
      </c>
      <c r="H3250" s="79">
        <f t="shared" si="443"/>
        <v>2.5586777501842819E-2</v>
      </c>
    </row>
    <row r="3251" spans="1:15" x14ac:dyDescent="0.25">
      <c r="A3251" t="s">
        <v>1125</v>
      </c>
      <c r="B3251" t="s">
        <v>333</v>
      </c>
      <c r="C3251">
        <v>25</v>
      </c>
      <c r="D3251" s="194">
        <v>4819.54</v>
      </c>
      <c r="E3251" t="s">
        <v>10</v>
      </c>
      <c r="F3251" s="194">
        <v>142.44800000000001</v>
      </c>
      <c r="G3251" t="s">
        <v>335</v>
      </c>
      <c r="H3251" s="79">
        <f t="shared" si="443"/>
        <v>2.9556347701232898E-2</v>
      </c>
    </row>
    <row r="3252" spans="1:15" x14ac:dyDescent="0.25">
      <c r="A3252" t="s">
        <v>1126</v>
      </c>
      <c r="B3252" t="s">
        <v>333</v>
      </c>
      <c r="C3252">
        <v>25</v>
      </c>
      <c r="D3252" s="194">
        <v>4868.1850000000004</v>
      </c>
      <c r="E3252" t="s">
        <v>10</v>
      </c>
      <c r="F3252" s="194">
        <v>160.447</v>
      </c>
      <c r="G3252" t="s">
        <v>335</v>
      </c>
      <c r="H3252" s="79">
        <f t="shared" si="443"/>
        <v>3.2958279112235873E-2</v>
      </c>
    </row>
    <row r="3253" spans="1:15" x14ac:dyDescent="0.25">
      <c r="A3253"/>
      <c r="B3253"/>
      <c r="C3253"/>
      <c r="D3253" s="194"/>
      <c r="E3253"/>
      <c r="F3253" s="194"/>
      <c r="G3253"/>
      <c r="H3253" s="79" t="e">
        <f t="shared" si="443"/>
        <v>#DIV/0!</v>
      </c>
    </row>
    <row r="3254" spans="1:15" x14ac:dyDescent="0.25">
      <c r="A3254" t="s">
        <v>828</v>
      </c>
      <c r="B3254"/>
      <c r="C3254"/>
      <c r="D3254" s="194"/>
      <c r="E3254"/>
      <c r="F3254" s="194"/>
      <c r="G3254"/>
      <c r="H3254" s="79" t="e">
        <f t="shared" si="443"/>
        <v>#DIV/0!</v>
      </c>
    </row>
    <row r="3255" spans="1:15" ht="20" thickBot="1" x14ac:dyDescent="0.3">
      <c r="A3255" t="s">
        <v>2</v>
      </c>
      <c r="B3255" t="s">
        <v>3</v>
      </c>
      <c r="C3255" t="s">
        <v>4</v>
      </c>
      <c r="D3255" s="194" t="s">
        <v>5</v>
      </c>
      <c r="E3255" t="s">
        <v>6</v>
      </c>
      <c r="F3255" s="194" t="s">
        <v>7</v>
      </c>
      <c r="G3255"/>
      <c r="H3255" s="79" t="e">
        <f t="shared" si="443"/>
        <v>#VALUE!</v>
      </c>
    </row>
    <row r="3256" spans="1:15" x14ac:dyDescent="0.25">
      <c r="A3256" t="s">
        <v>829</v>
      </c>
      <c r="B3256" t="s">
        <v>333</v>
      </c>
      <c r="C3256">
        <v>25</v>
      </c>
      <c r="D3256" s="194">
        <v>285629.13900000002</v>
      </c>
      <c r="E3256" t="s">
        <v>10</v>
      </c>
      <c r="F3256" s="194">
        <v>9350.5400000000009</v>
      </c>
      <c r="G3256" t="s">
        <v>335</v>
      </c>
      <c r="H3256" s="79">
        <f t="shared" si="443"/>
        <v>3.2736645962441531E-2</v>
      </c>
      <c r="J3256" s="105" t="str">
        <f>A3254</f>
        <v>drop2_10</v>
      </c>
      <c r="K3256" s="72" t="s">
        <v>340</v>
      </c>
      <c r="L3256" s="72" t="s">
        <v>341</v>
      </c>
      <c r="M3256" s="17" t="s">
        <v>162</v>
      </c>
      <c r="N3256" s="72" t="s">
        <v>342</v>
      </c>
      <c r="O3256" s="21" t="s">
        <v>162</v>
      </c>
    </row>
    <row r="3257" spans="1:15" x14ac:dyDescent="0.25">
      <c r="A3257" t="s">
        <v>830</v>
      </c>
      <c r="B3257" t="s">
        <v>333</v>
      </c>
      <c r="C3257">
        <v>25</v>
      </c>
      <c r="D3257" s="194">
        <v>161470.84899999999</v>
      </c>
      <c r="E3257" t="s">
        <v>10</v>
      </c>
      <c r="F3257" s="194">
        <v>5533.0870000000004</v>
      </c>
      <c r="G3257" t="s">
        <v>335</v>
      </c>
      <c r="H3257" s="79">
        <f t="shared" si="443"/>
        <v>3.4266785827081397E-2</v>
      </c>
      <c r="J3257" s="6">
        <v>100000</v>
      </c>
      <c r="K3257" s="119">
        <f>D3256</f>
        <v>285629.13900000002</v>
      </c>
      <c r="L3257" s="119">
        <f>D3257</f>
        <v>161470.84899999999</v>
      </c>
      <c r="M3257" s="18">
        <f>(K3257/L3257-1)</f>
        <v>0.76892077281392157</v>
      </c>
      <c r="N3257" s="73">
        <f>D3258</f>
        <v>129401.70299999999</v>
      </c>
      <c r="O3257" s="22">
        <f>(K3257/N3257-1)</f>
        <v>1.2073058729373911</v>
      </c>
    </row>
    <row r="3258" spans="1:15" x14ac:dyDescent="0.25">
      <c r="A3258" t="s">
        <v>831</v>
      </c>
      <c r="B3258" t="s">
        <v>333</v>
      </c>
      <c r="C3258">
        <v>25</v>
      </c>
      <c r="D3258" s="194">
        <v>129401.70299999999</v>
      </c>
      <c r="E3258" t="s">
        <v>10</v>
      </c>
      <c r="F3258" s="194">
        <v>4670.7430000000004</v>
      </c>
      <c r="G3258" t="s">
        <v>335</v>
      </c>
      <c r="H3258" s="79">
        <f t="shared" si="443"/>
        <v>3.6094911362951697E-2</v>
      </c>
      <c r="J3258" s="6">
        <v>50000</v>
      </c>
      <c r="K3258" s="119">
        <f>D3259</f>
        <v>140623.59899999999</v>
      </c>
      <c r="L3258" s="119">
        <f>D3260</f>
        <v>96210.512000000002</v>
      </c>
      <c r="M3258" s="18">
        <f t="shared" ref="M3258:M3261" si="455">(K3258/L3258-1)</f>
        <v>0.46162405829417041</v>
      </c>
      <c r="N3258" s="73">
        <f>D3261</f>
        <v>46680.7</v>
      </c>
      <c r="O3258" s="22">
        <f t="shared" ref="O3258:O3261" si="456">(K3258/N3258-1)</f>
        <v>2.0124569468752611</v>
      </c>
    </row>
    <row r="3259" spans="1:15" x14ac:dyDescent="0.25">
      <c r="A3259" t="s">
        <v>832</v>
      </c>
      <c r="B3259" t="s">
        <v>333</v>
      </c>
      <c r="C3259">
        <v>25</v>
      </c>
      <c r="D3259" s="194">
        <v>140623.59899999999</v>
      </c>
      <c r="E3259" t="s">
        <v>10</v>
      </c>
      <c r="F3259" s="194">
        <v>5408.98</v>
      </c>
      <c r="G3259" t="s">
        <v>335</v>
      </c>
      <c r="H3259" s="79">
        <f t="shared" ref="H3259:H3322" si="457">F3259/D3259</f>
        <v>3.8464240984189289E-2</v>
      </c>
      <c r="J3259" s="6">
        <v>10000</v>
      </c>
      <c r="K3259" s="119">
        <f>D3262</f>
        <v>33467.222999999998</v>
      </c>
      <c r="L3259" s="119">
        <f>D3263</f>
        <v>16607.879000000001</v>
      </c>
      <c r="M3259" s="18">
        <f t="shared" si="455"/>
        <v>1.0151413073276845</v>
      </c>
      <c r="N3259" s="73">
        <f>D3264</f>
        <v>7269.366</v>
      </c>
      <c r="O3259" s="22">
        <f t="shared" si="456"/>
        <v>3.6038709565593479</v>
      </c>
    </row>
    <row r="3260" spans="1:15" x14ac:dyDescent="0.25">
      <c r="A3260" t="s">
        <v>833</v>
      </c>
      <c r="B3260" t="s">
        <v>333</v>
      </c>
      <c r="C3260">
        <v>25</v>
      </c>
      <c r="D3260" s="194">
        <v>96210.512000000002</v>
      </c>
      <c r="E3260" t="s">
        <v>10</v>
      </c>
      <c r="F3260" s="194">
        <v>1960.374</v>
      </c>
      <c r="G3260" t="s">
        <v>335</v>
      </c>
      <c r="H3260" s="79">
        <f t="shared" si="457"/>
        <v>2.0375881587658528E-2</v>
      </c>
      <c r="J3260" s="67">
        <v>1000</v>
      </c>
      <c r="K3260" s="119">
        <f>D3265</f>
        <v>3314.538</v>
      </c>
      <c r="L3260" s="119">
        <f>D3266</f>
        <v>1619.0229999999999</v>
      </c>
      <c r="M3260" s="18">
        <f t="shared" si="455"/>
        <v>1.0472457772372601</v>
      </c>
      <c r="N3260" s="73">
        <f>D3267</f>
        <v>712.40899999999999</v>
      </c>
      <c r="O3260" s="22">
        <f t="shared" si="456"/>
        <v>3.6525773818129759</v>
      </c>
    </row>
    <row r="3261" spans="1:15" ht="20" thickBot="1" x14ac:dyDescent="0.3">
      <c r="A3261" t="s">
        <v>834</v>
      </c>
      <c r="B3261" t="s">
        <v>333</v>
      </c>
      <c r="C3261">
        <v>25</v>
      </c>
      <c r="D3261" s="194">
        <v>46680.7</v>
      </c>
      <c r="E3261" t="s">
        <v>10</v>
      </c>
      <c r="F3261" s="194">
        <v>1382.9480000000001</v>
      </c>
      <c r="G3261" t="s">
        <v>335</v>
      </c>
      <c r="H3261" s="79">
        <f t="shared" si="457"/>
        <v>2.9625691131452615E-2</v>
      </c>
      <c r="J3261" s="68">
        <v>100</v>
      </c>
      <c r="K3261" s="120">
        <f>D3268</f>
        <v>331.04300000000001</v>
      </c>
      <c r="L3261" s="120">
        <f>D3269</f>
        <v>173.27099999999999</v>
      </c>
      <c r="M3261" s="19">
        <f t="shared" si="455"/>
        <v>0.91055052490030097</v>
      </c>
      <c r="N3261" s="74">
        <f>D3270</f>
        <v>106.072</v>
      </c>
      <c r="O3261" s="23">
        <f t="shared" si="456"/>
        <v>2.1209272946677729</v>
      </c>
    </row>
    <row r="3262" spans="1:15" ht="20" thickBot="1" x14ac:dyDescent="0.3">
      <c r="A3262" t="s">
        <v>835</v>
      </c>
      <c r="B3262" t="s">
        <v>333</v>
      </c>
      <c r="C3262">
        <v>25</v>
      </c>
      <c r="D3262" s="194">
        <v>33467.222999999998</v>
      </c>
      <c r="E3262" t="s">
        <v>10</v>
      </c>
      <c r="F3262" s="194">
        <v>801.28099999999995</v>
      </c>
      <c r="G3262" t="s">
        <v>335</v>
      </c>
      <c r="H3262" s="79">
        <f t="shared" si="457"/>
        <v>2.3942261358225032E-2</v>
      </c>
    </row>
    <row r="3263" spans="1:15" x14ac:dyDescent="0.25">
      <c r="A3263" t="s">
        <v>836</v>
      </c>
      <c r="B3263" t="s">
        <v>333</v>
      </c>
      <c r="C3263">
        <v>25</v>
      </c>
      <c r="D3263" s="194">
        <v>16607.879000000001</v>
      </c>
      <c r="E3263" t="s">
        <v>10</v>
      </c>
      <c r="F3263" s="194">
        <v>245.74700000000001</v>
      </c>
      <c r="G3263" t="s">
        <v>335</v>
      </c>
      <c r="H3263" s="79">
        <f t="shared" si="457"/>
        <v>1.4797012911763146E-2</v>
      </c>
      <c r="J3263" s="105" t="str">
        <f>A3254</f>
        <v>drop2_10</v>
      </c>
      <c r="K3263" s="72" t="s">
        <v>341</v>
      </c>
      <c r="L3263" s="72" t="s">
        <v>342</v>
      </c>
      <c r="M3263" s="21" t="s">
        <v>162</v>
      </c>
    </row>
    <row r="3264" spans="1:15" x14ac:dyDescent="0.25">
      <c r="A3264" t="s">
        <v>837</v>
      </c>
      <c r="B3264" t="s">
        <v>333</v>
      </c>
      <c r="C3264">
        <v>25</v>
      </c>
      <c r="D3264" s="194">
        <v>7269.366</v>
      </c>
      <c r="E3264" t="s">
        <v>10</v>
      </c>
      <c r="F3264" s="194">
        <v>202.57</v>
      </c>
      <c r="G3264" t="s">
        <v>335</v>
      </c>
      <c r="H3264" s="79">
        <f t="shared" si="457"/>
        <v>2.7866254085982187E-2</v>
      </c>
      <c r="J3264" s="6">
        <v>100000</v>
      </c>
      <c r="K3264" s="119">
        <f>D3257</f>
        <v>161470.84899999999</v>
      </c>
      <c r="L3264" s="119">
        <f>D3258</f>
        <v>129401.70299999999</v>
      </c>
      <c r="M3264" s="22">
        <f>(K3264/L3264-1)</f>
        <v>0.24782630565534358</v>
      </c>
    </row>
    <row r="3265" spans="1:15" x14ac:dyDescent="0.25">
      <c r="A3265" t="s">
        <v>838</v>
      </c>
      <c r="B3265" t="s">
        <v>333</v>
      </c>
      <c r="C3265">
        <v>25</v>
      </c>
      <c r="D3265" s="194">
        <v>3314.538</v>
      </c>
      <c r="E3265" t="s">
        <v>10</v>
      </c>
      <c r="F3265" s="194">
        <v>68.873999999999995</v>
      </c>
      <c r="G3265" t="s">
        <v>335</v>
      </c>
      <c r="H3265" s="79">
        <f t="shared" si="457"/>
        <v>2.0779366536150739E-2</v>
      </c>
      <c r="J3265" s="6">
        <v>50000</v>
      </c>
      <c r="K3265" s="119">
        <f>D3260</f>
        <v>96210.512000000002</v>
      </c>
      <c r="L3265" s="119">
        <f>D3261</f>
        <v>46680.7</v>
      </c>
      <c r="M3265" s="22">
        <f t="shared" ref="M3265:M3268" si="458">(K3265/L3265-1)</f>
        <v>1.0610340461903958</v>
      </c>
    </row>
    <row r="3266" spans="1:15" x14ac:dyDescent="0.25">
      <c r="A3266" t="s">
        <v>839</v>
      </c>
      <c r="B3266" t="s">
        <v>333</v>
      </c>
      <c r="C3266">
        <v>25</v>
      </c>
      <c r="D3266" s="194">
        <v>1619.0229999999999</v>
      </c>
      <c r="E3266" t="s">
        <v>10</v>
      </c>
      <c r="F3266" s="194">
        <v>33.453000000000003</v>
      </c>
      <c r="G3266" t="s">
        <v>335</v>
      </c>
      <c r="H3266" s="79">
        <f t="shared" si="457"/>
        <v>2.066246124977842E-2</v>
      </c>
      <c r="J3266" s="6">
        <v>10000</v>
      </c>
      <c r="K3266" s="119">
        <f>D3263</f>
        <v>16607.879000000001</v>
      </c>
      <c r="L3266" s="119">
        <f>D3264</f>
        <v>7269.366</v>
      </c>
      <c r="M3266" s="22">
        <f t="shared" si="458"/>
        <v>1.2846392656526029</v>
      </c>
    </row>
    <row r="3267" spans="1:15" x14ac:dyDescent="0.25">
      <c r="A3267" t="s">
        <v>840</v>
      </c>
      <c r="B3267" t="s">
        <v>333</v>
      </c>
      <c r="C3267">
        <v>25</v>
      </c>
      <c r="D3267" s="194">
        <v>712.40899999999999</v>
      </c>
      <c r="E3267" t="s">
        <v>10</v>
      </c>
      <c r="F3267" s="194">
        <v>21.474</v>
      </c>
      <c r="G3267" t="s">
        <v>335</v>
      </c>
      <c r="H3267" s="79">
        <f t="shared" si="457"/>
        <v>3.0142797185324723E-2</v>
      </c>
      <c r="J3267" s="67">
        <v>1000</v>
      </c>
      <c r="K3267" s="119">
        <f>D3266</f>
        <v>1619.0229999999999</v>
      </c>
      <c r="L3267" s="119">
        <f>D3267</f>
        <v>712.40899999999999</v>
      </c>
      <c r="M3267" s="22">
        <f t="shared" si="458"/>
        <v>1.2726032377468561</v>
      </c>
    </row>
    <row r="3268" spans="1:15" ht="20" thickBot="1" x14ac:dyDescent="0.3">
      <c r="A3268" t="s">
        <v>841</v>
      </c>
      <c r="B3268" t="s">
        <v>333</v>
      </c>
      <c r="C3268">
        <v>25</v>
      </c>
      <c r="D3268" s="194">
        <v>331.04300000000001</v>
      </c>
      <c r="E3268" t="s">
        <v>10</v>
      </c>
      <c r="F3268" s="194">
        <v>7.7830000000000004</v>
      </c>
      <c r="G3268" t="s">
        <v>335</v>
      </c>
      <c r="H3268" s="79">
        <f t="shared" si="457"/>
        <v>2.3510540926707409E-2</v>
      </c>
      <c r="J3268" s="68">
        <v>100</v>
      </c>
      <c r="K3268" s="120">
        <f>D3269</f>
        <v>173.27099999999999</v>
      </c>
      <c r="L3268" s="120">
        <f>D3270</f>
        <v>106.072</v>
      </c>
      <c r="M3268" s="23">
        <f t="shared" si="458"/>
        <v>0.63352251301003082</v>
      </c>
    </row>
    <row r="3269" spans="1:15" x14ac:dyDescent="0.25">
      <c r="A3269" t="s">
        <v>842</v>
      </c>
      <c r="B3269" t="s">
        <v>333</v>
      </c>
      <c r="C3269">
        <v>25</v>
      </c>
      <c r="D3269" s="194">
        <v>173.27099999999999</v>
      </c>
      <c r="E3269" t="s">
        <v>10</v>
      </c>
      <c r="F3269" s="194">
        <v>4.234</v>
      </c>
      <c r="G3269" t="s">
        <v>335</v>
      </c>
      <c r="H3269" s="79">
        <f t="shared" si="457"/>
        <v>2.4435710534365246E-2</v>
      </c>
    </row>
    <row r="3270" spans="1:15" x14ac:dyDescent="0.25">
      <c r="A3270" t="s">
        <v>843</v>
      </c>
      <c r="B3270" t="s">
        <v>333</v>
      </c>
      <c r="C3270">
        <v>25</v>
      </c>
      <c r="D3270" s="194">
        <v>106.072</v>
      </c>
      <c r="E3270" t="s">
        <v>10</v>
      </c>
      <c r="F3270" s="194">
        <v>2.2999999999999998</v>
      </c>
      <c r="G3270" t="s">
        <v>335</v>
      </c>
      <c r="H3270" s="79">
        <f t="shared" si="457"/>
        <v>2.1683384870653893E-2</v>
      </c>
    </row>
    <row r="3271" spans="1:15" x14ac:dyDescent="0.25">
      <c r="A3271"/>
      <c r="B3271"/>
      <c r="C3271"/>
      <c r="D3271" s="194"/>
      <c r="E3271"/>
      <c r="F3271" s="194"/>
      <c r="G3271"/>
      <c r="H3271" s="79" t="e">
        <f t="shared" si="457"/>
        <v>#DIV/0!</v>
      </c>
    </row>
    <row r="3272" spans="1:15" x14ac:dyDescent="0.25">
      <c r="A3272" t="s">
        <v>844</v>
      </c>
      <c r="B3272"/>
      <c r="C3272"/>
      <c r="D3272" s="194"/>
      <c r="E3272"/>
      <c r="F3272" s="194"/>
      <c r="G3272"/>
      <c r="H3272" s="79" t="e">
        <f t="shared" si="457"/>
        <v>#DIV/0!</v>
      </c>
    </row>
    <row r="3273" spans="1:15" ht="20" thickBot="1" x14ac:dyDescent="0.3">
      <c r="A3273" t="s">
        <v>2</v>
      </c>
      <c r="B3273" t="s">
        <v>3</v>
      </c>
      <c r="C3273" t="s">
        <v>4</v>
      </c>
      <c r="D3273" s="194" t="s">
        <v>5</v>
      </c>
      <c r="E3273" t="s">
        <v>6</v>
      </c>
      <c r="F3273" s="194" t="s">
        <v>7</v>
      </c>
      <c r="G3273"/>
      <c r="H3273" s="79" t="e">
        <f t="shared" si="457"/>
        <v>#VALUE!</v>
      </c>
    </row>
    <row r="3274" spans="1:15" x14ac:dyDescent="0.25">
      <c r="A3274" t="s">
        <v>845</v>
      </c>
      <c r="B3274" t="s">
        <v>333</v>
      </c>
      <c r="C3274">
        <v>25</v>
      </c>
      <c r="D3274" s="194">
        <v>38051.078999999998</v>
      </c>
      <c r="E3274" t="s">
        <v>10</v>
      </c>
      <c r="F3274" s="194">
        <v>1276.5029999999999</v>
      </c>
      <c r="G3274" t="s">
        <v>335</v>
      </c>
      <c r="H3274" s="79">
        <f t="shared" si="457"/>
        <v>3.3547090740843381E-2</v>
      </c>
      <c r="J3274" s="105" t="str">
        <f>A3272</f>
        <v>drop2_90</v>
      </c>
      <c r="K3274" s="72" t="s">
        <v>340</v>
      </c>
      <c r="L3274" s="72" t="s">
        <v>341</v>
      </c>
      <c r="M3274" s="17" t="s">
        <v>162</v>
      </c>
      <c r="N3274" s="72" t="s">
        <v>342</v>
      </c>
      <c r="O3274" s="21" t="s">
        <v>162</v>
      </c>
    </row>
    <row r="3275" spans="1:15" x14ac:dyDescent="0.25">
      <c r="A3275" t="s">
        <v>846</v>
      </c>
      <c r="B3275" t="s">
        <v>333</v>
      </c>
      <c r="C3275">
        <v>25</v>
      </c>
      <c r="D3275" s="194">
        <v>48514.580999999998</v>
      </c>
      <c r="E3275" t="s">
        <v>10</v>
      </c>
      <c r="F3275" s="194">
        <v>1224.5150000000001</v>
      </c>
      <c r="G3275" t="s">
        <v>335</v>
      </c>
      <c r="H3275" s="79">
        <f t="shared" si="457"/>
        <v>2.5240143782752657E-2</v>
      </c>
      <c r="J3275" s="6">
        <v>100000</v>
      </c>
      <c r="K3275" s="119">
        <f>D3274</f>
        <v>38051.078999999998</v>
      </c>
      <c r="L3275" s="119">
        <f>D3275</f>
        <v>48514.580999999998</v>
      </c>
      <c r="M3275" s="18">
        <f>(K3275/L3275-1)</f>
        <v>-0.21567746818219458</v>
      </c>
      <c r="N3275" s="73">
        <f>D3276</f>
        <v>42075.042000000001</v>
      </c>
      <c r="O3275" s="22">
        <f>(K3275/N3275-1)</f>
        <v>-9.5637765495278693E-2</v>
      </c>
    </row>
    <row r="3276" spans="1:15" x14ac:dyDescent="0.25">
      <c r="A3276" t="s">
        <v>847</v>
      </c>
      <c r="B3276" t="s">
        <v>333</v>
      </c>
      <c r="C3276">
        <v>25</v>
      </c>
      <c r="D3276" s="194">
        <v>42075.042000000001</v>
      </c>
      <c r="E3276" t="s">
        <v>10</v>
      </c>
      <c r="F3276" s="194">
        <v>1299.366</v>
      </c>
      <c r="G3276" t="s">
        <v>335</v>
      </c>
      <c r="H3276" s="79">
        <f t="shared" si="457"/>
        <v>3.0882108210373266E-2</v>
      </c>
      <c r="J3276" s="6">
        <v>50000</v>
      </c>
      <c r="K3276" s="119">
        <f>D3277</f>
        <v>18853.847000000002</v>
      </c>
      <c r="L3276" s="119">
        <f>D3278</f>
        <v>31396.73</v>
      </c>
      <c r="M3276" s="18">
        <f t="shared" ref="M3276:M3279" si="459">(K3276/L3276-1)</f>
        <v>-0.39949647622539031</v>
      </c>
      <c r="N3276" s="73">
        <f>D3279</f>
        <v>21454.663</v>
      </c>
      <c r="O3276" s="22">
        <f t="shared" ref="O3276:O3279" si="460">(K3276/N3276-1)</f>
        <v>-0.12122381041361496</v>
      </c>
    </row>
    <row r="3277" spans="1:15" x14ac:dyDescent="0.25">
      <c r="A3277" t="s">
        <v>848</v>
      </c>
      <c r="B3277" t="s">
        <v>333</v>
      </c>
      <c r="C3277">
        <v>25</v>
      </c>
      <c r="D3277" s="194">
        <v>18853.847000000002</v>
      </c>
      <c r="E3277" t="s">
        <v>10</v>
      </c>
      <c r="F3277" s="194">
        <v>396.68</v>
      </c>
      <c r="G3277" t="s">
        <v>335</v>
      </c>
      <c r="H3277" s="79">
        <f t="shared" si="457"/>
        <v>2.1039737937833057E-2</v>
      </c>
      <c r="J3277" s="6">
        <v>10000</v>
      </c>
      <c r="K3277" s="119">
        <f>D3280</f>
        <v>3627.74</v>
      </c>
      <c r="L3277" s="119">
        <f>D3281</f>
        <v>6038.1040000000003</v>
      </c>
      <c r="M3277" s="18">
        <f t="shared" si="459"/>
        <v>-0.39919219675580286</v>
      </c>
      <c r="N3277" s="73">
        <f>D3282</f>
        <v>7746.8860000000004</v>
      </c>
      <c r="O3277" s="22">
        <f t="shared" si="460"/>
        <v>-0.53171635673998563</v>
      </c>
    </row>
    <row r="3278" spans="1:15" x14ac:dyDescent="0.25">
      <c r="A3278" t="s">
        <v>849</v>
      </c>
      <c r="B3278" t="s">
        <v>333</v>
      </c>
      <c r="C3278">
        <v>25</v>
      </c>
      <c r="D3278" s="194">
        <v>31396.73</v>
      </c>
      <c r="E3278" t="s">
        <v>10</v>
      </c>
      <c r="F3278" s="194">
        <v>842.63900000000001</v>
      </c>
      <c r="G3278" t="s">
        <v>335</v>
      </c>
      <c r="H3278" s="79">
        <f t="shared" si="457"/>
        <v>2.6838431900392177E-2</v>
      </c>
      <c r="J3278" s="67">
        <v>1000</v>
      </c>
      <c r="K3278" s="119">
        <f>D3283</f>
        <v>372.66</v>
      </c>
      <c r="L3278" s="119">
        <f>D3284</f>
        <v>329.26</v>
      </c>
      <c r="M3278" s="18">
        <f t="shared" si="459"/>
        <v>0.13181072708497865</v>
      </c>
      <c r="N3278" s="73">
        <f>D3285</f>
        <v>420.78</v>
      </c>
      <c r="O3278" s="22">
        <f t="shared" si="460"/>
        <v>-0.11435904748324532</v>
      </c>
    </row>
    <row r="3279" spans="1:15" ht="20" thickBot="1" x14ac:dyDescent="0.3">
      <c r="A3279" t="s">
        <v>850</v>
      </c>
      <c r="B3279" t="s">
        <v>333</v>
      </c>
      <c r="C3279">
        <v>25</v>
      </c>
      <c r="D3279" s="194">
        <v>21454.663</v>
      </c>
      <c r="E3279" t="s">
        <v>10</v>
      </c>
      <c r="F3279" s="194">
        <v>553.947</v>
      </c>
      <c r="G3279" t="s">
        <v>335</v>
      </c>
      <c r="H3279" s="79">
        <f t="shared" si="457"/>
        <v>2.5819422099522142E-2</v>
      </c>
      <c r="J3279" s="68">
        <v>100</v>
      </c>
      <c r="K3279" s="120">
        <f>D3286</f>
        <v>48.841999999999999</v>
      </c>
      <c r="L3279" s="120">
        <f>D3287</f>
        <v>42.716000000000001</v>
      </c>
      <c r="M3279" s="19">
        <f t="shared" si="459"/>
        <v>0.14341230452289544</v>
      </c>
      <c r="N3279" s="74">
        <f>D3288</f>
        <v>79.674999999999997</v>
      </c>
      <c r="O3279" s="23">
        <f t="shared" si="460"/>
        <v>-0.38698462503922182</v>
      </c>
    </row>
    <row r="3280" spans="1:15" ht="20" thickBot="1" x14ac:dyDescent="0.3">
      <c r="A3280" t="s">
        <v>851</v>
      </c>
      <c r="B3280" t="s">
        <v>333</v>
      </c>
      <c r="C3280">
        <v>25</v>
      </c>
      <c r="D3280" s="194">
        <v>3627.74</v>
      </c>
      <c r="E3280" t="s">
        <v>10</v>
      </c>
      <c r="F3280" s="194">
        <v>101.38800000000001</v>
      </c>
      <c r="G3280" t="s">
        <v>335</v>
      </c>
      <c r="H3280" s="79">
        <f t="shared" si="457"/>
        <v>2.7947978631324189E-2</v>
      </c>
    </row>
    <row r="3281" spans="1:15" x14ac:dyDescent="0.25">
      <c r="A3281" t="s">
        <v>852</v>
      </c>
      <c r="B3281" t="s">
        <v>333</v>
      </c>
      <c r="C3281">
        <v>25</v>
      </c>
      <c r="D3281" s="194">
        <v>6038.1040000000003</v>
      </c>
      <c r="E3281" t="s">
        <v>10</v>
      </c>
      <c r="F3281" s="194">
        <v>119.514</v>
      </c>
      <c r="G3281" t="s">
        <v>335</v>
      </c>
      <c r="H3281" s="79">
        <f t="shared" si="457"/>
        <v>1.9793299353571915E-2</v>
      </c>
      <c r="J3281" s="105" t="str">
        <f>A3272</f>
        <v>drop2_90</v>
      </c>
      <c r="K3281" s="72" t="s">
        <v>341</v>
      </c>
      <c r="L3281" s="72" t="s">
        <v>342</v>
      </c>
      <c r="M3281" s="21" t="s">
        <v>162</v>
      </c>
    </row>
    <row r="3282" spans="1:15" x14ac:dyDescent="0.25">
      <c r="A3282" t="s">
        <v>853</v>
      </c>
      <c r="B3282" t="s">
        <v>333</v>
      </c>
      <c r="C3282">
        <v>25</v>
      </c>
      <c r="D3282" s="194">
        <v>7746.8860000000004</v>
      </c>
      <c r="E3282" t="s">
        <v>10</v>
      </c>
      <c r="F3282" s="194">
        <v>227.97900000000001</v>
      </c>
      <c r="G3282" t="s">
        <v>335</v>
      </c>
      <c r="H3282" s="79">
        <f t="shared" si="457"/>
        <v>2.942846971028101E-2</v>
      </c>
      <c r="J3282" s="6">
        <v>100000</v>
      </c>
      <c r="K3282" s="119">
        <f>D3275</f>
        <v>48514.580999999998</v>
      </c>
      <c r="L3282" s="119">
        <f>D3276</f>
        <v>42075.042000000001</v>
      </c>
      <c r="M3282" s="22">
        <f>(K3282/L3282-1)</f>
        <v>0.1530489024823789</v>
      </c>
    </row>
    <row r="3283" spans="1:15" x14ac:dyDescent="0.25">
      <c r="A3283" t="s">
        <v>854</v>
      </c>
      <c r="B3283" t="s">
        <v>333</v>
      </c>
      <c r="C3283">
        <v>25</v>
      </c>
      <c r="D3283" s="194">
        <v>372.66</v>
      </c>
      <c r="E3283" t="s">
        <v>10</v>
      </c>
      <c r="F3283" s="194">
        <v>10.032999999999999</v>
      </c>
      <c r="G3283" t="s">
        <v>335</v>
      </c>
      <c r="H3283" s="79">
        <f t="shared" si="457"/>
        <v>2.6922664090591956E-2</v>
      </c>
      <c r="J3283" s="6">
        <v>50000</v>
      </c>
      <c r="K3283" s="119">
        <f>D3278</f>
        <v>31396.73</v>
      </c>
      <c r="L3283" s="119">
        <f>D3279</f>
        <v>21454.663</v>
      </c>
      <c r="M3283" s="22">
        <f t="shared" ref="M3283:M3286" si="461">(K3283/L3283-1)</f>
        <v>0.46339888908998472</v>
      </c>
    </row>
    <row r="3284" spans="1:15" x14ac:dyDescent="0.25">
      <c r="A3284" t="s">
        <v>855</v>
      </c>
      <c r="B3284" t="s">
        <v>333</v>
      </c>
      <c r="C3284">
        <v>25</v>
      </c>
      <c r="D3284" s="194">
        <v>329.26</v>
      </c>
      <c r="E3284" t="s">
        <v>10</v>
      </c>
      <c r="F3284" s="194">
        <v>7.6319999999999997</v>
      </c>
      <c r="G3284" t="s">
        <v>335</v>
      </c>
      <c r="H3284" s="79">
        <f t="shared" si="457"/>
        <v>2.3179250440381462E-2</v>
      </c>
      <c r="J3284" s="6">
        <v>10000</v>
      </c>
      <c r="K3284" s="119">
        <f>D3281</f>
        <v>6038.1040000000003</v>
      </c>
      <c r="L3284" s="119">
        <f>D3282</f>
        <v>7746.8860000000004</v>
      </c>
      <c r="M3284" s="22">
        <f t="shared" si="461"/>
        <v>-0.22057662911265252</v>
      </c>
    </row>
    <row r="3285" spans="1:15" x14ac:dyDescent="0.25">
      <c r="A3285" t="s">
        <v>856</v>
      </c>
      <c r="B3285" t="s">
        <v>333</v>
      </c>
      <c r="C3285">
        <v>25</v>
      </c>
      <c r="D3285" s="194">
        <v>420.78</v>
      </c>
      <c r="E3285" t="s">
        <v>10</v>
      </c>
      <c r="F3285" s="194">
        <v>13.45</v>
      </c>
      <c r="G3285" t="s">
        <v>335</v>
      </c>
      <c r="H3285" s="79">
        <f t="shared" si="457"/>
        <v>3.1964446979419171E-2</v>
      </c>
      <c r="J3285" s="67">
        <v>1000</v>
      </c>
      <c r="K3285" s="119">
        <f>D3284</f>
        <v>329.26</v>
      </c>
      <c r="L3285" s="119">
        <f>D3285</f>
        <v>420.78</v>
      </c>
      <c r="M3285" s="22">
        <f t="shared" si="461"/>
        <v>-0.21750083178858304</v>
      </c>
    </row>
    <row r="3286" spans="1:15" ht="20" thickBot="1" x14ac:dyDescent="0.3">
      <c r="A3286" t="s">
        <v>857</v>
      </c>
      <c r="B3286" t="s">
        <v>333</v>
      </c>
      <c r="C3286">
        <v>25</v>
      </c>
      <c r="D3286" s="194">
        <v>48.841999999999999</v>
      </c>
      <c r="E3286" t="s">
        <v>10</v>
      </c>
      <c r="F3286" s="194">
        <v>1.006</v>
      </c>
      <c r="G3286" t="s">
        <v>335</v>
      </c>
      <c r="H3286" s="79">
        <f t="shared" si="457"/>
        <v>2.0597027148765407E-2</v>
      </c>
      <c r="J3286" s="68">
        <v>100</v>
      </c>
      <c r="K3286" s="120">
        <f>D3287</f>
        <v>42.716000000000001</v>
      </c>
      <c r="L3286" s="120">
        <f>D3288</f>
        <v>79.674999999999997</v>
      </c>
      <c r="M3286" s="23">
        <f t="shared" si="461"/>
        <v>-0.46387197991841855</v>
      </c>
    </row>
    <row r="3287" spans="1:15" x14ac:dyDescent="0.25">
      <c r="A3287" t="s">
        <v>858</v>
      </c>
      <c r="B3287" t="s">
        <v>333</v>
      </c>
      <c r="C3287">
        <v>25</v>
      </c>
      <c r="D3287" s="194">
        <v>42.716000000000001</v>
      </c>
      <c r="E3287" t="s">
        <v>10</v>
      </c>
      <c r="F3287" s="194">
        <v>1.026</v>
      </c>
      <c r="G3287" t="s">
        <v>335</v>
      </c>
      <c r="H3287" s="79">
        <f t="shared" si="457"/>
        <v>2.40191029122577E-2</v>
      </c>
    </row>
    <row r="3288" spans="1:15" x14ac:dyDescent="0.25">
      <c r="A3288" t="s">
        <v>859</v>
      </c>
      <c r="B3288" t="s">
        <v>333</v>
      </c>
      <c r="C3288">
        <v>25</v>
      </c>
      <c r="D3288" s="194">
        <v>79.674999999999997</v>
      </c>
      <c r="E3288" t="s">
        <v>10</v>
      </c>
      <c r="F3288" s="194">
        <v>3.3130000000000002</v>
      </c>
      <c r="G3288" t="s">
        <v>335</v>
      </c>
      <c r="H3288" s="79">
        <f t="shared" si="457"/>
        <v>4.1581424537182304E-2</v>
      </c>
    </row>
    <row r="3289" spans="1:15" x14ac:dyDescent="0.25">
      <c r="A3289"/>
      <c r="B3289"/>
      <c r="C3289"/>
      <c r="D3289" s="194"/>
      <c r="E3289"/>
      <c r="F3289" s="194"/>
      <c r="G3289"/>
      <c r="H3289" s="79" t="e">
        <f t="shared" si="457"/>
        <v>#DIV/0!</v>
      </c>
    </row>
    <row r="3290" spans="1:15" x14ac:dyDescent="0.25">
      <c r="A3290" t="s">
        <v>980</v>
      </c>
      <c r="B3290"/>
      <c r="C3290"/>
      <c r="D3290" s="194"/>
      <c r="E3290"/>
      <c r="F3290" s="194"/>
      <c r="G3290"/>
      <c r="H3290" s="79" t="e">
        <f t="shared" si="457"/>
        <v>#DIV/0!</v>
      </c>
    </row>
    <row r="3291" spans="1:15" ht="20" thickBot="1" x14ac:dyDescent="0.3">
      <c r="A3291" t="s">
        <v>2</v>
      </c>
      <c r="B3291" t="s">
        <v>3</v>
      </c>
      <c r="C3291" t="s">
        <v>4</v>
      </c>
      <c r="D3291" s="194" t="s">
        <v>5</v>
      </c>
      <c r="E3291" t="s">
        <v>6</v>
      </c>
      <c r="F3291" s="194" t="s">
        <v>7</v>
      </c>
      <c r="G3291"/>
      <c r="H3291" s="79" t="e">
        <f t="shared" si="457"/>
        <v>#VALUE!</v>
      </c>
    </row>
    <row r="3292" spans="1:15" x14ac:dyDescent="0.25">
      <c r="A3292" t="s">
        <v>981</v>
      </c>
      <c r="B3292" t="s">
        <v>333</v>
      </c>
      <c r="C3292">
        <v>25</v>
      </c>
      <c r="D3292" s="194">
        <v>57560.752999999997</v>
      </c>
      <c r="E3292" t="s">
        <v>10</v>
      </c>
      <c r="F3292" s="194">
        <v>1428.558</v>
      </c>
      <c r="G3292" t="s">
        <v>335</v>
      </c>
      <c r="H3292" s="79">
        <f t="shared" si="457"/>
        <v>2.4818264625551374E-2</v>
      </c>
      <c r="J3292" s="105" t="str">
        <f>A3290</f>
        <v>take2_10</v>
      </c>
      <c r="K3292" s="72" t="s">
        <v>340</v>
      </c>
      <c r="L3292" s="72" t="s">
        <v>341</v>
      </c>
      <c r="M3292" s="17" t="s">
        <v>162</v>
      </c>
      <c r="N3292" s="72" t="s">
        <v>342</v>
      </c>
      <c r="O3292" s="21" t="s">
        <v>162</v>
      </c>
    </row>
    <row r="3293" spans="1:15" x14ac:dyDescent="0.25">
      <c r="A3293" t="s">
        <v>982</v>
      </c>
      <c r="B3293" t="s">
        <v>333</v>
      </c>
      <c r="C3293">
        <v>25</v>
      </c>
      <c r="D3293" s="194">
        <v>13425.014999999999</v>
      </c>
      <c r="E3293" t="s">
        <v>10</v>
      </c>
      <c r="F3293" s="194">
        <v>314.262</v>
      </c>
      <c r="G3293" t="s">
        <v>335</v>
      </c>
      <c r="H3293" s="79">
        <f t="shared" si="457"/>
        <v>2.3408688928839187E-2</v>
      </c>
      <c r="J3293" s="6">
        <v>100000</v>
      </c>
      <c r="K3293" s="119">
        <f>D3292</f>
        <v>57560.752999999997</v>
      </c>
      <c r="L3293" s="119">
        <f>D3293</f>
        <v>13425.014999999999</v>
      </c>
      <c r="M3293" s="18">
        <f>(K3293/L3293-1)</f>
        <v>3.2875745762667679</v>
      </c>
      <c r="N3293" s="73">
        <f>D3294</f>
        <v>18673.748</v>
      </c>
      <c r="O3293" s="22">
        <f>(K3293/N3293-1)</f>
        <v>2.0824424213071739</v>
      </c>
    </row>
    <row r="3294" spans="1:15" x14ac:dyDescent="0.25">
      <c r="A3294" t="s">
        <v>983</v>
      </c>
      <c r="B3294" t="s">
        <v>333</v>
      </c>
      <c r="C3294">
        <v>25</v>
      </c>
      <c r="D3294" s="194">
        <v>18673.748</v>
      </c>
      <c r="E3294" t="s">
        <v>10</v>
      </c>
      <c r="F3294" s="194">
        <v>471.72399999999999</v>
      </c>
      <c r="G3294" t="s">
        <v>335</v>
      </c>
      <c r="H3294" s="79">
        <f t="shared" si="457"/>
        <v>2.5261345499575125E-2</v>
      </c>
      <c r="J3294" s="6">
        <v>50000</v>
      </c>
      <c r="K3294" s="119">
        <f>D3295</f>
        <v>27085.108</v>
      </c>
      <c r="L3294" s="119">
        <f>D3296</f>
        <v>5065.9009999999998</v>
      </c>
      <c r="M3294" s="18">
        <f t="shared" ref="M3294:M3297" si="462">(K3294/L3294-1)</f>
        <v>4.3465529626417885</v>
      </c>
      <c r="N3294" s="73">
        <f>D3297</f>
        <v>7602.6570000000002</v>
      </c>
      <c r="O3294" s="22">
        <f t="shared" ref="O3294:O3297" si="463">(K3294/N3294-1)</f>
        <v>2.5625845017077582</v>
      </c>
    </row>
    <row r="3295" spans="1:15" x14ac:dyDescent="0.25">
      <c r="A3295" t="s">
        <v>984</v>
      </c>
      <c r="B3295" t="s">
        <v>333</v>
      </c>
      <c r="C3295">
        <v>25</v>
      </c>
      <c r="D3295" s="194">
        <v>27085.108</v>
      </c>
      <c r="E3295" t="s">
        <v>10</v>
      </c>
      <c r="F3295" s="194">
        <v>475.28199999999998</v>
      </c>
      <c r="G3295" t="s">
        <v>335</v>
      </c>
      <c r="H3295" s="79">
        <f t="shared" si="457"/>
        <v>1.7547724011290632E-2</v>
      </c>
      <c r="J3295" s="6">
        <v>10000</v>
      </c>
      <c r="K3295" s="119">
        <f>D3298</f>
        <v>5617.2049999999999</v>
      </c>
      <c r="L3295" s="119">
        <f>D3299</f>
        <v>1060.2080000000001</v>
      </c>
      <c r="M3295" s="18">
        <f t="shared" si="462"/>
        <v>4.2982103511763725</v>
      </c>
      <c r="N3295" s="73">
        <f>D3300</f>
        <v>1586.7149999999999</v>
      </c>
      <c r="O3295" s="22">
        <f t="shared" si="463"/>
        <v>2.5401474114759113</v>
      </c>
    </row>
    <row r="3296" spans="1:15" x14ac:dyDescent="0.25">
      <c r="A3296" t="s">
        <v>985</v>
      </c>
      <c r="B3296" t="s">
        <v>333</v>
      </c>
      <c r="C3296">
        <v>25</v>
      </c>
      <c r="D3296" s="194">
        <v>5065.9009999999998</v>
      </c>
      <c r="E3296" t="s">
        <v>10</v>
      </c>
      <c r="F3296" s="194">
        <v>148.81899999999999</v>
      </c>
      <c r="G3296" t="s">
        <v>335</v>
      </c>
      <c r="H3296" s="79">
        <f t="shared" si="457"/>
        <v>2.9376610399611047E-2</v>
      </c>
      <c r="J3296" s="67">
        <v>1000</v>
      </c>
      <c r="K3296" s="119">
        <f>D3301</f>
        <v>541.66800000000001</v>
      </c>
      <c r="L3296" s="119">
        <f>D3302</f>
        <v>77.588999999999999</v>
      </c>
      <c r="M3296" s="18">
        <f t="shared" si="462"/>
        <v>5.9812473417623631</v>
      </c>
      <c r="N3296" s="73">
        <f>D3303</f>
        <v>231.482</v>
      </c>
      <c r="O3296" s="22">
        <f t="shared" si="463"/>
        <v>1.3400005183988388</v>
      </c>
    </row>
    <row r="3297" spans="1:15" ht="20" thickBot="1" x14ac:dyDescent="0.3">
      <c r="A3297" t="s">
        <v>986</v>
      </c>
      <c r="B3297" t="s">
        <v>333</v>
      </c>
      <c r="C3297">
        <v>25</v>
      </c>
      <c r="D3297" s="194">
        <v>7602.6570000000002</v>
      </c>
      <c r="E3297" t="s">
        <v>10</v>
      </c>
      <c r="F3297" s="194">
        <v>145.46899999999999</v>
      </c>
      <c r="G3297" t="s">
        <v>335</v>
      </c>
      <c r="H3297" s="79">
        <f t="shared" si="457"/>
        <v>1.9133968558623649E-2</v>
      </c>
      <c r="J3297" s="68">
        <v>100</v>
      </c>
      <c r="K3297" s="120">
        <f>D3304</f>
        <v>64.965000000000003</v>
      </c>
      <c r="L3297" s="120">
        <f>D3305</f>
        <v>17.242000000000001</v>
      </c>
      <c r="M3297" s="19">
        <f t="shared" si="462"/>
        <v>2.7678343579631135</v>
      </c>
      <c r="N3297" s="74">
        <f>D3306</f>
        <v>51.313000000000002</v>
      </c>
      <c r="O3297" s="23">
        <f t="shared" si="463"/>
        <v>0.26605343675092086</v>
      </c>
    </row>
    <row r="3298" spans="1:15" ht="20" thickBot="1" x14ac:dyDescent="0.3">
      <c r="A3298" t="s">
        <v>987</v>
      </c>
      <c r="B3298" t="s">
        <v>333</v>
      </c>
      <c r="C3298">
        <v>25</v>
      </c>
      <c r="D3298" s="194">
        <v>5617.2049999999999</v>
      </c>
      <c r="E3298" t="s">
        <v>10</v>
      </c>
      <c r="F3298" s="194">
        <v>143.023</v>
      </c>
      <c r="G3298" t="s">
        <v>335</v>
      </c>
      <c r="H3298" s="79">
        <f t="shared" si="457"/>
        <v>2.5461595223959247E-2</v>
      </c>
    </row>
    <row r="3299" spans="1:15" x14ac:dyDescent="0.25">
      <c r="A3299" t="s">
        <v>988</v>
      </c>
      <c r="B3299" t="s">
        <v>333</v>
      </c>
      <c r="C3299">
        <v>25</v>
      </c>
      <c r="D3299" s="194">
        <v>1060.2080000000001</v>
      </c>
      <c r="E3299" t="s">
        <v>10</v>
      </c>
      <c r="F3299" s="194">
        <v>31.317</v>
      </c>
      <c r="G3299" t="s">
        <v>335</v>
      </c>
      <c r="H3299" s="79">
        <f t="shared" si="457"/>
        <v>2.9538543380166909E-2</v>
      </c>
      <c r="J3299" s="105" t="str">
        <f>A3290</f>
        <v>take2_10</v>
      </c>
      <c r="K3299" s="72" t="s">
        <v>341</v>
      </c>
      <c r="L3299" s="72" t="s">
        <v>342</v>
      </c>
      <c r="M3299" s="21" t="s">
        <v>162</v>
      </c>
    </row>
    <row r="3300" spans="1:15" x14ac:dyDescent="0.25">
      <c r="A3300" t="s">
        <v>989</v>
      </c>
      <c r="B3300" t="s">
        <v>333</v>
      </c>
      <c r="C3300">
        <v>25</v>
      </c>
      <c r="D3300" s="194">
        <v>1586.7149999999999</v>
      </c>
      <c r="E3300" t="s">
        <v>10</v>
      </c>
      <c r="F3300" s="194">
        <v>25.091999999999999</v>
      </c>
      <c r="G3300" t="s">
        <v>335</v>
      </c>
      <c r="H3300" s="79">
        <f t="shared" si="457"/>
        <v>1.5813803991264971E-2</v>
      </c>
      <c r="J3300" s="6">
        <v>100000</v>
      </c>
      <c r="K3300" s="119">
        <f>D3293</f>
        <v>13425.014999999999</v>
      </c>
      <c r="L3300" s="119">
        <f>D3294</f>
        <v>18673.748</v>
      </c>
      <c r="M3300" s="22">
        <f>(K3300/L3300-1)</f>
        <v>-0.28107549700252998</v>
      </c>
    </row>
    <row r="3301" spans="1:15" x14ac:dyDescent="0.25">
      <c r="A3301" t="s">
        <v>990</v>
      </c>
      <c r="B3301" t="s">
        <v>333</v>
      </c>
      <c r="C3301">
        <v>25</v>
      </c>
      <c r="D3301" s="194">
        <v>541.66800000000001</v>
      </c>
      <c r="E3301" t="s">
        <v>10</v>
      </c>
      <c r="F3301" s="194">
        <v>13.435</v>
      </c>
      <c r="G3301" t="s">
        <v>335</v>
      </c>
      <c r="H3301" s="79">
        <f t="shared" si="457"/>
        <v>2.4803015869499397E-2</v>
      </c>
      <c r="J3301" s="6">
        <v>50000</v>
      </c>
      <c r="K3301" s="119">
        <f>D3296</f>
        <v>5065.9009999999998</v>
      </c>
      <c r="L3301" s="119">
        <f>D3297</f>
        <v>7602.6570000000002</v>
      </c>
      <c r="M3301" s="22">
        <f t="shared" ref="M3301:M3304" si="464">(K3301/L3301-1)</f>
        <v>-0.33366703245983609</v>
      </c>
    </row>
    <row r="3302" spans="1:15" x14ac:dyDescent="0.25">
      <c r="A3302" t="s">
        <v>991</v>
      </c>
      <c r="B3302" t="s">
        <v>333</v>
      </c>
      <c r="C3302">
        <v>25</v>
      </c>
      <c r="D3302" s="194">
        <v>77.588999999999999</v>
      </c>
      <c r="E3302" t="s">
        <v>10</v>
      </c>
      <c r="F3302" s="194">
        <v>1.91</v>
      </c>
      <c r="G3302" t="s">
        <v>335</v>
      </c>
      <c r="H3302" s="79">
        <f t="shared" si="457"/>
        <v>2.4616891569681269E-2</v>
      </c>
      <c r="J3302" s="6">
        <v>10000</v>
      </c>
      <c r="K3302" s="119">
        <f>D3299</f>
        <v>1060.2080000000001</v>
      </c>
      <c r="L3302" s="119">
        <f>D3300</f>
        <v>1586.7149999999999</v>
      </c>
      <c r="M3302" s="22">
        <f t="shared" si="464"/>
        <v>-0.33182203483297246</v>
      </c>
    </row>
    <row r="3303" spans="1:15" x14ac:dyDescent="0.25">
      <c r="A3303" t="s">
        <v>992</v>
      </c>
      <c r="B3303" t="s">
        <v>333</v>
      </c>
      <c r="C3303">
        <v>25</v>
      </c>
      <c r="D3303" s="194">
        <v>231.482</v>
      </c>
      <c r="E3303" t="s">
        <v>10</v>
      </c>
      <c r="F3303" s="194">
        <v>5.9409999999999998</v>
      </c>
      <c r="G3303" t="s">
        <v>335</v>
      </c>
      <c r="H3303" s="79">
        <f t="shared" si="457"/>
        <v>2.5665062510259976E-2</v>
      </c>
      <c r="J3303" s="67">
        <v>1000</v>
      </c>
      <c r="K3303" s="119">
        <f>D3302</f>
        <v>77.588999999999999</v>
      </c>
      <c r="L3303" s="119">
        <f>D3303</f>
        <v>231.482</v>
      </c>
      <c r="M3303" s="22">
        <f t="shared" si="464"/>
        <v>-0.66481627081155337</v>
      </c>
    </row>
    <row r="3304" spans="1:15" ht="20" thickBot="1" x14ac:dyDescent="0.3">
      <c r="A3304" t="s">
        <v>993</v>
      </c>
      <c r="B3304" t="s">
        <v>333</v>
      </c>
      <c r="C3304">
        <v>25</v>
      </c>
      <c r="D3304" s="194">
        <v>64.965000000000003</v>
      </c>
      <c r="E3304" t="s">
        <v>10</v>
      </c>
      <c r="F3304" s="194">
        <v>1.286</v>
      </c>
      <c r="G3304" t="s">
        <v>335</v>
      </c>
      <c r="H3304" s="79">
        <f t="shared" si="457"/>
        <v>1.9795274378511505E-2</v>
      </c>
      <c r="J3304" s="68">
        <v>100</v>
      </c>
      <c r="K3304" s="120">
        <f>D3305</f>
        <v>17.242000000000001</v>
      </c>
      <c r="L3304" s="120">
        <f>D3306</f>
        <v>51.313000000000002</v>
      </c>
      <c r="M3304" s="23">
        <f t="shared" si="464"/>
        <v>-0.66398378578527861</v>
      </c>
    </row>
    <row r="3305" spans="1:15" x14ac:dyDescent="0.25">
      <c r="A3305" t="s">
        <v>994</v>
      </c>
      <c r="B3305" t="s">
        <v>333</v>
      </c>
      <c r="C3305">
        <v>25</v>
      </c>
      <c r="D3305" s="194">
        <v>17.242000000000001</v>
      </c>
      <c r="E3305" t="s">
        <v>10</v>
      </c>
      <c r="F3305" s="194">
        <v>0.434</v>
      </c>
      <c r="G3305" t="s">
        <v>335</v>
      </c>
      <c r="H3305" s="79">
        <f t="shared" si="457"/>
        <v>2.5171093840621737E-2</v>
      </c>
    </row>
    <row r="3306" spans="1:15" x14ac:dyDescent="0.25">
      <c r="A3306" t="s">
        <v>995</v>
      </c>
      <c r="B3306" t="s">
        <v>333</v>
      </c>
      <c r="C3306">
        <v>25</v>
      </c>
      <c r="D3306" s="194">
        <v>51.313000000000002</v>
      </c>
      <c r="E3306" t="s">
        <v>10</v>
      </c>
      <c r="F3306" s="194">
        <v>1.3109999999999999</v>
      </c>
      <c r="G3306" t="s">
        <v>335</v>
      </c>
      <c r="H3306" s="79">
        <f t="shared" si="457"/>
        <v>2.5549081129538322E-2</v>
      </c>
    </row>
    <row r="3307" spans="1:15" x14ac:dyDescent="0.25">
      <c r="A3307"/>
      <c r="B3307"/>
      <c r="C3307"/>
      <c r="D3307" s="194"/>
      <c r="E3307"/>
      <c r="F3307" s="194"/>
      <c r="G3307"/>
      <c r="H3307" s="79" t="e">
        <f t="shared" si="457"/>
        <v>#DIV/0!</v>
      </c>
    </row>
    <row r="3308" spans="1:15" x14ac:dyDescent="0.25">
      <c r="A3308" t="s">
        <v>996</v>
      </c>
      <c r="B3308"/>
      <c r="C3308"/>
      <c r="D3308" s="194"/>
      <c r="E3308"/>
      <c r="F3308" s="194"/>
      <c r="G3308"/>
      <c r="H3308" s="79" t="e">
        <f t="shared" si="457"/>
        <v>#DIV/0!</v>
      </c>
    </row>
    <row r="3309" spans="1:15" ht="20" thickBot="1" x14ac:dyDescent="0.3">
      <c r="A3309" t="s">
        <v>2</v>
      </c>
      <c r="B3309" t="s">
        <v>3</v>
      </c>
      <c r="C3309" t="s">
        <v>4</v>
      </c>
      <c r="D3309" s="194" t="s">
        <v>5</v>
      </c>
      <c r="E3309" t="s">
        <v>6</v>
      </c>
      <c r="F3309" s="194" t="s">
        <v>7</v>
      </c>
      <c r="G3309"/>
      <c r="H3309" s="79" t="e">
        <f t="shared" si="457"/>
        <v>#VALUE!</v>
      </c>
    </row>
    <row r="3310" spans="1:15" x14ac:dyDescent="0.25">
      <c r="A3310" t="s">
        <v>997</v>
      </c>
      <c r="B3310" t="s">
        <v>333</v>
      </c>
      <c r="C3310">
        <v>25</v>
      </c>
      <c r="D3310" s="194">
        <v>515163.41800000001</v>
      </c>
      <c r="E3310" t="s">
        <v>10</v>
      </c>
      <c r="F3310" s="194">
        <v>13944.003000000001</v>
      </c>
      <c r="G3310" t="s">
        <v>335</v>
      </c>
      <c r="H3310" s="79">
        <f t="shared" si="457"/>
        <v>2.7067145128693904E-2</v>
      </c>
      <c r="J3310" s="105" t="str">
        <f>A3308</f>
        <v>take2_90</v>
      </c>
      <c r="K3310" s="72" t="s">
        <v>340</v>
      </c>
      <c r="L3310" s="72" t="s">
        <v>341</v>
      </c>
      <c r="M3310" s="17" t="s">
        <v>162</v>
      </c>
      <c r="N3310" s="72" t="s">
        <v>342</v>
      </c>
      <c r="O3310" s="21" t="s">
        <v>162</v>
      </c>
    </row>
    <row r="3311" spans="1:15" x14ac:dyDescent="0.25">
      <c r="A3311" t="s">
        <v>998</v>
      </c>
      <c r="B3311" t="s">
        <v>333</v>
      </c>
      <c r="C3311">
        <v>25</v>
      </c>
      <c r="D3311" s="194">
        <v>150281.78700000001</v>
      </c>
      <c r="E3311" t="s">
        <v>10</v>
      </c>
      <c r="F3311" s="194">
        <v>4440.3329999999996</v>
      </c>
      <c r="G3311" t="s">
        <v>335</v>
      </c>
      <c r="H3311" s="79">
        <f t="shared" si="457"/>
        <v>2.9546714133762593E-2</v>
      </c>
      <c r="J3311" s="6">
        <v>100000</v>
      </c>
      <c r="K3311" s="119">
        <f>D3310</f>
        <v>515163.41800000001</v>
      </c>
      <c r="L3311" s="119">
        <f>D3311</f>
        <v>150281.78700000001</v>
      </c>
      <c r="M3311" s="18">
        <f>(K3311/L3311-1)</f>
        <v>2.4279830462755942</v>
      </c>
      <c r="N3311" s="73">
        <f>D3312</f>
        <v>196103.29</v>
      </c>
      <c r="O3311" s="22">
        <f>(K3311/N3311-1)</f>
        <v>1.627000383318403</v>
      </c>
    </row>
    <row r="3312" spans="1:15" x14ac:dyDescent="0.25">
      <c r="A3312" t="s">
        <v>999</v>
      </c>
      <c r="B3312" t="s">
        <v>333</v>
      </c>
      <c r="C3312">
        <v>25</v>
      </c>
      <c r="D3312" s="194">
        <v>196103.29</v>
      </c>
      <c r="E3312" t="s">
        <v>10</v>
      </c>
      <c r="F3312" s="194">
        <v>5353.348</v>
      </c>
      <c r="G3312" t="s">
        <v>335</v>
      </c>
      <c r="H3312" s="79">
        <f t="shared" si="457"/>
        <v>2.7298613909027224E-2</v>
      </c>
      <c r="J3312" s="6">
        <v>50000</v>
      </c>
      <c r="K3312" s="119">
        <f>D3313</f>
        <v>256629.946</v>
      </c>
      <c r="L3312" s="119">
        <f>D3314</f>
        <v>51911.968000000001</v>
      </c>
      <c r="M3312" s="18">
        <f t="shared" ref="M3312:M3315" si="465">(K3312/L3312-1)</f>
        <v>3.9435603366067724</v>
      </c>
      <c r="N3312" s="73">
        <f>D3315</f>
        <v>71124.099000000002</v>
      </c>
      <c r="O3312" s="22">
        <f t="shared" ref="O3312:O3315" si="466">(K3312/N3312-1)</f>
        <v>2.6081996061559947</v>
      </c>
    </row>
    <row r="3313" spans="1:15" x14ac:dyDescent="0.25">
      <c r="A3313" t="s">
        <v>1000</v>
      </c>
      <c r="B3313" t="s">
        <v>333</v>
      </c>
      <c r="C3313">
        <v>25</v>
      </c>
      <c r="D3313" s="194">
        <v>256629.946</v>
      </c>
      <c r="E3313" t="s">
        <v>10</v>
      </c>
      <c r="F3313" s="194">
        <v>10981.941000000001</v>
      </c>
      <c r="G3313" t="s">
        <v>335</v>
      </c>
      <c r="H3313" s="79">
        <f t="shared" si="457"/>
        <v>4.2792905392264706E-2</v>
      </c>
      <c r="J3313" s="6">
        <v>10000</v>
      </c>
      <c r="K3313" s="119">
        <f>D3316</f>
        <v>51402.004999999997</v>
      </c>
      <c r="L3313" s="119">
        <f>D3317</f>
        <v>9306.4220000000005</v>
      </c>
      <c r="M3313" s="18">
        <f t="shared" si="465"/>
        <v>4.523283276859785</v>
      </c>
      <c r="N3313" s="73">
        <f>D3318</f>
        <v>14091.263000000001</v>
      </c>
      <c r="O3313" s="22">
        <f t="shared" si="466"/>
        <v>2.6477926073766413</v>
      </c>
    </row>
    <row r="3314" spans="1:15" x14ac:dyDescent="0.25">
      <c r="A3314" t="s">
        <v>1001</v>
      </c>
      <c r="B3314" t="s">
        <v>333</v>
      </c>
      <c r="C3314">
        <v>25</v>
      </c>
      <c r="D3314" s="194">
        <v>51911.968000000001</v>
      </c>
      <c r="E3314" t="s">
        <v>10</v>
      </c>
      <c r="F3314" s="194">
        <v>3053.8780000000002</v>
      </c>
      <c r="G3314" t="s">
        <v>335</v>
      </c>
      <c r="H3314" s="79">
        <f t="shared" si="457"/>
        <v>5.8828014380036604E-2</v>
      </c>
      <c r="J3314" s="67">
        <v>1000</v>
      </c>
      <c r="K3314" s="119">
        <f>D3319</f>
        <v>5138.201</v>
      </c>
      <c r="L3314" s="119">
        <f>D3320</f>
        <v>501.36099999999999</v>
      </c>
      <c r="M3314" s="18">
        <f t="shared" si="465"/>
        <v>9.2485055678443278</v>
      </c>
      <c r="N3314" s="73">
        <f>D3321</f>
        <v>1493.9190000000001</v>
      </c>
      <c r="O3314" s="22">
        <f t="shared" si="466"/>
        <v>2.4394107043286817</v>
      </c>
    </row>
    <row r="3315" spans="1:15" ht="20" thickBot="1" x14ac:dyDescent="0.3">
      <c r="A3315" t="s">
        <v>1002</v>
      </c>
      <c r="B3315" t="s">
        <v>333</v>
      </c>
      <c r="C3315">
        <v>25</v>
      </c>
      <c r="D3315" s="194">
        <v>71124.099000000002</v>
      </c>
      <c r="E3315" t="s">
        <v>10</v>
      </c>
      <c r="F3315" s="194">
        <v>1668.424</v>
      </c>
      <c r="G3315" t="s">
        <v>335</v>
      </c>
      <c r="H3315" s="79">
        <f t="shared" si="457"/>
        <v>2.3457928092698931E-2</v>
      </c>
      <c r="J3315" s="68">
        <v>100</v>
      </c>
      <c r="K3315" s="120">
        <f>D3322</f>
        <v>484.41699999999997</v>
      </c>
      <c r="L3315" s="120">
        <f>D3323</f>
        <v>69.947999999999993</v>
      </c>
      <c r="M3315" s="19">
        <f t="shared" si="465"/>
        <v>5.9253874306627781</v>
      </c>
      <c r="N3315" s="74">
        <f>D3324</f>
        <v>212.08199999999999</v>
      </c>
      <c r="O3315" s="23">
        <f t="shared" si="466"/>
        <v>1.2841023754962704</v>
      </c>
    </row>
    <row r="3316" spans="1:15" ht="20" thickBot="1" x14ac:dyDescent="0.3">
      <c r="A3316" t="s">
        <v>1003</v>
      </c>
      <c r="B3316" t="s">
        <v>333</v>
      </c>
      <c r="C3316">
        <v>25</v>
      </c>
      <c r="D3316" s="194">
        <v>51402.004999999997</v>
      </c>
      <c r="E3316" t="s">
        <v>10</v>
      </c>
      <c r="F3316" s="194">
        <v>1331.2470000000001</v>
      </c>
      <c r="G3316" t="s">
        <v>335</v>
      </c>
      <c r="H3316" s="79">
        <f t="shared" si="457"/>
        <v>2.5898736829429128E-2</v>
      </c>
    </row>
    <row r="3317" spans="1:15" x14ac:dyDescent="0.25">
      <c r="A3317" t="s">
        <v>1004</v>
      </c>
      <c r="B3317" t="s">
        <v>333</v>
      </c>
      <c r="C3317">
        <v>25</v>
      </c>
      <c r="D3317" s="194">
        <v>9306.4220000000005</v>
      </c>
      <c r="E3317" t="s">
        <v>10</v>
      </c>
      <c r="F3317" s="194">
        <v>234.142</v>
      </c>
      <c r="G3317" t="s">
        <v>335</v>
      </c>
      <c r="H3317" s="79">
        <f t="shared" si="457"/>
        <v>2.515918577515612E-2</v>
      </c>
      <c r="J3317" s="105" t="str">
        <f>A3308</f>
        <v>take2_90</v>
      </c>
      <c r="K3317" s="72" t="s">
        <v>341</v>
      </c>
      <c r="L3317" s="72" t="s">
        <v>342</v>
      </c>
      <c r="M3317" s="21" t="s">
        <v>162</v>
      </c>
    </row>
    <row r="3318" spans="1:15" x14ac:dyDescent="0.25">
      <c r="A3318" t="s">
        <v>1005</v>
      </c>
      <c r="B3318" t="s">
        <v>333</v>
      </c>
      <c r="C3318">
        <v>25</v>
      </c>
      <c r="D3318" s="194">
        <v>14091.263000000001</v>
      </c>
      <c r="E3318" t="s">
        <v>10</v>
      </c>
      <c r="F3318" s="194">
        <v>258.83699999999999</v>
      </c>
      <c r="G3318" t="s">
        <v>335</v>
      </c>
      <c r="H3318" s="79">
        <f t="shared" si="457"/>
        <v>1.8368616070823459E-2</v>
      </c>
      <c r="J3318" s="6">
        <v>100000</v>
      </c>
      <c r="K3318" s="119">
        <f>D3311</f>
        <v>150281.78700000001</v>
      </c>
      <c r="L3318" s="119">
        <f>D3312</f>
        <v>196103.29</v>
      </c>
      <c r="M3318" s="22">
        <f>(K3318/L3318-1)</f>
        <v>-0.23366004211352087</v>
      </c>
    </row>
    <row r="3319" spans="1:15" x14ac:dyDescent="0.25">
      <c r="A3319" t="s">
        <v>1006</v>
      </c>
      <c r="B3319" t="s">
        <v>333</v>
      </c>
      <c r="C3319">
        <v>25</v>
      </c>
      <c r="D3319" s="194">
        <v>5138.201</v>
      </c>
      <c r="E3319" t="s">
        <v>10</v>
      </c>
      <c r="F3319" s="194">
        <v>103.27</v>
      </c>
      <c r="G3319" t="s">
        <v>335</v>
      </c>
      <c r="H3319" s="79">
        <f t="shared" si="457"/>
        <v>2.0098474154670087E-2</v>
      </c>
      <c r="J3319" s="6">
        <v>50000</v>
      </c>
      <c r="K3319" s="119">
        <f>D3314</f>
        <v>51911.968000000001</v>
      </c>
      <c r="L3319" s="119">
        <f>D3315</f>
        <v>71124.099000000002</v>
      </c>
      <c r="M3319" s="22">
        <f t="shared" ref="M3319:M3322" si="467">(K3319/L3319-1)</f>
        <v>-0.27012125665029518</v>
      </c>
    </row>
    <row r="3320" spans="1:15" x14ac:dyDescent="0.25">
      <c r="A3320" t="s">
        <v>1007</v>
      </c>
      <c r="B3320" t="s">
        <v>333</v>
      </c>
      <c r="C3320">
        <v>25</v>
      </c>
      <c r="D3320" s="194">
        <v>501.36099999999999</v>
      </c>
      <c r="E3320" t="s">
        <v>10</v>
      </c>
      <c r="F3320" s="194">
        <v>11.773999999999999</v>
      </c>
      <c r="G3320" t="s">
        <v>335</v>
      </c>
      <c r="H3320" s="79">
        <f t="shared" si="457"/>
        <v>2.3484076344191109E-2</v>
      </c>
      <c r="J3320" s="6">
        <v>10000</v>
      </c>
      <c r="K3320" s="119">
        <f>D3317</f>
        <v>9306.4220000000005</v>
      </c>
      <c r="L3320" s="119">
        <f>D3318</f>
        <v>14091.263000000001</v>
      </c>
      <c r="M3320" s="22">
        <f t="shared" si="467"/>
        <v>-0.33956083283663074</v>
      </c>
    </row>
    <row r="3321" spans="1:15" x14ac:dyDescent="0.25">
      <c r="A3321" t="s">
        <v>1008</v>
      </c>
      <c r="B3321" t="s">
        <v>333</v>
      </c>
      <c r="C3321">
        <v>25</v>
      </c>
      <c r="D3321" s="194">
        <v>1493.9190000000001</v>
      </c>
      <c r="E3321" t="s">
        <v>10</v>
      </c>
      <c r="F3321" s="194">
        <v>33.290999999999997</v>
      </c>
      <c r="G3321" t="s">
        <v>335</v>
      </c>
      <c r="H3321" s="79">
        <f t="shared" si="457"/>
        <v>2.22843407172678E-2</v>
      </c>
      <c r="J3321" s="67">
        <v>1000</v>
      </c>
      <c r="K3321" s="119">
        <f>D3320</f>
        <v>501.36099999999999</v>
      </c>
      <c r="L3321" s="119">
        <f>D3321</f>
        <v>1493.9190000000001</v>
      </c>
      <c r="M3321" s="22">
        <f t="shared" si="467"/>
        <v>-0.66439880609323532</v>
      </c>
    </row>
    <row r="3322" spans="1:15" ht="20" thickBot="1" x14ac:dyDescent="0.3">
      <c r="A3322" t="s">
        <v>1009</v>
      </c>
      <c r="B3322" t="s">
        <v>333</v>
      </c>
      <c r="C3322">
        <v>25</v>
      </c>
      <c r="D3322" s="194">
        <v>484.41699999999997</v>
      </c>
      <c r="E3322" t="s">
        <v>10</v>
      </c>
      <c r="F3322" s="194">
        <v>15.551</v>
      </c>
      <c r="G3322" t="s">
        <v>335</v>
      </c>
      <c r="H3322" s="79">
        <f t="shared" si="457"/>
        <v>3.2102506724578206E-2</v>
      </c>
      <c r="J3322" s="68">
        <v>100</v>
      </c>
      <c r="K3322" s="120">
        <f>D3323</f>
        <v>69.947999999999993</v>
      </c>
      <c r="L3322" s="120">
        <f>D3324</f>
        <v>212.08199999999999</v>
      </c>
      <c r="M3322" s="23">
        <f t="shared" si="467"/>
        <v>-0.67018417404588793</v>
      </c>
    </row>
    <row r="3323" spans="1:15" x14ac:dyDescent="0.25">
      <c r="A3323" t="s">
        <v>1010</v>
      </c>
      <c r="B3323" t="s">
        <v>333</v>
      </c>
      <c r="C3323">
        <v>25</v>
      </c>
      <c r="D3323" s="194">
        <v>69.947999999999993</v>
      </c>
      <c r="E3323" t="s">
        <v>10</v>
      </c>
      <c r="F3323" s="194">
        <v>1.722</v>
      </c>
      <c r="G3323" t="s">
        <v>335</v>
      </c>
      <c r="H3323" s="79">
        <f t="shared" ref="H3323:H3386" si="468">F3323/D3323</f>
        <v>2.461828787098988E-2</v>
      </c>
    </row>
    <row r="3324" spans="1:15" x14ac:dyDescent="0.25">
      <c r="A3324" t="s">
        <v>1011</v>
      </c>
      <c r="B3324" t="s">
        <v>333</v>
      </c>
      <c r="C3324">
        <v>25</v>
      </c>
      <c r="D3324" s="194">
        <v>212.08199999999999</v>
      </c>
      <c r="E3324" t="s">
        <v>10</v>
      </c>
      <c r="F3324" s="194">
        <v>6.548</v>
      </c>
      <c r="G3324" t="s">
        <v>335</v>
      </c>
      <c r="H3324" s="79">
        <f t="shared" si="468"/>
        <v>3.0874850293754304E-2</v>
      </c>
    </row>
    <row r="3325" spans="1:15" x14ac:dyDescent="0.25">
      <c r="A3325"/>
      <c r="B3325"/>
      <c r="C3325"/>
      <c r="D3325" s="194"/>
      <c r="E3325"/>
      <c r="F3325" s="194"/>
      <c r="G3325"/>
      <c r="H3325" s="79" t="e">
        <f t="shared" si="468"/>
        <v>#DIV/0!</v>
      </c>
    </row>
    <row r="3326" spans="1:15" x14ac:dyDescent="0.25">
      <c r="A3326" t="s">
        <v>881</v>
      </c>
      <c r="B3326"/>
      <c r="C3326"/>
      <c r="D3326" s="194"/>
      <c r="E3326"/>
      <c r="F3326" s="194"/>
      <c r="G3326"/>
      <c r="H3326" s="79" t="e">
        <f t="shared" si="468"/>
        <v>#DIV/0!</v>
      </c>
    </row>
    <row r="3327" spans="1:15" ht="20" thickBot="1" x14ac:dyDescent="0.3">
      <c r="A3327" t="s">
        <v>2</v>
      </c>
      <c r="B3327" t="s">
        <v>3</v>
      </c>
      <c r="C3327" t="s">
        <v>4</v>
      </c>
      <c r="D3327" s="194" t="s">
        <v>5</v>
      </c>
      <c r="E3327" t="s">
        <v>6</v>
      </c>
      <c r="F3327" s="194" t="s">
        <v>7</v>
      </c>
      <c r="G3327"/>
      <c r="H3327" s="79" t="e">
        <f t="shared" si="468"/>
        <v>#VALUE!</v>
      </c>
    </row>
    <row r="3328" spans="1:15" x14ac:dyDescent="0.25">
      <c r="A3328" t="s">
        <v>882</v>
      </c>
      <c r="B3328" t="s">
        <v>333</v>
      </c>
      <c r="C3328">
        <v>25</v>
      </c>
      <c r="D3328" s="194">
        <v>4622183.7470000004</v>
      </c>
      <c r="E3328" t="s">
        <v>10</v>
      </c>
      <c r="F3328" s="194">
        <v>529828.21699999995</v>
      </c>
      <c r="G3328" t="s">
        <v>335</v>
      </c>
      <c r="H3328" s="79">
        <f t="shared" si="468"/>
        <v>0.11462725110049587</v>
      </c>
      <c r="J3328" s="105" t="str">
        <f>A3326</f>
        <v>groupBy2_10</v>
      </c>
      <c r="K3328" s="72" t="s">
        <v>340</v>
      </c>
      <c r="L3328" s="72" t="s">
        <v>341</v>
      </c>
      <c r="M3328" s="17" t="s">
        <v>162</v>
      </c>
      <c r="N3328" s="72" t="s">
        <v>342</v>
      </c>
      <c r="O3328" s="21" t="s">
        <v>162</v>
      </c>
    </row>
    <row r="3329" spans="1:15" x14ac:dyDescent="0.25">
      <c r="A3329" t="s">
        <v>883</v>
      </c>
      <c r="B3329" t="s">
        <v>333</v>
      </c>
      <c r="C3329">
        <v>25</v>
      </c>
      <c r="D3329" s="194">
        <v>4016599.963</v>
      </c>
      <c r="E3329" t="s">
        <v>10</v>
      </c>
      <c r="F3329" s="194">
        <v>393360.15399999998</v>
      </c>
      <c r="G3329" t="s">
        <v>335</v>
      </c>
      <c r="H3329" s="79">
        <f t="shared" si="468"/>
        <v>9.7933614904034197E-2</v>
      </c>
      <c r="J3329" s="6">
        <v>100000</v>
      </c>
      <c r="K3329" s="119">
        <f>D3328</f>
        <v>4622183.7470000004</v>
      </c>
      <c r="L3329" s="119">
        <f>D3329</f>
        <v>4016599.963</v>
      </c>
      <c r="M3329" s="18">
        <f>(K3329/L3329-1)</f>
        <v>0.15077025085358264</v>
      </c>
      <c r="N3329" s="73">
        <f>D3330</f>
        <v>6323735.4960000003</v>
      </c>
      <c r="O3329" s="22">
        <f>(K3329/N3329-1)</f>
        <v>-0.26907383303370214</v>
      </c>
    </row>
    <row r="3330" spans="1:15" x14ac:dyDescent="0.25">
      <c r="A3330" t="s">
        <v>884</v>
      </c>
      <c r="B3330" t="s">
        <v>333</v>
      </c>
      <c r="C3330">
        <v>25</v>
      </c>
      <c r="D3330" s="194">
        <v>6323735.4960000003</v>
      </c>
      <c r="E3330" t="s">
        <v>10</v>
      </c>
      <c r="F3330" s="194">
        <v>1054665.4879999999</v>
      </c>
      <c r="G3330" t="s">
        <v>335</v>
      </c>
      <c r="H3330" s="79">
        <f t="shared" si="468"/>
        <v>0.16677887439585595</v>
      </c>
      <c r="J3330" s="6">
        <v>50000</v>
      </c>
      <c r="K3330" s="119">
        <f>D3331</f>
        <v>1089985.8810000001</v>
      </c>
      <c r="L3330" s="119">
        <f>D3332</f>
        <v>1066368.1869999999</v>
      </c>
      <c r="M3330" s="18">
        <f t="shared" ref="M3330:M3333" si="469">(K3330/L3330-1)</f>
        <v>2.2147785622190774E-2</v>
      </c>
      <c r="N3330" s="73">
        <f>D3333</f>
        <v>2391814.8470000001</v>
      </c>
      <c r="O3330" s="22">
        <f t="shared" ref="O3330:O3333" si="470">(K3330/N3330-1)</f>
        <v>-0.54428500919828937</v>
      </c>
    </row>
    <row r="3331" spans="1:15" x14ac:dyDescent="0.25">
      <c r="A3331" t="s">
        <v>885</v>
      </c>
      <c r="B3331" t="s">
        <v>333</v>
      </c>
      <c r="C3331">
        <v>25</v>
      </c>
      <c r="D3331" s="194">
        <v>1089985.8810000001</v>
      </c>
      <c r="E3331" t="s">
        <v>10</v>
      </c>
      <c r="F3331" s="194">
        <v>73955.56</v>
      </c>
      <c r="G3331" t="s">
        <v>335</v>
      </c>
      <c r="H3331" s="79">
        <f t="shared" si="468"/>
        <v>6.7850016490259471E-2</v>
      </c>
      <c r="J3331" s="6">
        <v>10000</v>
      </c>
      <c r="K3331" s="119">
        <f>D3334</f>
        <v>152609.39499999999</v>
      </c>
      <c r="L3331" s="119">
        <f>D3335</f>
        <v>148282.55100000001</v>
      </c>
      <c r="M3331" s="18">
        <f t="shared" si="469"/>
        <v>2.9179724592140133E-2</v>
      </c>
      <c r="N3331" s="73">
        <f>D3336</f>
        <v>215706.02499999999</v>
      </c>
      <c r="O3331" s="22">
        <f t="shared" si="470"/>
        <v>-0.29251213543988863</v>
      </c>
    </row>
    <row r="3332" spans="1:15" x14ac:dyDescent="0.25">
      <c r="A3332" t="s">
        <v>886</v>
      </c>
      <c r="B3332" t="s">
        <v>333</v>
      </c>
      <c r="C3332">
        <v>25</v>
      </c>
      <c r="D3332" s="194">
        <v>1066368.1869999999</v>
      </c>
      <c r="E3332" t="s">
        <v>10</v>
      </c>
      <c r="F3332" s="194">
        <v>71798.043999999994</v>
      </c>
      <c r="G3332" t="s">
        <v>335</v>
      </c>
      <c r="H3332" s="79">
        <f t="shared" si="468"/>
        <v>6.7329506708174142E-2</v>
      </c>
      <c r="J3332" s="67">
        <v>1000</v>
      </c>
      <c r="K3332" s="119">
        <f>D3337</f>
        <v>10214.575999999999</v>
      </c>
      <c r="L3332" s="119">
        <f>D3338</f>
        <v>10607.973</v>
      </c>
      <c r="M3332" s="18">
        <f t="shared" si="469"/>
        <v>-3.7085030288067311E-2</v>
      </c>
      <c r="N3332" s="73">
        <f>D3339</f>
        <v>16371.652</v>
      </c>
      <c r="O3332" s="22">
        <f t="shared" si="470"/>
        <v>-0.37608153410541589</v>
      </c>
    </row>
    <row r="3333" spans="1:15" ht="20" thickBot="1" x14ac:dyDescent="0.3">
      <c r="A3333" t="s">
        <v>887</v>
      </c>
      <c r="B3333" t="s">
        <v>333</v>
      </c>
      <c r="C3333">
        <v>25</v>
      </c>
      <c r="D3333" s="194">
        <v>2391814.8470000001</v>
      </c>
      <c r="E3333" t="s">
        <v>10</v>
      </c>
      <c r="F3333" s="194">
        <v>310925.07400000002</v>
      </c>
      <c r="G3333" t="s">
        <v>335</v>
      </c>
      <c r="H3333" s="79">
        <f t="shared" si="468"/>
        <v>0.1299954611411441</v>
      </c>
      <c r="J3333" s="68">
        <v>100</v>
      </c>
      <c r="K3333" s="120">
        <f>D3340</f>
        <v>946.81600000000003</v>
      </c>
      <c r="L3333" s="120">
        <f>D3341</f>
        <v>913.774</v>
      </c>
      <c r="M3333" s="19">
        <f t="shared" si="469"/>
        <v>3.6159925758447953E-2</v>
      </c>
      <c r="N3333" s="74">
        <f>D3342</f>
        <v>1723.7629999999999</v>
      </c>
      <c r="O3333" s="23">
        <f t="shared" si="470"/>
        <v>-0.45072727515325484</v>
      </c>
    </row>
    <row r="3334" spans="1:15" ht="20" thickBot="1" x14ac:dyDescent="0.3">
      <c r="A3334" t="s">
        <v>888</v>
      </c>
      <c r="B3334" t="s">
        <v>333</v>
      </c>
      <c r="C3334">
        <v>25</v>
      </c>
      <c r="D3334" s="194">
        <v>152609.39499999999</v>
      </c>
      <c r="E3334" t="s">
        <v>10</v>
      </c>
      <c r="F3334" s="194">
        <v>5099.6769999999997</v>
      </c>
      <c r="G3334" t="s">
        <v>335</v>
      </c>
      <c r="H3334" s="79">
        <f t="shared" si="468"/>
        <v>3.341653375927478E-2</v>
      </c>
    </row>
    <row r="3335" spans="1:15" x14ac:dyDescent="0.25">
      <c r="A3335" t="s">
        <v>889</v>
      </c>
      <c r="B3335" t="s">
        <v>333</v>
      </c>
      <c r="C3335">
        <v>25</v>
      </c>
      <c r="D3335" s="194">
        <v>148282.55100000001</v>
      </c>
      <c r="E3335" t="s">
        <v>10</v>
      </c>
      <c r="F3335" s="194">
        <v>7025.0810000000001</v>
      </c>
      <c r="G3335" t="s">
        <v>335</v>
      </c>
      <c r="H3335" s="79">
        <f t="shared" si="468"/>
        <v>4.7376316044090719E-2</v>
      </c>
      <c r="J3335" s="105" t="str">
        <f>A3326</f>
        <v>groupBy2_10</v>
      </c>
      <c r="K3335" s="72" t="s">
        <v>341</v>
      </c>
      <c r="L3335" s="72" t="s">
        <v>342</v>
      </c>
      <c r="M3335" s="21" t="s">
        <v>162</v>
      </c>
    </row>
    <row r="3336" spans="1:15" x14ac:dyDescent="0.25">
      <c r="A3336" t="s">
        <v>890</v>
      </c>
      <c r="B3336" t="s">
        <v>333</v>
      </c>
      <c r="C3336">
        <v>25</v>
      </c>
      <c r="D3336" s="194">
        <v>215706.02499999999</v>
      </c>
      <c r="E3336" t="s">
        <v>10</v>
      </c>
      <c r="F3336" s="194">
        <v>5836.9709999999995</v>
      </c>
      <c r="G3336" t="s">
        <v>335</v>
      </c>
      <c r="H3336" s="79">
        <f t="shared" si="468"/>
        <v>2.7059842208858095E-2</v>
      </c>
      <c r="J3336" s="6">
        <v>100000</v>
      </c>
      <c r="K3336" s="119">
        <f>D3329</f>
        <v>4016599.963</v>
      </c>
      <c r="L3336" s="119">
        <f>D3330</f>
        <v>6323735.4960000003</v>
      </c>
      <c r="M3336" s="22">
        <f>(K3336/L3336-1)</f>
        <v>-0.36483745002607237</v>
      </c>
    </row>
    <row r="3337" spans="1:15" x14ac:dyDescent="0.25">
      <c r="A3337" t="s">
        <v>891</v>
      </c>
      <c r="B3337" t="s">
        <v>333</v>
      </c>
      <c r="C3337">
        <v>25</v>
      </c>
      <c r="D3337" s="194">
        <v>10214.575999999999</v>
      </c>
      <c r="E3337" t="s">
        <v>10</v>
      </c>
      <c r="F3337" s="194">
        <v>298.52300000000002</v>
      </c>
      <c r="G3337" t="s">
        <v>335</v>
      </c>
      <c r="H3337" s="79">
        <f t="shared" si="468"/>
        <v>2.9225197404180069E-2</v>
      </c>
      <c r="J3337" s="6">
        <v>50000</v>
      </c>
      <c r="K3337" s="119">
        <f>D3332</f>
        <v>1066368.1869999999</v>
      </c>
      <c r="L3337" s="119">
        <f>D3333</f>
        <v>2391814.8470000001</v>
      </c>
      <c r="M3337" s="22">
        <f t="shared" ref="M3337:M3340" si="471">(K3337/L3337-1)</f>
        <v>-0.55415939141881254</v>
      </c>
    </row>
    <row r="3338" spans="1:15" x14ac:dyDescent="0.25">
      <c r="A3338" t="s">
        <v>892</v>
      </c>
      <c r="B3338" t="s">
        <v>333</v>
      </c>
      <c r="C3338">
        <v>25</v>
      </c>
      <c r="D3338" s="194">
        <v>10607.973</v>
      </c>
      <c r="E3338" t="s">
        <v>10</v>
      </c>
      <c r="F3338" s="194">
        <v>260.85000000000002</v>
      </c>
      <c r="G3338" t="s">
        <v>335</v>
      </c>
      <c r="H3338" s="79">
        <f t="shared" si="468"/>
        <v>2.4589994714353063E-2</v>
      </c>
      <c r="J3338" s="6">
        <v>10000</v>
      </c>
      <c r="K3338" s="119">
        <f>D3335</f>
        <v>148282.55100000001</v>
      </c>
      <c r="L3338" s="119">
        <f>D3336</f>
        <v>215706.02499999999</v>
      </c>
      <c r="M3338" s="22">
        <f t="shared" si="471"/>
        <v>-0.31257112081129856</v>
      </c>
    </row>
    <row r="3339" spans="1:15" x14ac:dyDescent="0.25">
      <c r="A3339" t="s">
        <v>893</v>
      </c>
      <c r="B3339" t="s">
        <v>333</v>
      </c>
      <c r="C3339">
        <v>25</v>
      </c>
      <c r="D3339" s="194">
        <v>16371.652</v>
      </c>
      <c r="E3339" t="s">
        <v>10</v>
      </c>
      <c r="F3339" s="194">
        <v>405.80099999999999</v>
      </c>
      <c r="G3339" t="s">
        <v>335</v>
      </c>
      <c r="H3339" s="79">
        <f t="shared" si="468"/>
        <v>2.478680831964911E-2</v>
      </c>
      <c r="J3339" s="67">
        <v>1000</v>
      </c>
      <c r="K3339" s="119">
        <f>D3338</f>
        <v>10607.973</v>
      </c>
      <c r="L3339" s="119">
        <f>D3339</f>
        <v>16371.652</v>
      </c>
      <c r="M3339" s="22">
        <f t="shared" si="471"/>
        <v>-0.35205237687681123</v>
      </c>
    </row>
    <row r="3340" spans="1:15" ht="20" thickBot="1" x14ac:dyDescent="0.3">
      <c r="A3340" t="s">
        <v>894</v>
      </c>
      <c r="B3340" t="s">
        <v>333</v>
      </c>
      <c r="C3340">
        <v>25</v>
      </c>
      <c r="D3340" s="194">
        <v>946.81600000000003</v>
      </c>
      <c r="E3340" t="s">
        <v>10</v>
      </c>
      <c r="F3340" s="194">
        <v>29.19</v>
      </c>
      <c r="G3340" t="s">
        <v>335</v>
      </c>
      <c r="H3340" s="79">
        <f t="shared" si="468"/>
        <v>3.0829643774503177E-2</v>
      </c>
      <c r="J3340" s="68">
        <v>100</v>
      </c>
      <c r="K3340" s="120">
        <f>D3341</f>
        <v>913.774</v>
      </c>
      <c r="L3340" s="120">
        <f>D3342</f>
        <v>1723.7629999999999</v>
      </c>
      <c r="M3340" s="23">
        <f t="shared" si="471"/>
        <v>-0.46989580354143812</v>
      </c>
    </row>
    <row r="3341" spans="1:15" x14ac:dyDescent="0.25">
      <c r="A3341" t="s">
        <v>895</v>
      </c>
      <c r="B3341" t="s">
        <v>333</v>
      </c>
      <c r="C3341">
        <v>25</v>
      </c>
      <c r="D3341" s="194">
        <v>913.774</v>
      </c>
      <c r="E3341" t="s">
        <v>10</v>
      </c>
      <c r="F3341" s="194">
        <v>23.382999999999999</v>
      </c>
      <c r="G3341" t="s">
        <v>335</v>
      </c>
      <c r="H3341" s="79">
        <f t="shared" si="468"/>
        <v>2.5589478361170266E-2</v>
      </c>
    </row>
    <row r="3342" spans="1:15" x14ac:dyDescent="0.25">
      <c r="A3342" t="s">
        <v>896</v>
      </c>
      <c r="B3342" t="s">
        <v>333</v>
      </c>
      <c r="C3342">
        <v>25</v>
      </c>
      <c r="D3342" s="194">
        <v>1723.7629999999999</v>
      </c>
      <c r="E3342" t="s">
        <v>10</v>
      </c>
      <c r="F3342" s="194">
        <v>85.887</v>
      </c>
      <c r="G3342" t="s">
        <v>335</v>
      </c>
      <c r="H3342" s="79">
        <f t="shared" si="468"/>
        <v>4.9825295008652584E-2</v>
      </c>
    </row>
    <row r="3343" spans="1:15" x14ac:dyDescent="0.25">
      <c r="A3343"/>
      <c r="B3343"/>
      <c r="C3343"/>
      <c r="D3343" s="194"/>
      <c r="E3343"/>
      <c r="F3343" s="194"/>
      <c r="G3343"/>
      <c r="H3343" s="79" t="e">
        <f t="shared" si="468"/>
        <v>#DIV/0!</v>
      </c>
    </row>
    <row r="3344" spans="1:15" x14ac:dyDescent="0.25">
      <c r="A3344" t="s">
        <v>897</v>
      </c>
      <c r="B3344"/>
      <c r="C3344"/>
      <c r="D3344" s="194"/>
      <c r="E3344"/>
      <c r="F3344" s="194"/>
      <c r="G3344"/>
      <c r="H3344" s="79" t="e">
        <f t="shared" si="468"/>
        <v>#DIV/0!</v>
      </c>
    </row>
    <row r="3345" spans="1:15" ht="20" thickBot="1" x14ac:dyDescent="0.3">
      <c r="A3345" t="s">
        <v>2</v>
      </c>
      <c r="B3345" t="s">
        <v>3</v>
      </c>
      <c r="C3345" t="s">
        <v>4</v>
      </c>
      <c r="D3345" s="194" t="s">
        <v>5</v>
      </c>
      <c r="E3345" t="s">
        <v>6</v>
      </c>
      <c r="F3345" s="194" t="s">
        <v>7</v>
      </c>
      <c r="G3345"/>
      <c r="H3345" s="79" t="e">
        <f t="shared" si="468"/>
        <v>#VALUE!</v>
      </c>
    </row>
    <row r="3346" spans="1:15" x14ac:dyDescent="0.25">
      <c r="A3346" t="s">
        <v>898</v>
      </c>
      <c r="B3346" t="s">
        <v>333</v>
      </c>
      <c r="C3346">
        <v>25</v>
      </c>
      <c r="D3346" s="194">
        <v>62870715.314000003</v>
      </c>
      <c r="E3346" t="s">
        <v>10</v>
      </c>
      <c r="F3346" s="194">
        <v>6789107.3140000002</v>
      </c>
      <c r="G3346" t="s">
        <v>335</v>
      </c>
      <c r="H3346" s="79">
        <f t="shared" si="468"/>
        <v>0.10798520869521915</v>
      </c>
      <c r="J3346" s="105" t="str">
        <f>A3344</f>
        <v>groupBy2_90</v>
      </c>
      <c r="K3346" s="72" t="s">
        <v>340</v>
      </c>
      <c r="L3346" s="72" t="s">
        <v>341</v>
      </c>
      <c r="M3346" s="17" t="s">
        <v>162</v>
      </c>
      <c r="N3346" s="72" t="s">
        <v>342</v>
      </c>
      <c r="O3346" s="21" t="s">
        <v>162</v>
      </c>
    </row>
    <row r="3347" spans="1:15" x14ac:dyDescent="0.25">
      <c r="A3347" t="s">
        <v>899</v>
      </c>
      <c r="B3347" t="s">
        <v>333</v>
      </c>
      <c r="C3347">
        <v>25</v>
      </c>
      <c r="D3347" s="194">
        <v>33824607.571000002</v>
      </c>
      <c r="E3347" t="s">
        <v>10</v>
      </c>
      <c r="F3347" s="194">
        <v>3418992.0079999999</v>
      </c>
      <c r="G3347" t="s">
        <v>335</v>
      </c>
      <c r="H3347" s="79">
        <f t="shared" si="468"/>
        <v>0.10108001994770577</v>
      </c>
      <c r="J3347" s="6">
        <v>100000</v>
      </c>
      <c r="K3347" s="119">
        <f>D3346</f>
        <v>62870715.314000003</v>
      </c>
      <c r="L3347" s="119">
        <f>D3347</f>
        <v>33824607.571000002</v>
      </c>
      <c r="M3347" s="18">
        <f>(K3347/L3347-1)</f>
        <v>0.85872711699700788</v>
      </c>
      <c r="N3347" s="73">
        <f>D3348</f>
        <v>51504929.881999999</v>
      </c>
      <c r="O3347" s="22">
        <f>(K3347/N3347-1)</f>
        <v>0.22067373857297756</v>
      </c>
    </row>
    <row r="3348" spans="1:15" x14ac:dyDescent="0.25">
      <c r="A3348" t="s">
        <v>900</v>
      </c>
      <c r="B3348" t="s">
        <v>333</v>
      </c>
      <c r="C3348">
        <v>25</v>
      </c>
      <c r="D3348" s="194">
        <v>51504929.881999999</v>
      </c>
      <c r="E3348" t="s">
        <v>10</v>
      </c>
      <c r="F3348" s="194">
        <v>8895470.8090000004</v>
      </c>
      <c r="G3348" t="s">
        <v>335</v>
      </c>
      <c r="H3348" s="79">
        <f t="shared" si="468"/>
        <v>0.17271105560923788</v>
      </c>
      <c r="J3348" s="6">
        <v>50000</v>
      </c>
      <c r="K3348" s="119">
        <f>D3349</f>
        <v>3962473.1919999998</v>
      </c>
      <c r="L3348" s="119">
        <f>D3350</f>
        <v>3565701.645</v>
      </c>
      <c r="M3348" s="18">
        <f t="shared" ref="M3348:M3351" si="472">(K3348/L3348-1)</f>
        <v>0.11127446615068659</v>
      </c>
      <c r="N3348" s="73">
        <f>D3351</f>
        <v>4355200.4740000004</v>
      </c>
      <c r="O3348" s="22">
        <f t="shared" ref="O3348:O3351" si="473">(K3348/N3348-1)</f>
        <v>-9.0174329366588979E-2</v>
      </c>
    </row>
    <row r="3349" spans="1:15" x14ac:dyDescent="0.25">
      <c r="A3349" t="s">
        <v>901</v>
      </c>
      <c r="B3349" t="s">
        <v>333</v>
      </c>
      <c r="C3349">
        <v>25</v>
      </c>
      <c r="D3349" s="194">
        <v>3962473.1919999998</v>
      </c>
      <c r="E3349" t="s">
        <v>10</v>
      </c>
      <c r="F3349" s="194">
        <v>177218.446</v>
      </c>
      <c r="G3349" t="s">
        <v>335</v>
      </c>
      <c r="H3349" s="79">
        <f t="shared" si="468"/>
        <v>4.4724200622427837E-2</v>
      </c>
      <c r="J3349" s="6">
        <v>10000</v>
      </c>
      <c r="K3349" s="119">
        <f>D3352</f>
        <v>541118.49199999997</v>
      </c>
      <c r="L3349" s="119">
        <f>D3353</f>
        <v>481684.99400000001</v>
      </c>
      <c r="M3349" s="18">
        <f t="shared" si="472"/>
        <v>0.12338665048801567</v>
      </c>
      <c r="N3349" s="73">
        <f>D3354</f>
        <v>496596.16</v>
      </c>
      <c r="O3349" s="22">
        <f t="shared" si="473"/>
        <v>8.965500659529857E-2</v>
      </c>
    </row>
    <row r="3350" spans="1:15" x14ac:dyDescent="0.25">
      <c r="A3350" t="s">
        <v>902</v>
      </c>
      <c r="B3350" t="s">
        <v>333</v>
      </c>
      <c r="C3350">
        <v>25</v>
      </c>
      <c r="D3350" s="194">
        <v>3565701.645</v>
      </c>
      <c r="E3350" t="s">
        <v>10</v>
      </c>
      <c r="F3350" s="194">
        <v>189152.622</v>
      </c>
      <c r="G3350" t="s">
        <v>335</v>
      </c>
      <c r="H3350" s="79">
        <f t="shared" si="468"/>
        <v>5.3047798394809331E-2</v>
      </c>
      <c r="J3350" s="67">
        <v>1000</v>
      </c>
      <c r="K3350" s="119">
        <f>D3355</f>
        <v>36936.862999999998</v>
      </c>
      <c r="L3350" s="119">
        <f>D3356</f>
        <v>36251.589</v>
      </c>
      <c r="M3350" s="18">
        <f t="shared" si="472"/>
        <v>1.8903281729250487E-2</v>
      </c>
      <c r="N3350" s="73">
        <f>D3357</f>
        <v>35836.048999999999</v>
      </c>
      <c r="O3350" s="22">
        <f t="shared" si="473"/>
        <v>3.0718062697146165E-2</v>
      </c>
    </row>
    <row r="3351" spans="1:15" ht="20" thickBot="1" x14ac:dyDescent="0.3">
      <c r="A3351" t="s">
        <v>903</v>
      </c>
      <c r="B3351" t="s">
        <v>333</v>
      </c>
      <c r="C3351">
        <v>25</v>
      </c>
      <c r="D3351" s="194">
        <v>4355200.4740000004</v>
      </c>
      <c r="E3351" t="s">
        <v>10</v>
      </c>
      <c r="F3351" s="194">
        <v>203813.89600000001</v>
      </c>
      <c r="G3351" t="s">
        <v>335</v>
      </c>
      <c r="H3351" s="79">
        <f t="shared" si="468"/>
        <v>4.6797821872206193E-2</v>
      </c>
      <c r="J3351" s="68">
        <v>100</v>
      </c>
      <c r="K3351" s="120">
        <f>D3358</f>
        <v>3359.509</v>
      </c>
      <c r="L3351" s="120">
        <f>D3359</f>
        <v>3455.2559999999999</v>
      </c>
      <c r="M3351" s="19">
        <f t="shared" si="472"/>
        <v>-2.7710537222133458E-2</v>
      </c>
      <c r="N3351" s="74">
        <f>D3360</f>
        <v>3022.5360000000001</v>
      </c>
      <c r="O3351" s="23">
        <f t="shared" si="473"/>
        <v>0.11148684416000343</v>
      </c>
    </row>
    <row r="3352" spans="1:15" ht="20" thickBot="1" x14ac:dyDescent="0.3">
      <c r="A3352" t="s">
        <v>904</v>
      </c>
      <c r="B3352" t="s">
        <v>333</v>
      </c>
      <c r="C3352">
        <v>25</v>
      </c>
      <c r="D3352" s="194">
        <v>541118.49199999997</v>
      </c>
      <c r="E3352" t="s">
        <v>10</v>
      </c>
      <c r="F3352" s="194">
        <v>17614.463</v>
      </c>
      <c r="G3352" t="s">
        <v>335</v>
      </c>
      <c r="H3352" s="79">
        <f t="shared" si="468"/>
        <v>3.2551951671243202E-2</v>
      </c>
    </row>
    <row r="3353" spans="1:15" x14ac:dyDescent="0.25">
      <c r="A3353" t="s">
        <v>905</v>
      </c>
      <c r="B3353" t="s">
        <v>333</v>
      </c>
      <c r="C3353">
        <v>25</v>
      </c>
      <c r="D3353" s="194">
        <v>481684.99400000001</v>
      </c>
      <c r="E3353" t="s">
        <v>10</v>
      </c>
      <c r="F3353" s="194">
        <v>20418.61</v>
      </c>
      <c r="G3353" t="s">
        <v>335</v>
      </c>
      <c r="H3353" s="79">
        <f t="shared" si="468"/>
        <v>4.2389964923839833E-2</v>
      </c>
      <c r="J3353" s="105" t="str">
        <f>A3344</f>
        <v>groupBy2_90</v>
      </c>
      <c r="K3353" s="72" t="s">
        <v>341</v>
      </c>
      <c r="L3353" s="72" t="s">
        <v>342</v>
      </c>
      <c r="M3353" s="21" t="s">
        <v>162</v>
      </c>
    </row>
    <row r="3354" spans="1:15" x14ac:dyDescent="0.25">
      <c r="A3354" t="s">
        <v>906</v>
      </c>
      <c r="B3354" t="s">
        <v>333</v>
      </c>
      <c r="C3354">
        <v>25</v>
      </c>
      <c r="D3354" s="194">
        <v>496596.16</v>
      </c>
      <c r="E3354" t="s">
        <v>10</v>
      </c>
      <c r="F3354" s="194">
        <v>17348.191999999999</v>
      </c>
      <c r="G3354" t="s">
        <v>335</v>
      </c>
      <c r="H3354" s="79">
        <f t="shared" si="468"/>
        <v>3.4934204887931475E-2</v>
      </c>
      <c r="J3354" s="6">
        <v>100000</v>
      </c>
      <c r="K3354" s="119">
        <f>D3347</f>
        <v>33824607.571000002</v>
      </c>
      <c r="L3354" s="119">
        <f>D3348</f>
        <v>51504929.881999999</v>
      </c>
      <c r="M3354" s="22">
        <f>(K3354/L3354-1)</f>
        <v>-0.3432743691042075</v>
      </c>
    </row>
    <row r="3355" spans="1:15" x14ac:dyDescent="0.25">
      <c r="A3355" t="s">
        <v>907</v>
      </c>
      <c r="B3355" t="s">
        <v>333</v>
      </c>
      <c r="C3355">
        <v>25</v>
      </c>
      <c r="D3355" s="194">
        <v>36936.862999999998</v>
      </c>
      <c r="E3355" t="s">
        <v>10</v>
      </c>
      <c r="F3355" s="194">
        <v>1030.56</v>
      </c>
      <c r="G3355" t="s">
        <v>335</v>
      </c>
      <c r="H3355" s="79">
        <f t="shared" si="468"/>
        <v>2.7900582678068789E-2</v>
      </c>
      <c r="J3355" s="6">
        <v>50000</v>
      </c>
      <c r="K3355" s="119">
        <f>D3350</f>
        <v>3565701.645</v>
      </c>
      <c r="L3355" s="119">
        <f>D3351</f>
        <v>4355200.4740000004</v>
      </c>
      <c r="M3355" s="22">
        <f t="shared" ref="M3355:M3358" si="474">(K3355/L3355-1)</f>
        <v>-0.18127726466627869</v>
      </c>
    </row>
    <row r="3356" spans="1:15" x14ac:dyDescent="0.25">
      <c r="A3356" t="s">
        <v>908</v>
      </c>
      <c r="B3356" t="s">
        <v>333</v>
      </c>
      <c r="C3356">
        <v>25</v>
      </c>
      <c r="D3356" s="194">
        <v>36251.589</v>
      </c>
      <c r="E3356" t="s">
        <v>10</v>
      </c>
      <c r="F3356" s="194">
        <v>1171.942</v>
      </c>
      <c r="G3356" t="s">
        <v>335</v>
      </c>
      <c r="H3356" s="79">
        <f t="shared" si="468"/>
        <v>3.2328017400837246E-2</v>
      </c>
      <c r="J3356" s="6">
        <v>10000</v>
      </c>
      <c r="K3356" s="119">
        <f>D3353</f>
        <v>481684.99400000001</v>
      </c>
      <c r="L3356" s="119">
        <f>D3354</f>
        <v>496596.16</v>
      </c>
      <c r="M3356" s="22">
        <f t="shared" si="474"/>
        <v>-3.002674446777831E-2</v>
      </c>
    </row>
    <row r="3357" spans="1:15" x14ac:dyDescent="0.25">
      <c r="A3357" t="s">
        <v>909</v>
      </c>
      <c r="B3357" t="s">
        <v>333</v>
      </c>
      <c r="C3357">
        <v>25</v>
      </c>
      <c r="D3357" s="194">
        <v>35836.048999999999</v>
      </c>
      <c r="E3357" t="s">
        <v>10</v>
      </c>
      <c r="F3357" s="194">
        <v>1025.402</v>
      </c>
      <c r="G3357" t="s">
        <v>335</v>
      </c>
      <c r="H3357" s="79">
        <f t="shared" si="468"/>
        <v>2.8613701248148202E-2</v>
      </c>
      <c r="J3357" s="67">
        <v>1000</v>
      </c>
      <c r="K3357" s="119">
        <f>D3356</f>
        <v>36251.589</v>
      </c>
      <c r="L3357" s="119">
        <f>D3357</f>
        <v>35836.048999999999</v>
      </c>
      <c r="M3357" s="22">
        <f t="shared" si="474"/>
        <v>1.1595586332634022E-2</v>
      </c>
    </row>
    <row r="3358" spans="1:15" ht="20" thickBot="1" x14ac:dyDescent="0.3">
      <c r="A3358" t="s">
        <v>910</v>
      </c>
      <c r="B3358" t="s">
        <v>333</v>
      </c>
      <c r="C3358">
        <v>25</v>
      </c>
      <c r="D3358" s="194">
        <v>3359.509</v>
      </c>
      <c r="E3358" t="s">
        <v>10</v>
      </c>
      <c r="F3358" s="194">
        <v>112.479</v>
      </c>
      <c r="G3358" t="s">
        <v>335</v>
      </c>
      <c r="H3358" s="79">
        <f t="shared" si="468"/>
        <v>3.3480785436205113E-2</v>
      </c>
      <c r="J3358" s="68">
        <v>100</v>
      </c>
      <c r="K3358" s="120">
        <f>D3359</f>
        <v>3455.2559999999999</v>
      </c>
      <c r="L3358" s="120">
        <f>D3360</f>
        <v>3022.5360000000001</v>
      </c>
      <c r="M3358" s="23">
        <f t="shared" si="474"/>
        <v>0.1431645479160546</v>
      </c>
    </row>
    <row r="3359" spans="1:15" x14ac:dyDescent="0.25">
      <c r="A3359" t="s">
        <v>911</v>
      </c>
      <c r="B3359" t="s">
        <v>333</v>
      </c>
      <c r="C3359">
        <v>25</v>
      </c>
      <c r="D3359" s="194">
        <v>3455.2559999999999</v>
      </c>
      <c r="E3359" t="s">
        <v>10</v>
      </c>
      <c r="F3359" s="194">
        <v>140.08799999999999</v>
      </c>
      <c r="G3359" t="s">
        <v>335</v>
      </c>
      <c r="H3359" s="79">
        <f t="shared" si="468"/>
        <v>4.0543450326111868E-2</v>
      </c>
    </row>
    <row r="3360" spans="1:15" x14ac:dyDescent="0.25">
      <c r="A3360" t="s">
        <v>912</v>
      </c>
      <c r="B3360" t="s">
        <v>333</v>
      </c>
      <c r="C3360">
        <v>25</v>
      </c>
      <c r="D3360" s="194">
        <v>3022.5360000000001</v>
      </c>
      <c r="E3360" t="s">
        <v>10</v>
      </c>
      <c r="F3360" s="194">
        <v>101.992</v>
      </c>
      <c r="G3360" t="s">
        <v>335</v>
      </c>
      <c r="H3360" s="79">
        <f t="shared" si="468"/>
        <v>3.3743849535621741E-2</v>
      </c>
    </row>
    <row r="3361" spans="1:15" x14ac:dyDescent="0.25">
      <c r="A3361"/>
      <c r="B3361"/>
      <c r="C3361"/>
      <c r="D3361" s="194"/>
      <c r="E3361"/>
      <c r="F3361" s="194"/>
      <c r="G3361"/>
      <c r="H3361" s="79" t="e">
        <f t="shared" si="468"/>
        <v>#DIV/0!</v>
      </c>
    </row>
    <row r="3362" spans="1:15" x14ac:dyDescent="0.25">
      <c r="A3362" t="s">
        <v>1243</v>
      </c>
      <c r="B3362"/>
      <c r="C3362"/>
      <c r="D3362" s="194"/>
      <c r="E3362"/>
      <c r="F3362" s="194"/>
      <c r="G3362"/>
      <c r="H3362" s="79" t="e">
        <f t="shared" si="468"/>
        <v>#DIV/0!</v>
      </c>
    </row>
    <row r="3363" spans="1:15" ht="20" thickBot="1" x14ac:dyDescent="0.3">
      <c r="A3363" t="s">
        <v>2</v>
      </c>
      <c r="B3363" t="s">
        <v>3</v>
      </c>
      <c r="C3363" t="s">
        <v>4</v>
      </c>
      <c r="D3363" s="194" t="s">
        <v>5</v>
      </c>
      <c r="E3363" t="s">
        <v>6</v>
      </c>
      <c r="F3363" s="194" t="s">
        <v>7</v>
      </c>
      <c r="G3363"/>
      <c r="H3363" s="79" t="e">
        <f t="shared" si="468"/>
        <v>#VALUE!</v>
      </c>
    </row>
    <row r="3364" spans="1:15" x14ac:dyDescent="0.25">
      <c r="A3364" t="s">
        <v>1127</v>
      </c>
      <c r="B3364" t="s">
        <v>333</v>
      </c>
      <c r="C3364">
        <v>25</v>
      </c>
      <c r="D3364" s="194">
        <v>27662878.572000001</v>
      </c>
      <c r="E3364" t="s">
        <v>10</v>
      </c>
      <c r="F3364" s="194">
        <v>2084149.0519999999</v>
      </c>
      <c r="G3364" t="s">
        <v>335</v>
      </c>
      <c r="H3364" s="79">
        <f t="shared" si="468"/>
        <v>7.5341004247820684E-2</v>
      </c>
      <c r="J3364" s="105" t="str">
        <f>A3362</f>
        <v>reality2</v>
      </c>
      <c r="K3364" s="72" t="s">
        <v>340</v>
      </c>
      <c r="L3364" s="72" t="s">
        <v>341</v>
      </c>
      <c r="M3364" s="17" t="s">
        <v>162</v>
      </c>
      <c r="N3364" s="72" t="s">
        <v>342</v>
      </c>
      <c r="O3364" s="21" t="s">
        <v>162</v>
      </c>
    </row>
    <row r="3365" spans="1:15" x14ac:dyDescent="0.25">
      <c r="A3365" t="s">
        <v>1128</v>
      </c>
      <c r="B3365" t="s">
        <v>333</v>
      </c>
      <c r="C3365">
        <v>25</v>
      </c>
      <c r="D3365" s="194">
        <v>24980462.340999998</v>
      </c>
      <c r="E3365" t="s">
        <v>10</v>
      </c>
      <c r="F3365" s="194">
        <v>802393.64</v>
      </c>
      <c r="G3365" t="s">
        <v>335</v>
      </c>
      <c r="H3365" s="79">
        <f t="shared" si="468"/>
        <v>3.212084824719378E-2</v>
      </c>
      <c r="J3365" s="6">
        <v>100000</v>
      </c>
      <c r="K3365" s="119">
        <f>D3364</f>
        <v>27662878.572000001</v>
      </c>
      <c r="L3365" s="119">
        <f>D3365</f>
        <v>24980462.340999998</v>
      </c>
      <c r="M3365" s="18">
        <f>(K3365/L3365-1)</f>
        <v>0.1073805678367048</v>
      </c>
      <c r="N3365" s="73">
        <f>D3366</f>
        <v>37607147.615999997</v>
      </c>
      <c r="O3365" s="22">
        <f>(K3365/N3365-1)</f>
        <v>-0.26442497435698098</v>
      </c>
    </row>
    <row r="3366" spans="1:15" x14ac:dyDescent="0.25">
      <c r="A3366" t="s">
        <v>1129</v>
      </c>
      <c r="B3366" t="s">
        <v>333</v>
      </c>
      <c r="C3366">
        <v>25</v>
      </c>
      <c r="D3366" s="194">
        <v>37607147.615999997</v>
      </c>
      <c r="E3366" t="s">
        <v>10</v>
      </c>
      <c r="F3366" s="194">
        <v>2153837.9279999998</v>
      </c>
      <c r="G3366" t="s">
        <v>335</v>
      </c>
      <c r="H3366" s="79">
        <f t="shared" si="468"/>
        <v>5.7272036422237126E-2</v>
      </c>
      <c r="J3366" s="6">
        <v>50000</v>
      </c>
      <c r="K3366" s="119">
        <f>D3367</f>
        <v>14020366.664999999</v>
      </c>
      <c r="L3366" s="119">
        <f>D3368</f>
        <v>10993623.032</v>
      </c>
      <c r="M3366" s="18">
        <f t="shared" ref="M3366:M3369" si="475">(K3366/L3366-1)</f>
        <v>0.27531812071323714</v>
      </c>
      <c r="N3366" s="73">
        <f>D3369</f>
        <v>18374901.627999999</v>
      </c>
      <c r="O3366" s="22">
        <f t="shared" ref="O3366:O3369" si="476">(K3366/N3366-1)</f>
        <v>-0.23698276329079671</v>
      </c>
    </row>
    <row r="3367" spans="1:15" x14ac:dyDescent="0.25">
      <c r="A3367" t="s">
        <v>1130</v>
      </c>
      <c r="B3367" t="s">
        <v>333</v>
      </c>
      <c r="C3367">
        <v>25</v>
      </c>
      <c r="D3367" s="194">
        <v>14020366.664999999</v>
      </c>
      <c r="E3367" t="s">
        <v>10</v>
      </c>
      <c r="F3367" s="194">
        <v>1757114.0419999999</v>
      </c>
      <c r="G3367" t="s">
        <v>335</v>
      </c>
      <c r="H3367" s="79">
        <f t="shared" si="468"/>
        <v>0.12532582663379296</v>
      </c>
      <c r="J3367" s="6">
        <v>10000</v>
      </c>
      <c r="K3367" s="119">
        <f>D3370</f>
        <v>1779734.368</v>
      </c>
      <c r="L3367" s="119">
        <f>D3371</f>
        <v>2078245.548</v>
      </c>
      <c r="M3367" s="18">
        <f t="shared" si="475"/>
        <v>-0.14363614553981474</v>
      </c>
      <c r="N3367" s="73">
        <f>D3372</f>
        <v>3681060.4019999998</v>
      </c>
      <c r="O3367" s="22">
        <f t="shared" si="476"/>
        <v>-0.51651584770708148</v>
      </c>
    </row>
    <row r="3368" spans="1:15" x14ac:dyDescent="0.25">
      <c r="A3368" t="s">
        <v>1131</v>
      </c>
      <c r="B3368" t="s">
        <v>333</v>
      </c>
      <c r="C3368">
        <v>25</v>
      </c>
      <c r="D3368" s="194">
        <v>10993623.032</v>
      </c>
      <c r="E3368" t="s">
        <v>10</v>
      </c>
      <c r="F3368" s="194">
        <v>460939.08299999998</v>
      </c>
      <c r="G3368" t="s">
        <v>335</v>
      </c>
      <c r="H3368" s="79">
        <f t="shared" si="468"/>
        <v>4.1927859601726243E-2</v>
      </c>
      <c r="J3368" s="67">
        <v>1000</v>
      </c>
      <c r="K3368" s="119">
        <f>D3373</f>
        <v>171528.269</v>
      </c>
      <c r="L3368" s="119">
        <f>D3374</f>
        <v>202274.864</v>
      </c>
      <c r="M3368" s="18">
        <f t="shared" si="475"/>
        <v>-0.15200403249313277</v>
      </c>
      <c r="N3368" s="73">
        <f>D3375</f>
        <v>247696.916</v>
      </c>
      <c r="O3368" s="22">
        <f t="shared" si="476"/>
        <v>-0.30750744995145596</v>
      </c>
    </row>
    <row r="3369" spans="1:15" ht="20" thickBot="1" x14ac:dyDescent="0.3">
      <c r="A3369" t="s">
        <v>1132</v>
      </c>
      <c r="B3369" t="s">
        <v>333</v>
      </c>
      <c r="C3369">
        <v>25</v>
      </c>
      <c r="D3369" s="194">
        <v>18374901.627999999</v>
      </c>
      <c r="E3369" t="s">
        <v>10</v>
      </c>
      <c r="F3369" s="194">
        <v>941788.49300000002</v>
      </c>
      <c r="G3369" t="s">
        <v>335</v>
      </c>
      <c r="H3369" s="79">
        <f t="shared" si="468"/>
        <v>5.1254069930088013E-2</v>
      </c>
      <c r="J3369" s="68">
        <v>100</v>
      </c>
      <c r="K3369" s="120">
        <f>D3376</f>
        <v>29349.057000000001</v>
      </c>
      <c r="L3369" s="120">
        <f>D3377</f>
        <v>24703.73</v>
      </c>
      <c r="M3369" s="19">
        <f t="shared" si="475"/>
        <v>0.18804152247454131</v>
      </c>
      <c r="N3369" s="74">
        <f>D3378</f>
        <v>28367.352999999999</v>
      </c>
      <c r="O3369" s="23">
        <f t="shared" si="476"/>
        <v>3.460682426026862E-2</v>
      </c>
    </row>
    <row r="3370" spans="1:15" ht="20" thickBot="1" x14ac:dyDescent="0.3">
      <c r="A3370" t="s">
        <v>1133</v>
      </c>
      <c r="B3370" t="s">
        <v>333</v>
      </c>
      <c r="C3370">
        <v>25</v>
      </c>
      <c r="D3370" s="194">
        <v>1779734.368</v>
      </c>
      <c r="E3370" t="s">
        <v>10</v>
      </c>
      <c r="F3370" s="194">
        <v>96035.426000000007</v>
      </c>
      <c r="G3370" t="s">
        <v>335</v>
      </c>
      <c r="H3370" s="79">
        <f t="shared" si="468"/>
        <v>5.396053912692661E-2</v>
      </c>
    </row>
    <row r="3371" spans="1:15" x14ac:dyDescent="0.25">
      <c r="A3371" t="s">
        <v>1134</v>
      </c>
      <c r="B3371" t="s">
        <v>333</v>
      </c>
      <c r="C3371">
        <v>25</v>
      </c>
      <c r="D3371" s="194">
        <v>2078245.548</v>
      </c>
      <c r="E3371" t="s">
        <v>10</v>
      </c>
      <c r="F3371" s="194">
        <v>95692.807000000001</v>
      </c>
      <c r="G3371" t="s">
        <v>335</v>
      </c>
      <c r="H3371" s="79">
        <f t="shared" si="468"/>
        <v>4.604499554544457E-2</v>
      </c>
      <c r="J3371" s="105" t="str">
        <f>A3362</f>
        <v>reality2</v>
      </c>
      <c r="K3371" s="72" t="s">
        <v>341</v>
      </c>
      <c r="L3371" s="72" t="s">
        <v>342</v>
      </c>
      <c r="M3371" s="21" t="s">
        <v>162</v>
      </c>
    </row>
    <row r="3372" spans="1:15" x14ac:dyDescent="0.25">
      <c r="A3372" t="s">
        <v>1135</v>
      </c>
      <c r="B3372" t="s">
        <v>333</v>
      </c>
      <c r="C3372">
        <v>25</v>
      </c>
      <c r="D3372" s="194">
        <v>3681060.4019999998</v>
      </c>
      <c r="E3372" t="s">
        <v>10</v>
      </c>
      <c r="F3372" s="194">
        <v>227424.07</v>
      </c>
      <c r="G3372" t="s">
        <v>335</v>
      </c>
      <c r="H3372" s="79">
        <f t="shared" si="468"/>
        <v>6.1782216308223462E-2</v>
      </c>
      <c r="J3372" s="6">
        <v>100000</v>
      </c>
      <c r="K3372" s="119">
        <f>D3365</f>
        <v>24980462.340999998</v>
      </c>
      <c r="L3372" s="119">
        <f>D3366</f>
        <v>37607147.615999997</v>
      </c>
      <c r="M3372" s="22">
        <f>(K3372/L3372-1)</f>
        <v>-0.33575227251821571</v>
      </c>
    </row>
    <row r="3373" spans="1:15" x14ac:dyDescent="0.25">
      <c r="A3373" t="s">
        <v>1136</v>
      </c>
      <c r="B3373" t="s">
        <v>333</v>
      </c>
      <c r="C3373">
        <v>25</v>
      </c>
      <c r="D3373" s="194">
        <v>171528.269</v>
      </c>
      <c r="E3373" t="s">
        <v>10</v>
      </c>
      <c r="F3373" s="194">
        <v>5858.2219999999998</v>
      </c>
      <c r="G3373" t="s">
        <v>335</v>
      </c>
      <c r="H3373" s="79">
        <f t="shared" si="468"/>
        <v>3.4153099277180951E-2</v>
      </c>
      <c r="J3373" s="6">
        <v>50000</v>
      </c>
      <c r="K3373" s="119">
        <f>D3368</f>
        <v>10993623.032</v>
      </c>
      <c r="L3373" s="119">
        <f>D3369</f>
        <v>18374901.627999999</v>
      </c>
      <c r="M3373" s="22">
        <f t="shared" ref="M3373:M3376" si="477">(K3373/L3373-1)</f>
        <v>-0.40170438707286882</v>
      </c>
    </row>
    <row r="3374" spans="1:15" x14ac:dyDescent="0.25">
      <c r="A3374" t="s">
        <v>1137</v>
      </c>
      <c r="B3374" t="s">
        <v>333</v>
      </c>
      <c r="C3374">
        <v>25</v>
      </c>
      <c r="D3374" s="194">
        <v>202274.864</v>
      </c>
      <c r="E3374" t="s">
        <v>10</v>
      </c>
      <c r="F3374" s="194">
        <v>5678.6480000000001</v>
      </c>
      <c r="G3374" t="s">
        <v>335</v>
      </c>
      <c r="H3374" s="79">
        <f t="shared" si="468"/>
        <v>2.8073918269943814E-2</v>
      </c>
      <c r="J3374" s="6">
        <v>10000</v>
      </c>
      <c r="K3374" s="119">
        <f>D3371</f>
        <v>2078245.548</v>
      </c>
      <c r="L3374" s="119">
        <f>D3372</f>
        <v>3681060.4019999998</v>
      </c>
      <c r="M3374" s="22">
        <f t="shared" si="477"/>
        <v>-0.43542204662796513</v>
      </c>
    </row>
    <row r="3375" spans="1:15" x14ac:dyDescent="0.25">
      <c r="A3375" t="s">
        <v>1138</v>
      </c>
      <c r="B3375" t="s">
        <v>333</v>
      </c>
      <c r="C3375">
        <v>25</v>
      </c>
      <c r="D3375" s="194">
        <v>247696.916</v>
      </c>
      <c r="E3375" t="s">
        <v>10</v>
      </c>
      <c r="F3375" s="194">
        <v>6767.8</v>
      </c>
      <c r="G3375" t="s">
        <v>335</v>
      </c>
      <c r="H3375" s="79">
        <f t="shared" si="468"/>
        <v>2.732290780721711E-2</v>
      </c>
      <c r="J3375" s="67">
        <v>1000</v>
      </c>
      <c r="K3375" s="119">
        <f>D3374</f>
        <v>202274.864</v>
      </c>
      <c r="L3375" s="119">
        <f>D3375</f>
        <v>247696.916</v>
      </c>
      <c r="M3375" s="22">
        <f t="shared" si="477"/>
        <v>-0.18337754354600033</v>
      </c>
    </row>
    <row r="3376" spans="1:15" ht="20" thickBot="1" x14ac:dyDescent="0.3">
      <c r="A3376" t="s">
        <v>1139</v>
      </c>
      <c r="B3376" t="s">
        <v>333</v>
      </c>
      <c r="C3376">
        <v>25</v>
      </c>
      <c r="D3376" s="194">
        <v>29349.057000000001</v>
      </c>
      <c r="E3376" t="s">
        <v>10</v>
      </c>
      <c r="F3376" s="194">
        <v>1046.701</v>
      </c>
      <c r="G3376" t="s">
        <v>335</v>
      </c>
      <c r="H3376" s="79">
        <f t="shared" si="468"/>
        <v>3.5663871585380071E-2</v>
      </c>
      <c r="J3376" s="68">
        <v>100</v>
      </c>
      <c r="K3376" s="120">
        <f>D3377</f>
        <v>24703.73</v>
      </c>
      <c r="L3376" s="120">
        <f>D3378</f>
        <v>28367.352999999999</v>
      </c>
      <c r="M3376" s="23">
        <f t="shared" si="477"/>
        <v>-0.12914927240479579</v>
      </c>
    </row>
    <row r="3377" spans="1:17" x14ac:dyDescent="0.25">
      <c r="A3377" t="s">
        <v>1140</v>
      </c>
      <c r="B3377" t="s">
        <v>333</v>
      </c>
      <c r="C3377">
        <v>25</v>
      </c>
      <c r="D3377" s="194">
        <v>24703.73</v>
      </c>
      <c r="E3377" t="s">
        <v>10</v>
      </c>
      <c r="F3377" s="194">
        <v>1028.193</v>
      </c>
      <c r="G3377" t="s">
        <v>335</v>
      </c>
      <c r="H3377" s="79">
        <f t="shared" si="468"/>
        <v>4.1620961692829382E-2</v>
      </c>
    </row>
    <row r="3378" spans="1:17" x14ac:dyDescent="0.25">
      <c r="A3378" t="s">
        <v>1141</v>
      </c>
      <c r="B3378" t="s">
        <v>333</v>
      </c>
      <c r="C3378">
        <v>25</v>
      </c>
      <c r="D3378" s="194">
        <v>28367.352999999999</v>
      </c>
      <c r="E3378" t="s">
        <v>10</v>
      </c>
      <c r="F3378" s="194">
        <v>857.82</v>
      </c>
      <c r="G3378" t="s">
        <v>335</v>
      </c>
      <c r="H3378" s="79">
        <f t="shared" si="468"/>
        <v>3.0239691380440047E-2</v>
      </c>
    </row>
    <row r="3379" spans="1:17" x14ac:dyDescent="0.25">
      <c r="A3379"/>
      <c r="B3379"/>
      <c r="C3379"/>
      <c r="D3379" s="194"/>
      <c r="E3379"/>
      <c r="F3379" s="194"/>
      <c r="G3379"/>
      <c r="H3379" s="79" t="e">
        <f t="shared" si="468"/>
        <v>#DIV/0!</v>
      </c>
    </row>
    <row r="3380" spans="1:17" x14ac:dyDescent="0.25">
      <c r="A3380" t="s">
        <v>860</v>
      </c>
      <c r="B3380"/>
      <c r="C3380"/>
      <c r="D3380" s="194"/>
      <c r="E3380"/>
      <c r="F3380" s="194"/>
      <c r="G3380"/>
      <c r="H3380" s="79" t="e">
        <f t="shared" si="468"/>
        <v>#DIV/0!</v>
      </c>
    </row>
    <row r="3381" spans="1:17" ht="20" thickBot="1" x14ac:dyDescent="0.3">
      <c r="A3381" t="s">
        <v>2</v>
      </c>
      <c r="B3381" t="s">
        <v>3</v>
      </c>
      <c r="C3381" t="s">
        <v>4</v>
      </c>
      <c r="D3381" s="194" t="s">
        <v>5</v>
      </c>
      <c r="E3381" t="s">
        <v>6</v>
      </c>
      <c r="F3381" s="194" t="s">
        <v>7</v>
      </c>
      <c r="G3381"/>
      <c r="H3381" s="79" t="e">
        <f t="shared" si="468"/>
        <v>#VALUE!</v>
      </c>
    </row>
    <row r="3382" spans="1:17" x14ac:dyDescent="0.25">
      <c r="A3382" t="s">
        <v>861</v>
      </c>
      <c r="B3382" t="s">
        <v>333</v>
      </c>
      <c r="C3382">
        <v>25</v>
      </c>
      <c r="D3382" s="194">
        <v>15061807.088</v>
      </c>
      <c r="E3382" t="s">
        <v>10</v>
      </c>
      <c r="F3382" s="194">
        <v>720667.18700000003</v>
      </c>
      <c r="G3382" t="s">
        <v>335</v>
      </c>
      <c r="H3382" s="79">
        <f t="shared" si="468"/>
        <v>4.7847325542641428E-2</v>
      </c>
      <c r="J3382" s="106" t="str">
        <f>A3380</f>
        <v>flatten2</v>
      </c>
      <c r="K3382" s="72" t="s">
        <v>344</v>
      </c>
      <c r="L3382" s="72" t="s">
        <v>341</v>
      </c>
      <c r="M3382" s="17" t="s">
        <v>162</v>
      </c>
      <c r="N3382" s="72" t="s">
        <v>343</v>
      </c>
      <c r="O3382" s="17" t="s">
        <v>162</v>
      </c>
      <c r="P3382" s="72" t="s">
        <v>342</v>
      </c>
      <c r="Q3382" s="21" t="s">
        <v>162</v>
      </c>
    </row>
    <row r="3383" spans="1:17" x14ac:dyDescent="0.25">
      <c r="A3383" t="s">
        <v>862</v>
      </c>
      <c r="B3383" t="s">
        <v>333</v>
      </c>
      <c r="C3383">
        <v>25</v>
      </c>
      <c r="D3383" s="194">
        <v>8631162.2679999992</v>
      </c>
      <c r="E3383" t="s">
        <v>10</v>
      </c>
      <c r="F3383" s="194">
        <v>550489.51</v>
      </c>
      <c r="G3383" t="s">
        <v>335</v>
      </c>
      <c r="H3383" s="79">
        <f t="shared" si="468"/>
        <v>6.3779302590676309E-2</v>
      </c>
      <c r="J3383" s="6">
        <v>100000</v>
      </c>
      <c r="K3383" s="119">
        <f>D3382</f>
        <v>15061807.088</v>
      </c>
      <c r="L3383" s="119">
        <f>D3383</f>
        <v>8631162.2679999992</v>
      </c>
      <c r="M3383" s="18">
        <f>(K3383/L3383-1)</f>
        <v>0.74504969554814093</v>
      </c>
      <c r="N3383" s="73">
        <f>D3384</f>
        <v>10541309.511</v>
      </c>
      <c r="O3383" s="18">
        <f>(K3383/N3383-1)</f>
        <v>0.42883643367864299</v>
      </c>
      <c r="P3383" s="73">
        <f>D3385</f>
        <v>22175243.223999999</v>
      </c>
      <c r="Q3383" s="22">
        <f>(K3383/P3383-1)</f>
        <v>-0.32078277853120518</v>
      </c>
    </row>
    <row r="3384" spans="1:17" x14ac:dyDescent="0.25">
      <c r="A3384" t="s">
        <v>863</v>
      </c>
      <c r="B3384" t="s">
        <v>333</v>
      </c>
      <c r="C3384">
        <v>25</v>
      </c>
      <c r="D3384" s="194">
        <v>10541309.511</v>
      </c>
      <c r="E3384" t="s">
        <v>10</v>
      </c>
      <c r="F3384" s="194">
        <v>1216234.6669999999</v>
      </c>
      <c r="G3384" t="s">
        <v>335</v>
      </c>
      <c r="H3384" s="79">
        <f t="shared" si="468"/>
        <v>0.11537794860599079</v>
      </c>
      <c r="J3384" s="6">
        <v>50000</v>
      </c>
      <c r="K3384" s="119">
        <f>D3386</f>
        <v>8494149.0500000007</v>
      </c>
      <c r="L3384" s="119">
        <f>D3387</f>
        <v>1905993.706</v>
      </c>
      <c r="M3384" s="18">
        <f t="shared" ref="M3384:M3387" si="478">(K3384/L3384-1)</f>
        <v>3.4565462221940839</v>
      </c>
      <c r="N3384" s="73">
        <f>D3388</f>
        <v>1426713.3219999999</v>
      </c>
      <c r="O3384" s="18">
        <f t="shared" ref="O3384:O3387" si="479">(K3384/N3384-1)</f>
        <v>4.9536480938530136</v>
      </c>
      <c r="P3384" s="73">
        <f>D3389</f>
        <v>8041834.3119999999</v>
      </c>
      <c r="Q3384" s="22">
        <f t="shared" ref="Q3384:Q3387" si="480">(K3384/P3384-1)</f>
        <v>5.6245219741105412E-2</v>
      </c>
    </row>
    <row r="3385" spans="1:17" x14ac:dyDescent="0.25">
      <c r="A3385" t="s">
        <v>864</v>
      </c>
      <c r="B3385" t="s">
        <v>333</v>
      </c>
      <c r="C3385">
        <v>25</v>
      </c>
      <c r="D3385" s="194">
        <v>22175243.223999999</v>
      </c>
      <c r="E3385" t="s">
        <v>10</v>
      </c>
      <c r="F3385" s="194">
        <v>682394.66599999997</v>
      </c>
      <c r="G3385" t="s">
        <v>335</v>
      </c>
      <c r="H3385" s="79">
        <f t="shared" si="468"/>
        <v>3.0772815391781245E-2</v>
      </c>
      <c r="J3385" s="6">
        <v>10000</v>
      </c>
      <c r="K3385" s="119">
        <f>D3390</f>
        <v>679935.31400000001</v>
      </c>
      <c r="L3385" s="119">
        <f>D3391</f>
        <v>306974.56800000003</v>
      </c>
      <c r="M3385" s="18">
        <f t="shared" si="478"/>
        <v>1.2149564976340317</v>
      </c>
      <c r="N3385" s="73">
        <f>D3392</f>
        <v>227561.48300000001</v>
      </c>
      <c r="O3385" s="18">
        <f t="shared" si="479"/>
        <v>1.9879191550179871</v>
      </c>
      <c r="P3385" s="73">
        <f>D3393</f>
        <v>764202.23100000003</v>
      </c>
      <c r="Q3385" s="22">
        <f t="shared" si="480"/>
        <v>-0.1102678238582635</v>
      </c>
    </row>
    <row r="3386" spans="1:17" x14ac:dyDescent="0.25">
      <c r="A3386" t="s">
        <v>865</v>
      </c>
      <c r="B3386" t="s">
        <v>333</v>
      </c>
      <c r="C3386">
        <v>25</v>
      </c>
      <c r="D3386" s="194">
        <v>8494149.0500000007</v>
      </c>
      <c r="E3386" t="s">
        <v>10</v>
      </c>
      <c r="F3386" s="194">
        <v>380515.06699999998</v>
      </c>
      <c r="G3386" t="s">
        <v>335</v>
      </c>
      <c r="H3386" s="79">
        <f t="shared" si="468"/>
        <v>4.4797314570315896E-2</v>
      </c>
      <c r="J3386" s="67">
        <v>1000</v>
      </c>
      <c r="K3386" s="119">
        <f>D3394</f>
        <v>39080.870000000003</v>
      </c>
      <c r="L3386" s="119">
        <f>D3395</f>
        <v>29855.31</v>
      </c>
      <c r="M3386" s="18">
        <f t="shared" si="478"/>
        <v>0.30900901715641216</v>
      </c>
      <c r="N3386" s="73">
        <f>D3396</f>
        <v>23565.447</v>
      </c>
      <c r="O3386" s="18">
        <f t="shared" si="479"/>
        <v>0.65839714392007931</v>
      </c>
      <c r="P3386" s="73">
        <f>D3397</f>
        <v>67445.682000000001</v>
      </c>
      <c r="Q3386" s="22">
        <f t="shared" si="480"/>
        <v>-0.4205578646235647</v>
      </c>
    </row>
    <row r="3387" spans="1:17" ht="20" thickBot="1" x14ac:dyDescent="0.3">
      <c r="A3387" t="s">
        <v>866</v>
      </c>
      <c r="B3387" t="s">
        <v>333</v>
      </c>
      <c r="C3387">
        <v>25</v>
      </c>
      <c r="D3387" s="194">
        <v>1905993.706</v>
      </c>
      <c r="E3387" t="s">
        <v>10</v>
      </c>
      <c r="F3387" s="194">
        <v>74706.87</v>
      </c>
      <c r="G3387" t="s">
        <v>335</v>
      </c>
      <c r="H3387" s="79">
        <f t="shared" ref="H3387:H3450" si="481">F3387/D3387</f>
        <v>3.9195759023141284E-2</v>
      </c>
      <c r="J3387" s="68">
        <v>100</v>
      </c>
      <c r="K3387" s="120">
        <f>D3398</f>
        <v>4220.3990000000003</v>
      </c>
      <c r="L3387" s="120">
        <f>D3399</f>
        <v>3126.4140000000002</v>
      </c>
      <c r="M3387" s="19">
        <f t="shared" si="478"/>
        <v>0.3499168696148367</v>
      </c>
      <c r="N3387" s="74">
        <f>D3400</f>
        <v>2292.0610000000001</v>
      </c>
      <c r="O3387" s="19">
        <f t="shared" si="479"/>
        <v>0.8413118149996881</v>
      </c>
      <c r="P3387" s="74">
        <f>D3401</f>
        <v>7388.39</v>
      </c>
      <c r="Q3387" s="23">
        <f t="shared" si="480"/>
        <v>-0.42877961233773532</v>
      </c>
    </row>
    <row r="3388" spans="1:17" ht="20" thickBot="1" x14ac:dyDescent="0.3">
      <c r="A3388" t="s">
        <v>867</v>
      </c>
      <c r="B3388" t="s">
        <v>333</v>
      </c>
      <c r="C3388">
        <v>25</v>
      </c>
      <c r="D3388" s="194">
        <v>1426713.3219999999</v>
      </c>
      <c r="E3388" t="s">
        <v>10</v>
      </c>
      <c r="F3388" s="194">
        <v>70202.751000000004</v>
      </c>
      <c r="G3388" t="s">
        <v>335</v>
      </c>
      <c r="H3388" s="79">
        <f t="shared" si="481"/>
        <v>4.9205926598896652E-2</v>
      </c>
    </row>
    <row r="3389" spans="1:17" x14ac:dyDescent="0.25">
      <c r="A3389" t="s">
        <v>868</v>
      </c>
      <c r="B3389" t="s">
        <v>333</v>
      </c>
      <c r="C3389">
        <v>25</v>
      </c>
      <c r="D3389" s="194">
        <v>8041834.3119999999</v>
      </c>
      <c r="E3389" t="s">
        <v>10</v>
      </c>
      <c r="F3389" s="194">
        <v>327131.48700000002</v>
      </c>
      <c r="G3389" t="s">
        <v>335</v>
      </c>
      <c r="H3389" s="79">
        <f t="shared" si="481"/>
        <v>4.0678715117501915E-2</v>
      </c>
      <c r="J3389" s="106" t="str">
        <f>A3380</f>
        <v>flatten2</v>
      </c>
      <c r="K3389" s="72" t="s">
        <v>341</v>
      </c>
      <c r="L3389" s="72" t="s">
        <v>342</v>
      </c>
      <c r="M3389" s="17" t="s">
        <v>162</v>
      </c>
      <c r="N3389" s="72" t="s">
        <v>343</v>
      </c>
      <c r="O3389" s="21" t="s">
        <v>162</v>
      </c>
    </row>
    <row r="3390" spans="1:17" x14ac:dyDescent="0.25">
      <c r="A3390" t="s">
        <v>869</v>
      </c>
      <c r="B3390" t="s">
        <v>333</v>
      </c>
      <c r="C3390">
        <v>25</v>
      </c>
      <c r="D3390" s="194">
        <v>679935.31400000001</v>
      </c>
      <c r="E3390" t="s">
        <v>10</v>
      </c>
      <c r="F3390" s="194">
        <v>28113.695</v>
      </c>
      <c r="G3390" t="s">
        <v>335</v>
      </c>
      <c r="H3390" s="79">
        <f t="shared" si="481"/>
        <v>4.1347602369127719E-2</v>
      </c>
      <c r="J3390" s="6">
        <v>100000</v>
      </c>
      <c r="K3390" s="119">
        <f>D3383</f>
        <v>8631162.2679999992</v>
      </c>
      <c r="L3390" s="119">
        <f>D3385</f>
        <v>22175243.223999999</v>
      </c>
      <c r="M3390" s="18">
        <f>(K3390/L3390-1)</f>
        <v>-0.61077485460639291</v>
      </c>
      <c r="N3390" s="73">
        <f>D3384</f>
        <v>10541309.511</v>
      </c>
      <c r="O3390" s="22">
        <f>(N3390/L3390-1)</f>
        <v>-0.52463612666979609</v>
      </c>
    </row>
    <row r="3391" spans="1:17" x14ac:dyDescent="0.25">
      <c r="A3391" t="s">
        <v>870</v>
      </c>
      <c r="B3391" t="s">
        <v>333</v>
      </c>
      <c r="C3391">
        <v>25</v>
      </c>
      <c r="D3391" s="194">
        <v>306974.56800000003</v>
      </c>
      <c r="E3391" t="s">
        <v>10</v>
      </c>
      <c r="F3391" s="194">
        <v>3693.8580000000002</v>
      </c>
      <c r="G3391" t="s">
        <v>335</v>
      </c>
      <c r="H3391" s="79">
        <f t="shared" si="481"/>
        <v>1.2033107576520801E-2</v>
      </c>
      <c r="J3391" s="6">
        <v>50000</v>
      </c>
      <c r="K3391" s="119">
        <f>D3387</f>
        <v>1905993.706</v>
      </c>
      <c r="L3391" s="119">
        <f>D3389</f>
        <v>8041834.3119999999</v>
      </c>
      <c r="M3391" s="18">
        <f t="shared" ref="M3391:M3394" si="482">(K3391/L3391-1)</f>
        <v>-0.76299017959672677</v>
      </c>
      <c r="N3391" s="73">
        <f>D3388</f>
        <v>1426713.3219999999</v>
      </c>
      <c r="O3391" s="22">
        <f t="shared" ref="O3391:O3394" si="483">(N3391/L3391-1)</f>
        <v>-0.82258857038734767</v>
      </c>
    </row>
    <row r="3392" spans="1:17" x14ac:dyDescent="0.25">
      <c r="A3392" t="s">
        <v>871</v>
      </c>
      <c r="B3392" t="s">
        <v>333</v>
      </c>
      <c r="C3392">
        <v>25</v>
      </c>
      <c r="D3392" s="194">
        <v>227561.48300000001</v>
      </c>
      <c r="E3392" t="s">
        <v>10</v>
      </c>
      <c r="F3392" s="194">
        <v>2218.1190000000001</v>
      </c>
      <c r="G3392" t="s">
        <v>335</v>
      </c>
      <c r="H3392" s="79">
        <f t="shared" si="481"/>
        <v>9.7473393597105364E-3</v>
      </c>
      <c r="J3392" s="6">
        <v>10000</v>
      </c>
      <c r="K3392" s="119">
        <f>D3391</f>
        <v>306974.56800000003</v>
      </c>
      <c r="L3392" s="119">
        <f>D3393</f>
        <v>764202.23100000003</v>
      </c>
      <c r="M3392" s="18">
        <f t="shared" si="482"/>
        <v>-0.59830715542624469</v>
      </c>
      <c r="N3392" s="73">
        <f>D3392</f>
        <v>227561.48300000001</v>
      </c>
      <c r="O3392" s="22">
        <f t="shared" si="483"/>
        <v>-0.70222347728267753</v>
      </c>
    </row>
    <row r="3393" spans="1:17" x14ac:dyDescent="0.25">
      <c r="A3393" t="s">
        <v>872</v>
      </c>
      <c r="B3393" t="s">
        <v>333</v>
      </c>
      <c r="C3393">
        <v>25</v>
      </c>
      <c r="D3393" s="194">
        <v>764202.23100000003</v>
      </c>
      <c r="E3393" t="s">
        <v>10</v>
      </c>
      <c r="F3393" s="194">
        <v>19008.601999999999</v>
      </c>
      <c r="G3393" t="s">
        <v>335</v>
      </c>
      <c r="H3393" s="79">
        <f t="shared" si="481"/>
        <v>2.4873785012543358E-2</v>
      </c>
      <c r="J3393" s="67">
        <v>1000</v>
      </c>
      <c r="K3393" s="119">
        <f>D3395</f>
        <v>29855.31</v>
      </c>
      <c r="L3393" s="119">
        <f>D3397</f>
        <v>67445.682000000001</v>
      </c>
      <c r="M3393" s="18">
        <f t="shared" si="482"/>
        <v>-0.55734290002434839</v>
      </c>
      <c r="N3393" s="73">
        <f>D3396</f>
        <v>23565.447</v>
      </c>
      <c r="O3393" s="22">
        <f t="shared" si="483"/>
        <v>-0.65060110149082639</v>
      </c>
    </row>
    <row r="3394" spans="1:17" ht="20" thickBot="1" x14ac:dyDescent="0.3">
      <c r="A3394" t="s">
        <v>873</v>
      </c>
      <c r="B3394" t="s">
        <v>333</v>
      </c>
      <c r="C3394">
        <v>25</v>
      </c>
      <c r="D3394" s="194">
        <v>39080.870000000003</v>
      </c>
      <c r="E3394" t="s">
        <v>10</v>
      </c>
      <c r="F3394" s="194">
        <v>878.14099999999996</v>
      </c>
      <c r="G3394" t="s">
        <v>335</v>
      </c>
      <c r="H3394" s="79">
        <f t="shared" si="481"/>
        <v>2.2469842662151584E-2</v>
      </c>
      <c r="J3394" s="68">
        <v>100</v>
      </c>
      <c r="K3394" s="120">
        <f>D3399</f>
        <v>3126.4140000000002</v>
      </c>
      <c r="L3394" s="120">
        <f>D3401</f>
        <v>7388.39</v>
      </c>
      <c r="M3394" s="19">
        <f t="shared" si="482"/>
        <v>-0.57684773001966594</v>
      </c>
      <c r="N3394" s="74">
        <f>D3400</f>
        <v>2292.0610000000001</v>
      </c>
      <c r="O3394" s="23">
        <f t="shared" si="483"/>
        <v>-0.68977530964120737</v>
      </c>
    </row>
    <row r="3395" spans="1:17" x14ac:dyDescent="0.25">
      <c r="A3395" t="s">
        <v>874</v>
      </c>
      <c r="B3395" t="s">
        <v>333</v>
      </c>
      <c r="C3395">
        <v>25</v>
      </c>
      <c r="D3395" s="194">
        <v>29855.31</v>
      </c>
      <c r="E3395" t="s">
        <v>10</v>
      </c>
      <c r="F3395" s="194">
        <v>394.85599999999999</v>
      </c>
      <c r="G3395" t="s">
        <v>335</v>
      </c>
      <c r="H3395" s="79">
        <f t="shared" si="481"/>
        <v>1.3225653995888837E-2</v>
      </c>
    </row>
    <row r="3396" spans="1:17" x14ac:dyDescent="0.25">
      <c r="A3396" t="s">
        <v>875</v>
      </c>
      <c r="B3396" t="s">
        <v>333</v>
      </c>
      <c r="C3396">
        <v>25</v>
      </c>
      <c r="D3396" s="194">
        <v>23565.447</v>
      </c>
      <c r="E3396" t="s">
        <v>10</v>
      </c>
      <c r="F3396" s="194">
        <v>235.994</v>
      </c>
      <c r="G3396" t="s">
        <v>335</v>
      </c>
      <c r="H3396" s="79">
        <f t="shared" si="481"/>
        <v>1.0014407959246433E-2</v>
      </c>
    </row>
    <row r="3397" spans="1:17" x14ac:dyDescent="0.25">
      <c r="A3397" t="s">
        <v>876</v>
      </c>
      <c r="B3397" t="s">
        <v>333</v>
      </c>
      <c r="C3397">
        <v>25</v>
      </c>
      <c r="D3397" s="194">
        <v>67445.682000000001</v>
      </c>
      <c r="E3397" t="s">
        <v>10</v>
      </c>
      <c r="F3397" s="194">
        <v>1781.423</v>
      </c>
      <c r="G3397" t="s">
        <v>335</v>
      </c>
      <c r="H3397" s="79">
        <f t="shared" si="481"/>
        <v>2.6412706450206849E-2</v>
      </c>
    </row>
    <row r="3398" spans="1:17" x14ac:dyDescent="0.25">
      <c r="A3398" t="s">
        <v>877</v>
      </c>
      <c r="B3398" t="s">
        <v>333</v>
      </c>
      <c r="C3398">
        <v>25</v>
      </c>
      <c r="D3398" s="194">
        <v>4220.3990000000003</v>
      </c>
      <c r="E3398" t="s">
        <v>10</v>
      </c>
      <c r="F3398" s="194">
        <v>119.709</v>
      </c>
      <c r="G3398" t="s">
        <v>335</v>
      </c>
      <c r="H3398" s="79">
        <f t="shared" si="481"/>
        <v>2.8364379765988948E-2</v>
      </c>
    </row>
    <row r="3399" spans="1:17" x14ac:dyDescent="0.25">
      <c r="A3399" t="s">
        <v>878</v>
      </c>
      <c r="B3399" t="s">
        <v>333</v>
      </c>
      <c r="C3399">
        <v>25</v>
      </c>
      <c r="D3399" s="194">
        <v>3126.4140000000002</v>
      </c>
      <c r="E3399" t="s">
        <v>10</v>
      </c>
      <c r="F3399" s="194">
        <v>54.569000000000003</v>
      </c>
      <c r="G3399" t="s">
        <v>335</v>
      </c>
      <c r="H3399" s="79">
        <f t="shared" si="481"/>
        <v>1.7454182331578607E-2</v>
      </c>
    </row>
    <row r="3400" spans="1:17" x14ac:dyDescent="0.25">
      <c r="A3400" t="s">
        <v>879</v>
      </c>
      <c r="B3400" t="s">
        <v>333</v>
      </c>
      <c r="C3400">
        <v>25</v>
      </c>
      <c r="D3400" s="194">
        <v>2292.0610000000001</v>
      </c>
      <c r="E3400" t="s">
        <v>10</v>
      </c>
      <c r="F3400" s="194">
        <v>21.603000000000002</v>
      </c>
      <c r="G3400" t="s">
        <v>335</v>
      </c>
      <c r="H3400" s="79">
        <f t="shared" si="481"/>
        <v>9.4251418265046179E-3</v>
      </c>
    </row>
    <row r="3401" spans="1:17" x14ac:dyDescent="0.25">
      <c r="A3401" t="s">
        <v>880</v>
      </c>
      <c r="B3401" t="s">
        <v>333</v>
      </c>
      <c r="C3401">
        <v>25</v>
      </c>
      <c r="D3401" s="194">
        <v>7388.39</v>
      </c>
      <c r="E3401" t="s">
        <v>10</v>
      </c>
      <c r="F3401" s="194">
        <v>197.62899999999999</v>
      </c>
      <c r="G3401" t="s">
        <v>335</v>
      </c>
      <c r="H3401" s="79">
        <f t="shared" si="481"/>
        <v>2.6748587987369371E-2</v>
      </c>
    </row>
    <row r="3402" spans="1:17" x14ac:dyDescent="0.25">
      <c r="A3402"/>
      <c r="B3402"/>
      <c r="C3402"/>
      <c r="D3402" s="194"/>
      <c r="E3402"/>
      <c r="F3402" s="194"/>
      <c r="G3402"/>
      <c r="H3402" s="79" t="e">
        <f t="shared" si="481"/>
        <v>#DIV/0!</v>
      </c>
    </row>
    <row r="3403" spans="1:17" x14ac:dyDescent="0.25">
      <c r="A3403" t="s">
        <v>943</v>
      </c>
      <c r="B3403"/>
      <c r="C3403"/>
      <c r="D3403" s="194"/>
      <c r="E3403"/>
      <c r="F3403" s="194"/>
      <c r="G3403"/>
      <c r="H3403" s="79" t="e">
        <f t="shared" si="481"/>
        <v>#DIV/0!</v>
      </c>
    </row>
    <row r="3404" spans="1:17" ht="20" thickBot="1" x14ac:dyDescent="0.3">
      <c r="A3404" t="s">
        <v>2</v>
      </c>
      <c r="B3404" t="s">
        <v>3</v>
      </c>
      <c r="C3404" t="s">
        <v>4</v>
      </c>
      <c r="D3404" s="194" t="s">
        <v>5</v>
      </c>
      <c r="E3404" t="s">
        <v>6</v>
      </c>
      <c r="F3404" s="194" t="s">
        <v>7</v>
      </c>
      <c r="G3404"/>
      <c r="H3404" s="79" t="e">
        <f t="shared" si="481"/>
        <v>#VALUE!</v>
      </c>
    </row>
    <row r="3405" spans="1:17" x14ac:dyDescent="0.25">
      <c r="A3405" t="s">
        <v>944</v>
      </c>
      <c r="B3405" t="s">
        <v>333</v>
      </c>
      <c r="C3405">
        <v>25</v>
      </c>
      <c r="D3405" s="194">
        <v>824770.84199999995</v>
      </c>
      <c r="E3405" t="s">
        <v>10</v>
      </c>
      <c r="F3405" s="194">
        <v>43800.271999999997</v>
      </c>
      <c r="G3405" t="s">
        <v>335</v>
      </c>
      <c r="H3405" s="79">
        <f t="shared" si="481"/>
        <v>5.3105989893857085E-2</v>
      </c>
      <c r="J3405" s="106" t="str">
        <f>A3403</f>
        <v>plus2</v>
      </c>
      <c r="K3405" s="72" t="s">
        <v>344</v>
      </c>
      <c r="L3405" s="72" t="s">
        <v>341</v>
      </c>
      <c r="M3405" s="17" t="s">
        <v>162</v>
      </c>
      <c r="N3405" s="72" t="s">
        <v>343</v>
      </c>
      <c r="O3405" s="17" t="s">
        <v>162</v>
      </c>
      <c r="P3405" s="72" t="s">
        <v>342</v>
      </c>
      <c r="Q3405" s="21" t="s">
        <v>162</v>
      </c>
    </row>
    <row r="3406" spans="1:17" x14ac:dyDescent="0.25">
      <c r="A3406" t="s">
        <v>945</v>
      </c>
      <c r="B3406" t="s">
        <v>333</v>
      </c>
      <c r="C3406">
        <v>25</v>
      </c>
      <c r="D3406" s="194">
        <v>557947.37399999995</v>
      </c>
      <c r="E3406" t="s">
        <v>10</v>
      </c>
      <c r="F3406" s="194">
        <v>17771.877</v>
      </c>
      <c r="G3406" t="s">
        <v>335</v>
      </c>
      <c r="H3406" s="79">
        <f t="shared" si="481"/>
        <v>3.1852245979026694E-2</v>
      </c>
      <c r="J3406" s="6">
        <v>100000</v>
      </c>
      <c r="K3406" s="119">
        <f>D3405</f>
        <v>824770.84199999995</v>
      </c>
      <c r="L3406" s="119">
        <f>D3406</f>
        <v>557947.37399999995</v>
      </c>
      <c r="M3406" s="18">
        <f>(K3406/L3406-1)</f>
        <v>0.47822336018378686</v>
      </c>
      <c r="N3406" s="73">
        <f>D3407</f>
        <v>450125.11700000003</v>
      </c>
      <c r="O3406" s="18">
        <f>(K3406/N3406-1)</f>
        <v>0.83231464064245908</v>
      </c>
      <c r="P3406" s="73">
        <f>D3408</f>
        <v>246952.95199999999</v>
      </c>
      <c r="Q3406" s="22">
        <f>(K3406/P3406-1)</f>
        <v>2.3397893619834114</v>
      </c>
    </row>
    <row r="3407" spans="1:17" x14ac:dyDescent="0.25">
      <c r="A3407" t="s">
        <v>946</v>
      </c>
      <c r="B3407" t="s">
        <v>333</v>
      </c>
      <c r="C3407">
        <v>25</v>
      </c>
      <c r="D3407" s="194">
        <v>450125.11700000003</v>
      </c>
      <c r="E3407" t="s">
        <v>10</v>
      </c>
      <c r="F3407" s="194">
        <v>8952.607</v>
      </c>
      <c r="G3407" t="s">
        <v>335</v>
      </c>
      <c r="H3407" s="79">
        <f t="shared" si="481"/>
        <v>1.9889152286518594E-2</v>
      </c>
      <c r="J3407" s="6">
        <v>50000</v>
      </c>
      <c r="K3407" s="119">
        <f>D3409</f>
        <v>176354.86499999999</v>
      </c>
      <c r="L3407" s="119">
        <f>D3410</f>
        <v>194513.97099999999</v>
      </c>
      <c r="M3407" s="18">
        <f t="shared" ref="M3407:M3410" si="484">(K3407/L3407-1)</f>
        <v>-9.3356307038737096E-2</v>
      </c>
      <c r="N3407" s="73">
        <f>D3411</f>
        <v>163829.948</v>
      </c>
      <c r="O3407" s="18">
        <f t="shared" ref="O3407:O3410" si="485">(K3407/N3407-1)</f>
        <v>7.6450717056932627E-2</v>
      </c>
      <c r="P3407" s="73">
        <f>D3412</f>
        <v>110002.00599999999</v>
      </c>
      <c r="Q3407" s="22">
        <f t="shared" ref="Q3407:Q3410" si="486">(K3407/P3407-1)</f>
        <v>0.6031968089745563</v>
      </c>
    </row>
    <row r="3408" spans="1:17" x14ac:dyDescent="0.25">
      <c r="A3408" t="s">
        <v>947</v>
      </c>
      <c r="B3408" t="s">
        <v>333</v>
      </c>
      <c r="C3408">
        <v>25</v>
      </c>
      <c r="D3408" s="194">
        <v>246952.95199999999</v>
      </c>
      <c r="E3408" t="s">
        <v>10</v>
      </c>
      <c r="F3408" s="194">
        <v>5377.6580000000004</v>
      </c>
      <c r="G3408" t="s">
        <v>335</v>
      </c>
      <c r="H3408" s="79">
        <f t="shared" si="481"/>
        <v>2.1776042588063496E-2</v>
      </c>
      <c r="J3408" s="6">
        <v>10000</v>
      </c>
      <c r="K3408" s="119">
        <f>D3413</f>
        <v>33298.673999999999</v>
      </c>
      <c r="L3408" s="119">
        <f>D3414</f>
        <v>35608.667999999998</v>
      </c>
      <c r="M3408" s="18">
        <f t="shared" si="484"/>
        <v>-6.4871676750166585E-2</v>
      </c>
      <c r="N3408" s="73">
        <f>D3415</f>
        <v>29052.720000000001</v>
      </c>
      <c r="O3408" s="18">
        <f t="shared" si="485"/>
        <v>0.1461465225975398</v>
      </c>
      <c r="P3408" s="73">
        <f>D3416</f>
        <v>10735.269</v>
      </c>
      <c r="Q3408" s="22">
        <f t="shared" si="486"/>
        <v>2.101801547776772</v>
      </c>
    </row>
    <row r="3409" spans="1:17" x14ac:dyDescent="0.25">
      <c r="A3409" t="s">
        <v>963</v>
      </c>
      <c r="B3409" t="s">
        <v>333</v>
      </c>
      <c r="C3409">
        <v>25</v>
      </c>
      <c r="D3409" s="194">
        <v>176354.86499999999</v>
      </c>
      <c r="E3409" t="s">
        <v>10</v>
      </c>
      <c r="F3409" s="194">
        <v>6842.223</v>
      </c>
      <c r="G3409" t="s">
        <v>335</v>
      </c>
      <c r="H3409" s="79">
        <f t="shared" si="481"/>
        <v>3.8798039396304718E-2</v>
      </c>
      <c r="J3409" s="67">
        <v>1000</v>
      </c>
      <c r="K3409" s="119">
        <f>D3417</f>
        <v>2579.1010000000001</v>
      </c>
      <c r="L3409" s="119">
        <f>D3418</f>
        <v>3471.3589999999999</v>
      </c>
      <c r="M3409" s="18">
        <f t="shared" si="484"/>
        <v>-0.25703420475957683</v>
      </c>
      <c r="N3409" s="73">
        <f>D3419</f>
        <v>2808.6379999999999</v>
      </c>
      <c r="O3409" s="18">
        <f t="shared" si="485"/>
        <v>-8.1725377211303019E-2</v>
      </c>
      <c r="P3409" s="73">
        <f>D3420</f>
        <v>905.18700000000001</v>
      </c>
      <c r="Q3409" s="22">
        <f t="shared" si="486"/>
        <v>1.8492466197592323</v>
      </c>
    </row>
    <row r="3410" spans="1:17" ht="20" thickBot="1" x14ac:dyDescent="0.3">
      <c r="A3410" t="s">
        <v>948</v>
      </c>
      <c r="B3410" t="s">
        <v>333</v>
      </c>
      <c r="C3410">
        <v>25</v>
      </c>
      <c r="D3410" s="194">
        <v>194513.97099999999</v>
      </c>
      <c r="E3410" t="s">
        <v>10</v>
      </c>
      <c r="F3410" s="194">
        <v>5187.0069999999996</v>
      </c>
      <c r="G3410" t="s">
        <v>335</v>
      </c>
      <c r="H3410" s="79">
        <f t="shared" si="481"/>
        <v>2.6666500988764451E-2</v>
      </c>
      <c r="J3410" s="68">
        <v>100</v>
      </c>
      <c r="K3410" s="120">
        <f>D3421</f>
        <v>249.80500000000001</v>
      </c>
      <c r="L3410" s="120">
        <f>D3422</f>
        <v>387.53699999999998</v>
      </c>
      <c r="M3410" s="19">
        <f t="shared" si="484"/>
        <v>-0.35540348405442568</v>
      </c>
      <c r="N3410" s="74">
        <f>D3423</f>
        <v>323.75400000000002</v>
      </c>
      <c r="O3410" s="19">
        <f t="shared" si="485"/>
        <v>-0.22841107754653223</v>
      </c>
      <c r="P3410" s="74">
        <f>D3424</f>
        <v>118.223</v>
      </c>
      <c r="Q3410" s="23">
        <f t="shared" si="486"/>
        <v>1.1129983167403976</v>
      </c>
    </row>
    <row r="3411" spans="1:17" ht="20" thickBot="1" x14ac:dyDescent="0.3">
      <c r="A3411" t="s">
        <v>949</v>
      </c>
      <c r="B3411" t="s">
        <v>333</v>
      </c>
      <c r="C3411">
        <v>25</v>
      </c>
      <c r="D3411" s="194">
        <v>163829.948</v>
      </c>
      <c r="E3411" t="s">
        <v>10</v>
      </c>
      <c r="F3411" s="194">
        <v>4089.174</v>
      </c>
      <c r="G3411" t="s">
        <v>335</v>
      </c>
      <c r="H3411" s="79">
        <f t="shared" si="481"/>
        <v>2.4959868753666452E-2</v>
      </c>
    </row>
    <row r="3412" spans="1:17" x14ac:dyDescent="0.25">
      <c r="A3412" t="s">
        <v>950</v>
      </c>
      <c r="B3412" t="s">
        <v>333</v>
      </c>
      <c r="C3412">
        <v>25</v>
      </c>
      <c r="D3412" s="194">
        <v>110002.00599999999</v>
      </c>
      <c r="E3412" t="s">
        <v>10</v>
      </c>
      <c r="F3412" s="194">
        <v>2605.558</v>
      </c>
      <c r="G3412" t="s">
        <v>335</v>
      </c>
      <c r="H3412" s="79">
        <f t="shared" si="481"/>
        <v>2.3686458954212165E-2</v>
      </c>
      <c r="J3412" s="106" t="str">
        <f>A3403</f>
        <v>plus2</v>
      </c>
      <c r="K3412" s="72" t="s">
        <v>341</v>
      </c>
      <c r="L3412" s="72" t="s">
        <v>342</v>
      </c>
      <c r="M3412" s="17" t="s">
        <v>162</v>
      </c>
      <c r="N3412" s="72" t="s">
        <v>343</v>
      </c>
      <c r="O3412" s="21" t="s">
        <v>162</v>
      </c>
    </row>
    <row r="3413" spans="1:17" x14ac:dyDescent="0.25">
      <c r="A3413" t="s">
        <v>951</v>
      </c>
      <c r="B3413" t="s">
        <v>333</v>
      </c>
      <c r="C3413">
        <v>25</v>
      </c>
      <c r="D3413" s="194">
        <v>33298.673999999999</v>
      </c>
      <c r="E3413" t="s">
        <v>10</v>
      </c>
      <c r="F3413" s="194">
        <v>877.38800000000003</v>
      </c>
      <c r="G3413" t="s">
        <v>335</v>
      </c>
      <c r="H3413" s="79">
        <f t="shared" si="481"/>
        <v>2.6349037201901796E-2</v>
      </c>
      <c r="J3413" s="6">
        <v>100000</v>
      </c>
      <c r="K3413" s="119">
        <f>D3406</f>
        <v>557947.37399999995</v>
      </c>
      <c r="L3413" s="119">
        <f>D3408</f>
        <v>246952.95199999999</v>
      </c>
      <c r="M3413" s="18">
        <f>(K3413/L3413-1)</f>
        <v>1.259326602421015</v>
      </c>
      <c r="N3413" s="73">
        <f>D3407</f>
        <v>450125.11700000003</v>
      </c>
      <c r="O3413" s="22">
        <f>(N3413/L3413-1)</f>
        <v>0.82271608156358478</v>
      </c>
    </row>
    <row r="3414" spans="1:17" x14ac:dyDescent="0.25">
      <c r="A3414" t="s">
        <v>952</v>
      </c>
      <c r="B3414" t="s">
        <v>333</v>
      </c>
      <c r="C3414">
        <v>25</v>
      </c>
      <c r="D3414" s="194">
        <v>35608.667999999998</v>
      </c>
      <c r="E3414" t="s">
        <v>10</v>
      </c>
      <c r="F3414" s="194">
        <v>761.06100000000004</v>
      </c>
      <c r="G3414" t="s">
        <v>335</v>
      </c>
      <c r="H3414" s="79">
        <f t="shared" si="481"/>
        <v>2.1372914033178664E-2</v>
      </c>
      <c r="J3414" s="6">
        <v>50000</v>
      </c>
      <c r="K3414" s="119">
        <f>D3410</f>
        <v>194513.97099999999</v>
      </c>
      <c r="L3414" s="119">
        <f>D3412</f>
        <v>110002.00599999999</v>
      </c>
      <c r="M3414" s="18">
        <f t="shared" ref="M3414:M3417" si="487">(K3414/L3414-1)</f>
        <v>0.7682765803379985</v>
      </c>
      <c r="N3414" s="73">
        <f>D3411</f>
        <v>163829.948</v>
      </c>
      <c r="O3414" s="22">
        <f t="shared" ref="O3414:O3417" si="488">(N3414/L3414-1)</f>
        <v>0.48933600356342599</v>
      </c>
    </row>
    <row r="3415" spans="1:17" x14ac:dyDescent="0.25">
      <c r="A3415" t="s">
        <v>953</v>
      </c>
      <c r="B3415" t="s">
        <v>333</v>
      </c>
      <c r="C3415">
        <v>25</v>
      </c>
      <c r="D3415" s="194">
        <v>29052.720000000001</v>
      </c>
      <c r="E3415" t="s">
        <v>10</v>
      </c>
      <c r="F3415" s="194">
        <v>790.29300000000001</v>
      </c>
      <c r="G3415" t="s">
        <v>335</v>
      </c>
      <c r="H3415" s="79">
        <f t="shared" si="481"/>
        <v>2.7202031341643743E-2</v>
      </c>
      <c r="J3415" s="6">
        <v>10000</v>
      </c>
      <c r="K3415" s="119">
        <f>D3414</f>
        <v>35608.667999999998</v>
      </c>
      <c r="L3415" s="119">
        <f>D3416</f>
        <v>10735.269</v>
      </c>
      <c r="M3415" s="18">
        <f t="shared" si="487"/>
        <v>2.3169795745220729</v>
      </c>
      <c r="N3415" s="73">
        <f>D3415</f>
        <v>29052.720000000001</v>
      </c>
      <c r="O3415" s="22">
        <f t="shared" si="488"/>
        <v>1.7062870990936512</v>
      </c>
    </row>
    <row r="3416" spans="1:17" x14ac:dyDescent="0.25">
      <c r="A3416" t="s">
        <v>954</v>
      </c>
      <c r="B3416" t="s">
        <v>333</v>
      </c>
      <c r="C3416">
        <v>25</v>
      </c>
      <c r="D3416" s="194">
        <v>10735.269</v>
      </c>
      <c r="E3416" t="s">
        <v>10</v>
      </c>
      <c r="F3416" s="194">
        <v>294.73200000000003</v>
      </c>
      <c r="G3416" t="s">
        <v>335</v>
      </c>
      <c r="H3416" s="79">
        <f t="shared" si="481"/>
        <v>2.7454551907362547E-2</v>
      </c>
      <c r="J3416" s="67">
        <v>1000</v>
      </c>
      <c r="K3416" s="119">
        <f>D3418</f>
        <v>3471.3589999999999</v>
      </c>
      <c r="L3416" s="119">
        <f>D3420</f>
        <v>905.18700000000001</v>
      </c>
      <c r="M3416" s="18">
        <f t="shared" si="487"/>
        <v>2.8349633832567194</v>
      </c>
      <c r="N3416" s="73">
        <f>D3419</f>
        <v>2808.6379999999999</v>
      </c>
      <c r="O3416" s="22">
        <f t="shared" si="488"/>
        <v>2.1028262668376811</v>
      </c>
    </row>
    <row r="3417" spans="1:17" ht="20" thickBot="1" x14ac:dyDescent="0.3">
      <c r="A3417" t="s">
        <v>955</v>
      </c>
      <c r="B3417" t="s">
        <v>333</v>
      </c>
      <c r="C3417">
        <v>25</v>
      </c>
      <c r="D3417" s="194">
        <v>2579.1010000000001</v>
      </c>
      <c r="E3417" t="s">
        <v>10</v>
      </c>
      <c r="F3417" s="194">
        <v>69.373999999999995</v>
      </c>
      <c r="G3417" t="s">
        <v>335</v>
      </c>
      <c r="H3417" s="79">
        <f t="shared" si="481"/>
        <v>2.6898520065712816E-2</v>
      </c>
      <c r="J3417" s="68">
        <v>100</v>
      </c>
      <c r="K3417" s="120">
        <f>D3422</f>
        <v>387.53699999999998</v>
      </c>
      <c r="L3417" s="120">
        <f>D3424</f>
        <v>118.223</v>
      </c>
      <c r="M3417" s="19">
        <f t="shared" si="487"/>
        <v>2.2780169679334814</v>
      </c>
      <c r="N3417" s="74">
        <f>D3423</f>
        <v>323.75400000000002</v>
      </c>
      <c r="O3417" s="23">
        <f t="shared" si="488"/>
        <v>1.7385026602268594</v>
      </c>
    </row>
    <row r="3418" spans="1:17" x14ac:dyDescent="0.25">
      <c r="A3418" t="s">
        <v>956</v>
      </c>
      <c r="B3418" t="s">
        <v>333</v>
      </c>
      <c r="C3418">
        <v>25</v>
      </c>
      <c r="D3418" s="194">
        <v>3471.3589999999999</v>
      </c>
      <c r="E3418" t="s">
        <v>10</v>
      </c>
      <c r="F3418" s="194">
        <v>85.980999999999995</v>
      </c>
      <c r="G3418" t="s">
        <v>335</v>
      </c>
      <c r="H3418" s="79">
        <f t="shared" si="481"/>
        <v>2.4768685693412867E-2</v>
      </c>
    </row>
    <row r="3419" spans="1:17" x14ac:dyDescent="0.25">
      <c r="A3419" t="s">
        <v>957</v>
      </c>
      <c r="B3419" t="s">
        <v>333</v>
      </c>
      <c r="C3419">
        <v>25</v>
      </c>
      <c r="D3419" s="194">
        <v>2808.6379999999999</v>
      </c>
      <c r="E3419" t="s">
        <v>10</v>
      </c>
      <c r="F3419" s="194">
        <v>44.308</v>
      </c>
      <c r="G3419" t="s">
        <v>335</v>
      </c>
      <c r="H3419" s="79">
        <f t="shared" si="481"/>
        <v>1.5775617932962525E-2</v>
      </c>
    </row>
    <row r="3420" spans="1:17" x14ac:dyDescent="0.25">
      <c r="A3420" t="s">
        <v>958</v>
      </c>
      <c r="B3420" t="s">
        <v>333</v>
      </c>
      <c r="C3420">
        <v>25</v>
      </c>
      <c r="D3420" s="194">
        <v>905.18700000000001</v>
      </c>
      <c r="E3420" t="s">
        <v>10</v>
      </c>
      <c r="F3420" s="194">
        <v>26.53</v>
      </c>
      <c r="G3420" t="s">
        <v>335</v>
      </c>
      <c r="H3420" s="79">
        <f t="shared" si="481"/>
        <v>2.9308861041972542E-2</v>
      </c>
    </row>
    <row r="3421" spans="1:17" x14ac:dyDescent="0.25">
      <c r="A3421" t="s">
        <v>959</v>
      </c>
      <c r="B3421" t="s">
        <v>333</v>
      </c>
      <c r="C3421">
        <v>25</v>
      </c>
      <c r="D3421" s="194">
        <v>249.80500000000001</v>
      </c>
      <c r="E3421" t="s">
        <v>10</v>
      </c>
      <c r="F3421" s="194">
        <v>10.673</v>
      </c>
      <c r="G3421" t="s">
        <v>335</v>
      </c>
      <c r="H3421" s="79">
        <f t="shared" si="481"/>
        <v>4.2725325754088189E-2</v>
      </c>
    </row>
    <row r="3422" spans="1:17" x14ac:dyDescent="0.25">
      <c r="A3422" t="s">
        <v>960</v>
      </c>
      <c r="B3422" t="s">
        <v>333</v>
      </c>
      <c r="C3422">
        <v>25</v>
      </c>
      <c r="D3422" s="194">
        <v>387.53699999999998</v>
      </c>
      <c r="E3422" t="s">
        <v>10</v>
      </c>
      <c r="F3422" s="194">
        <v>8.859</v>
      </c>
      <c r="G3422" t="s">
        <v>335</v>
      </c>
      <c r="H3422" s="79">
        <f t="shared" si="481"/>
        <v>2.2859752746189399E-2</v>
      </c>
    </row>
    <row r="3423" spans="1:17" x14ac:dyDescent="0.25">
      <c r="A3423" t="s">
        <v>961</v>
      </c>
      <c r="B3423" t="s">
        <v>333</v>
      </c>
      <c r="C3423">
        <v>25</v>
      </c>
      <c r="D3423" s="194">
        <v>323.75400000000002</v>
      </c>
      <c r="E3423" t="s">
        <v>10</v>
      </c>
      <c r="F3423" s="194">
        <v>5.2850000000000001</v>
      </c>
      <c r="G3423" t="s">
        <v>335</v>
      </c>
      <c r="H3423" s="79">
        <f t="shared" si="481"/>
        <v>1.632412263632264E-2</v>
      </c>
    </row>
    <row r="3424" spans="1:17" x14ac:dyDescent="0.25">
      <c r="A3424" t="s">
        <v>962</v>
      </c>
      <c r="B3424" t="s">
        <v>333</v>
      </c>
      <c r="C3424">
        <v>25</v>
      </c>
      <c r="D3424" s="194">
        <v>118.223</v>
      </c>
      <c r="E3424" t="s">
        <v>10</v>
      </c>
      <c r="F3424" s="194">
        <v>3.0289999999999999</v>
      </c>
      <c r="G3424" t="s">
        <v>335</v>
      </c>
      <c r="H3424" s="79">
        <f t="shared" si="481"/>
        <v>2.5621072041819272E-2</v>
      </c>
    </row>
    <row r="3425" spans="1:15" x14ac:dyDescent="0.25">
      <c r="A3425"/>
      <c r="B3425"/>
      <c r="C3425"/>
      <c r="D3425" s="194"/>
      <c r="E3425"/>
      <c r="F3425" s="194"/>
      <c r="G3425"/>
      <c r="H3425" s="79" t="e">
        <f t="shared" si="481"/>
        <v>#DIV/0!</v>
      </c>
    </row>
    <row r="3426" spans="1:15" x14ac:dyDescent="0.25">
      <c r="A3426" t="s">
        <v>1244</v>
      </c>
      <c r="B3426"/>
      <c r="C3426"/>
      <c r="D3426" s="194"/>
      <c r="E3426"/>
      <c r="F3426" s="194"/>
      <c r="G3426"/>
      <c r="H3426" s="79" t="e">
        <f t="shared" si="481"/>
        <v>#DIV/0!</v>
      </c>
    </row>
    <row r="3427" spans="1:15" x14ac:dyDescent="0.25">
      <c r="A3427" t="s">
        <v>2</v>
      </c>
      <c r="B3427" t="s">
        <v>3</v>
      </c>
      <c r="C3427" t="s">
        <v>4</v>
      </c>
      <c r="D3427" s="194" t="s">
        <v>5</v>
      </c>
      <c r="E3427" t="s">
        <v>6</v>
      </c>
      <c r="F3427" s="194" t="s">
        <v>7</v>
      </c>
      <c r="G3427"/>
      <c r="H3427" s="79" t="e">
        <f t="shared" si="481"/>
        <v>#VALUE!</v>
      </c>
    </row>
    <row r="3428" spans="1:15" x14ac:dyDescent="0.25">
      <c r="A3428" t="s">
        <v>1157</v>
      </c>
      <c r="B3428" t="s">
        <v>333</v>
      </c>
      <c r="C3428">
        <v>25</v>
      </c>
      <c r="D3428" s="194">
        <v>43219.678999999996</v>
      </c>
      <c r="E3428" t="s">
        <v>10</v>
      </c>
      <c r="F3428" s="194">
        <v>1324.3420000000001</v>
      </c>
      <c r="G3428" t="s">
        <v>335</v>
      </c>
      <c r="H3428" s="79">
        <f t="shared" si="481"/>
        <v>3.0642106342344658E-2</v>
      </c>
    </row>
    <row r="3429" spans="1:15" x14ac:dyDescent="0.25">
      <c r="A3429" t="s">
        <v>1154</v>
      </c>
      <c r="B3429" t="s">
        <v>333</v>
      </c>
      <c r="C3429">
        <v>25</v>
      </c>
      <c r="D3429" s="194">
        <v>5661.0860000000002</v>
      </c>
      <c r="E3429" t="s">
        <v>10</v>
      </c>
      <c r="F3429" s="194">
        <v>190.48099999999999</v>
      </c>
      <c r="G3429" t="s">
        <v>335</v>
      </c>
      <c r="H3429" s="79">
        <f t="shared" si="481"/>
        <v>3.3647430899300945E-2</v>
      </c>
    </row>
    <row r="3430" spans="1:15" x14ac:dyDescent="0.25">
      <c r="A3430" t="s">
        <v>1156</v>
      </c>
      <c r="B3430" t="s">
        <v>333</v>
      </c>
      <c r="C3430">
        <v>25</v>
      </c>
      <c r="D3430" s="194">
        <v>42922.754000000001</v>
      </c>
      <c r="E3430" t="s">
        <v>10</v>
      </c>
      <c r="F3430" s="194">
        <v>982.60699999999997</v>
      </c>
      <c r="G3430" t="s">
        <v>335</v>
      </c>
      <c r="H3430" s="79">
        <f t="shared" si="481"/>
        <v>2.2892450004489459E-2</v>
      </c>
    </row>
    <row r="3431" spans="1:15" x14ac:dyDescent="0.25">
      <c r="A3431" t="s">
        <v>1158</v>
      </c>
      <c r="B3431" t="s">
        <v>333</v>
      </c>
      <c r="C3431">
        <v>25</v>
      </c>
      <c r="D3431" s="194">
        <v>90535.076000000001</v>
      </c>
      <c r="E3431" t="s">
        <v>10</v>
      </c>
      <c r="F3431" s="194">
        <v>2185.3589999999999</v>
      </c>
      <c r="G3431" t="s">
        <v>335</v>
      </c>
      <c r="H3431" s="79">
        <f t="shared" si="481"/>
        <v>2.4138257751062139E-2</v>
      </c>
    </row>
    <row r="3432" spans="1:15" x14ac:dyDescent="0.25">
      <c r="A3432" t="s">
        <v>1159</v>
      </c>
      <c r="B3432" t="s">
        <v>333</v>
      </c>
      <c r="C3432">
        <v>25</v>
      </c>
      <c r="D3432" s="194">
        <v>128774.49400000001</v>
      </c>
      <c r="E3432" t="s">
        <v>10</v>
      </c>
      <c r="F3432" s="194">
        <v>3246.0070000000001</v>
      </c>
      <c r="G3432" t="s">
        <v>335</v>
      </c>
      <c r="H3432" s="79">
        <f t="shared" si="481"/>
        <v>2.5206909374460441E-2</v>
      </c>
    </row>
    <row r="3433" spans="1:15" x14ac:dyDescent="0.25">
      <c r="A3433" t="s">
        <v>1160</v>
      </c>
      <c r="B3433" t="s">
        <v>333</v>
      </c>
      <c r="C3433">
        <v>25</v>
      </c>
      <c r="D3433" s="194">
        <v>216838.853</v>
      </c>
      <c r="E3433" t="s">
        <v>10</v>
      </c>
      <c r="F3433" s="194">
        <v>4881.7439999999997</v>
      </c>
      <c r="G3433" t="s">
        <v>335</v>
      </c>
      <c r="H3433" s="79">
        <f t="shared" si="481"/>
        <v>2.2513234747649213E-2</v>
      </c>
    </row>
    <row r="3434" spans="1:15" x14ac:dyDescent="0.25">
      <c r="A3434" t="s">
        <v>1155</v>
      </c>
      <c r="B3434" t="s">
        <v>333</v>
      </c>
      <c r="C3434">
        <v>25</v>
      </c>
      <c r="D3434" s="194">
        <v>464292.92200000002</v>
      </c>
      <c r="E3434" t="s">
        <v>10</v>
      </c>
      <c r="F3434" s="194">
        <v>13659.816000000001</v>
      </c>
      <c r="G3434" t="s">
        <v>335</v>
      </c>
      <c r="H3434" s="79">
        <f t="shared" si="481"/>
        <v>2.9420685418073207E-2</v>
      </c>
    </row>
    <row r="3435" spans="1:15" x14ac:dyDescent="0.25">
      <c r="A3435"/>
      <c r="B3435"/>
      <c r="C3435"/>
      <c r="D3435" s="194"/>
      <c r="E3435"/>
      <c r="F3435" s="194"/>
      <c r="G3435"/>
      <c r="H3435" s="79" t="e">
        <f t="shared" si="481"/>
        <v>#DIV/0!</v>
      </c>
    </row>
    <row r="3436" spans="1:15" x14ac:dyDescent="0.25">
      <c r="A3436" t="s">
        <v>618</v>
      </c>
      <c r="B3436"/>
      <c r="C3436"/>
      <c r="D3436" s="194"/>
      <c r="E3436"/>
      <c r="F3436" s="194"/>
      <c r="G3436"/>
      <c r="H3436" s="79" t="e">
        <f t="shared" si="481"/>
        <v>#DIV/0!</v>
      </c>
    </row>
    <row r="3437" spans="1:15" ht="20" thickBot="1" x14ac:dyDescent="0.3">
      <c r="A3437" t="s">
        <v>2</v>
      </c>
      <c r="B3437" t="s">
        <v>3</v>
      </c>
      <c r="C3437" t="s">
        <v>4</v>
      </c>
      <c r="D3437" s="194" t="s">
        <v>5</v>
      </c>
      <c r="E3437" t="s">
        <v>6</v>
      </c>
      <c r="F3437" s="194" t="s">
        <v>7</v>
      </c>
      <c r="G3437"/>
      <c r="H3437" s="79" t="e">
        <f t="shared" si="481"/>
        <v>#VALUE!</v>
      </c>
    </row>
    <row r="3438" spans="1:15" x14ac:dyDescent="0.25">
      <c r="A3438" t="s">
        <v>776</v>
      </c>
      <c r="B3438" t="s">
        <v>333</v>
      </c>
      <c r="C3438">
        <v>25</v>
      </c>
      <c r="D3438" s="194">
        <v>73440.612999999998</v>
      </c>
      <c r="E3438" t="s">
        <v>10</v>
      </c>
      <c r="F3438" s="194">
        <v>2228.6170000000002</v>
      </c>
      <c r="G3438" t="s">
        <v>335</v>
      </c>
      <c r="H3438" s="79">
        <f t="shared" si="481"/>
        <v>3.0345838752734815E-2</v>
      </c>
      <c r="J3438" s="5" t="s">
        <v>627</v>
      </c>
      <c r="K3438" s="72" t="s">
        <v>340</v>
      </c>
      <c r="L3438" s="72" t="s">
        <v>341</v>
      </c>
      <c r="M3438" s="21" t="s">
        <v>162</v>
      </c>
      <c r="N3438" s="72" t="s">
        <v>342</v>
      </c>
      <c r="O3438" s="21" t="s">
        <v>162</v>
      </c>
    </row>
    <row r="3439" spans="1:15" x14ac:dyDescent="0.25">
      <c r="A3439" t="s">
        <v>777</v>
      </c>
      <c r="B3439" t="s">
        <v>333</v>
      </c>
      <c r="C3439">
        <v>25</v>
      </c>
      <c r="D3439" s="194">
        <v>9993.6759999999995</v>
      </c>
      <c r="E3439" t="s">
        <v>10</v>
      </c>
      <c r="F3439" s="194">
        <v>279.55900000000003</v>
      </c>
      <c r="G3439" t="s">
        <v>335</v>
      </c>
      <c r="H3439" s="79">
        <f t="shared" si="481"/>
        <v>2.7973590498631337E-2</v>
      </c>
      <c r="J3439" s="6">
        <v>1</v>
      </c>
      <c r="K3439" s="119">
        <f>D3438</f>
        <v>73440.612999999998</v>
      </c>
      <c r="L3439" s="119">
        <f>D3439</f>
        <v>9993.6759999999995</v>
      </c>
      <c r="M3439" s="18">
        <f t="shared" ref="M3439:M3442" si="489">(K3439/L3439-1)</f>
        <v>6.3487086233333958</v>
      </c>
      <c r="N3439" s="73">
        <f>D3440</f>
        <v>73590.429000000004</v>
      </c>
      <c r="O3439" s="22">
        <f t="shared" ref="O3439:O3442" si="490">(K3439/N3439-1)</f>
        <v>-2.0358082163104418E-3</v>
      </c>
    </row>
    <row r="3440" spans="1:15" x14ac:dyDescent="0.25">
      <c r="A3440" t="s">
        <v>1172</v>
      </c>
      <c r="B3440" t="s">
        <v>333</v>
      </c>
      <c r="C3440">
        <v>25</v>
      </c>
      <c r="D3440" s="194">
        <v>73590.429000000004</v>
      </c>
      <c r="E3440" t="s">
        <v>10</v>
      </c>
      <c r="F3440" s="194">
        <v>2353.076</v>
      </c>
      <c r="G3440" t="s">
        <v>335</v>
      </c>
      <c r="H3440" s="79">
        <f t="shared" si="481"/>
        <v>3.1975299396610389E-2</v>
      </c>
      <c r="J3440" s="6">
        <v>2</v>
      </c>
      <c r="K3440" s="119">
        <f>D3441</f>
        <v>93871.983999999997</v>
      </c>
      <c r="L3440" s="119">
        <f>D3442</f>
        <v>97557.763999999996</v>
      </c>
      <c r="M3440" s="18">
        <f t="shared" si="489"/>
        <v>-3.7780488695907333E-2</v>
      </c>
      <c r="N3440" s="73">
        <f>D3443</f>
        <v>130702.058</v>
      </c>
      <c r="O3440" s="22">
        <f t="shared" si="490"/>
        <v>-0.28178648877892964</v>
      </c>
    </row>
    <row r="3441" spans="1:15" x14ac:dyDescent="0.25">
      <c r="A3441" t="s">
        <v>621</v>
      </c>
      <c r="B3441" t="s">
        <v>333</v>
      </c>
      <c r="C3441">
        <v>25</v>
      </c>
      <c r="D3441" s="194">
        <v>93871.983999999997</v>
      </c>
      <c r="E3441" t="s">
        <v>10</v>
      </c>
      <c r="F3441" s="194">
        <v>3819.6329999999998</v>
      </c>
      <c r="G3441" t="s">
        <v>335</v>
      </c>
      <c r="H3441" s="79">
        <f t="shared" si="481"/>
        <v>4.068980794099334E-2</v>
      </c>
      <c r="J3441" s="67">
        <v>3</v>
      </c>
      <c r="K3441" s="119">
        <f>D3444</f>
        <v>138930.49400000001</v>
      </c>
      <c r="L3441" s="119">
        <f>D3445</f>
        <v>206742.614</v>
      </c>
      <c r="M3441" s="18">
        <f t="shared" si="489"/>
        <v>-0.32800262455808937</v>
      </c>
      <c r="N3441" s="73">
        <f>D3446</f>
        <v>113955.481</v>
      </c>
      <c r="O3441" s="22">
        <f t="shared" si="490"/>
        <v>0.21916464904395427</v>
      </c>
    </row>
    <row r="3442" spans="1:15" x14ac:dyDescent="0.25">
      <c r="A3442" t="s">
        <v>622</v>
      </c>
      <c r="B3442" t="s">
        <v>333</v>
      </c>
      <c r="C3442">
        <v>25</v>
      </c>
      <c r="D3442" s="194">
        <v>97557.763999999996</v>
      </c>
      <c r="E3442" t="s">
        <v>10</v>
      </c>
      <c r="F3442" s="194">
        <v>3220.7130000000002</v>
      </c>
      <c r="G3442" t="s">
        <v>335</v>
      </c>
      <c r="H3442" s="79">
        <f t="shared" si="481"/>
        <v>3.30133950179506E-2</v>
      </c>
      <c r="J3442" s="67">
        <v>5</v>
      </c>
      <c r="K3442" s="119">
        <f>D3447</f>
        <v>215570.69500000001</v>
      </c>
      <c r="L3442" s="119">
        <f>D3448</f>
        <v>328553.54300000001</v>
      </c>
      <c r="M3442" s="18">
        <f t="shared" si="489"/>
        <v>-0.34387956059874236</v>
      </c>
      <c r="N3442" s="73">
        <f>D3449</f>
        <v>186716.45</v>
      </c>
      <c r="O3442" s="22">
        <f t="shared" si="490"/>
        <v>0.15453509854113001</v>
      </c>
    </row>
    <row r="3443" spans="1:15" ht="20" thickBot="1" x14ac:dyDescent="0.3">
      <c r="A3443" t="s">
        <v>1173</v>
      </c>
      <c r="B3443" t="s">
        <v>333</v>
      </c>
      <c r="C3443">
        <v>25</v>
      </c>
      <c r="D3443" s="194">
        <v>130702.058</v>
      </c>
      <c r="E3443" t="s">
        <v>10</v>
      </c>
      <c r="F3443" s="194">
        <v>3849.1280000000002</v>
      </c>
      <c r="G3443" t="s">
        <v>335</v>
      </c>
      <c r="H3443" s="79">
        <f t="shared" si="481"/>
        <v>2.9449635750953516E-2</v>
      </c>
      <c r="J3443" s="7">
        <v>10</v>
      </c>
      <c r="K3443" s="120">
        <f>Измерения!D3450</f>
        <v>378703.75900000002</v>
      </c>
      <c r="L3443" s="120">
        <f>D3451</f>
        <v>472761.44400000002</v>
      </c>
      <c r="M3443" s="19">
        <f>(K3443/L3443-1)</f>
        <v>-0.19895379835585747</v>
      </c>
      <c r="N3443" s="74">
        <f>D3452</f>
        <v>301408.13500000001</v>
      </c>
      <c r="O3443" s="23">
        <f>(K3443/N3443-1)</f>
        <v>0.25644836692944595</v>
      </c>
    </row>
    <row r="3444" spans="1:15" x14ac:dyDescent="0.25">
      <c r="A3444" t="s">
        <v>623</v>
      </c>
      <c r="B3444" t="s">
        <v>333</v>
      </c>
      <c r="C3444">
        <v>25</v>
      </c>
      <c r="D3444" s="194">
        <v>138930.49400000001</v>
      </c>
      <c r="E3444" t="s">
        <v>10</v>
      </c>
      <c r="F3444" s="194">
        <v>6354.692</v>
      </c>
      <c r="G3444" t="s">
        <v>335</v>
      </c>
      <c r="H3444" s="79">
        <f t="shared" si="481"/>
        <v>4.5740080647809399E-2</v>
      </c>
    </row>
    <row r="3445" spans="1:15" x14ac:dyDescent="0.25">
      <c r="A3445" t="s">
        <v>624</v>
      </c>
      <c r="B3445" t="s">
        <v>333</v>
      </c>
      <c r="C3445">
        <v>25</v>
      </c>
      <c r="D3445" s="194">
        <v>206742.614</v>
      </c>
      <c r="E3445" t="s">
        <v>10</v>
      </c>
      <c r="F3445" s="194">
        <v>6752.2929999999997</v>
      </c>
      <c r="G3445" t="s">
        <v>335</v>
      </c>
      <c r="H3445" s="79">
        <f t="shared" si="481"/>
        <v>3.2660383214463948E-2</v>
      </c>
    </row>
    <row r="3446" spans="1:15" x14ac:dyDescent="0.25">
      <c r="A3446" t="s">
        <v>1174</v>
      </c>
      <c r="B3446" t="s">
        <v>333</v>
      </c>
      <c r="C3446">
        <v>25</v>
      </c>
      <c r="D3446" s="194">
        <v>113955.481</v>
      </c>
      <c r="E3446" t="s">
        <v>10</v>
      </c>
      <c r="F3446" s="194">
        <v>3202.0279999999998</v>
      </c>
      <c r="G3446" t="s">
        <v>335</v>
      </c>
      <c r="H3446" s="79">
        <f t="shared" si="481"/>
        <v>2.8098938040549359E-2</v>
      </c>
    </row>
    <row r="3447" spans="1:15" x14ac:dyDescent="0.25">
      <c r="A3447" t="s">
        <v>625</v>
      </c>
      <c r="B3447" t="s">
        <v>333</v>
      </c>
      <c r="C3447">
        <v>25</v>
      </c>
      <c r="D3447" s="194">
        <v>215570.69500000001</v>
      </c>
      <c r="E3447" t="s">
        <v>10</v>
      </c>
      <c r="F3447" s="194">
        <v>5735.8440000000001</v>
      </c>
      <c r="G3447" t="s">
        <v>335</v>
      </c>
      <c r="H3447" s="79">
        <f t="shared" si="481"/>
        <v>2.6607716786365605E-2</v>
      </c>
    </row>
    <row r="3448" spans="1:15" x14ac:dyDescent="0.25">
      <c r="A3448" t="s">
        <v>626</v>
      </c>
      <c r="B3448" t="s">
        <v>333</v>
      </c>
      <c r="C3448">
        <v>25</v>
      </c>
      <c r="D3448" s="194">
        <v>328553.54300000001</v>
      </c>
      <c r="E3448" t="s">
        <v>10</v>
      </c>
      <c r="F3448" s="194">
        <v>6274.0550000000003</v>
      </c>
      <c r="G3448" t="s">
        <v>335</v>
      </c>
      <c r="H3448" s="79">
        <f t="shared" si="481"/>
        <v>1.9095989477733315E-2</v>
      </c>
    </row>
    <row r="3449" spans="1:15" x14ac:dyDescent="0.25">
      <c r="A3449" t="s">
        <v>1175</v>
      </c>
      <c r="B3449" t="s">
        <v>333</v>
      </c>
      <c r="C3449">
        <v>25</v>
      </c>
      <c r="D3449" s="194">
        <v>186716.45</v>
      </c>
      <c r="E3449" t="s">
        <v>10</v>
      </c>
      <c r="F3449" s="194">
        <v>3573.0880000000002</v>
      </c>
      <c r="G3449" t="s">
        <v>335</v>
      </c>
      <c r="H3449" s="79">
        <f t="shared" si="481"/>
        <v>1.9136439237142738E-2</v>
      </c>
    </row>
    <row r="3450" spans="1:15" x14ac:dyDescent="0.25">
      <c r="A3450" t="s">
        <v>619</v>
      </c>
      <c r="B3450" t="s">
        <v>333</v>
      </c>
      <c r="C3450">
        <v>25</v>
      </c>
      <c r="D3450" s="194">
        <v>378703.75900000002</v>
      </c>
      <c r="E3450" t="s">
        <v>10</v>
      </c>
      <c r="F3450" s="194">
        <v>10947.669</v>
      </c>
      <c r="G3450" t="s">
        <v>335</v>
      </c>
      <c r="H3450" s="79">
        <f t="shared" si="481"/>
        <v>2.8908265999017978E-2</v>
      </c>
    </row>
    <row r="3451" spans="1:15" x14ac:dyDescent="0.25">
      <c r="A3451" t="s">
        <v>620</v>
      </c>
      <c r="B3451" t="s">
        <v>333</v>
      </c>
      <c r="C3451">
        <v>25</v>
      </c>
      <c r="D3451" s="194">
        <v>472761.44400000002</v>
      </c>
      <c r="E3451" t="s">
        <v>10</v>
      </c>
      <c r="F3451" s="194">
        <v>13561.545</v>
      </c>
      <c r="G3451" t="s">
        <v>335</v>
      </c>
      <c r="H3451" s="79">
        <f t="shared" ref="H3451:H3452" si="491">F3451/D3451</f>
        <v>2.8685810089030865E-2</v>
      </c>
    </row>
    <row r="3452" spans="1:15" x14ac:dyDescent="0.25">
      <c r="A3452" t="s">
        <v>1171</v>
      </c>
      <c r="B3452" t="s">
        <v>333</v>
      </c>
      <c r="C3452">
        <v>25</v>
      </c>
      <c r="D3452" s="194">
        <v>301408.13500000001</v>
      </c>
      <c r="E3452" t="s">
        <v>10</v>
      </c>
      <c r="F3452" s="194">
        <v>9620.3240000000005</v>
      </c>
      <c r="G3452" t="s">
        <v>335</v>
      </c>
      <c r="H3452" s="79">
        <f t="shared" si="491"/>
        <v>3.1917930814972864E-2</v>
      </c>
    </row>
    <row r="3453" spans="1:15" x14ac:dyDescent="0.25">
      <c r="A3453" s="114" t="s">
        <v>1307</v>
      </c>
      <c r="B3453" s="114"/>
      <c r="C3453" s="114"/>
      <c r="D3453" s="193"/>
      <c r="E3453" s="114"/>
      <c r="F3453" s="193"/>
      <c r="G3453" s="114"/>
      <c r="H3453" s="114"/>
      <c r="I3453" s="114"/>
      <c r="J3453" s="114"/>
      <c r="K3453" s="122"/>
      <c r="L3453" s="122"/>
      <c r="M3453" s="116"/>
      <c r="N3453" s="115"/>
      <c r="O3453" s="116"/>
    </row>
    <row r="3454" spans="1:15" x14ac:dyDescent="0.25">
      <c r="A3454" s="137"/>
      <c r="B3454" s="137"/>
      <c r="C3454" s="137"/>
      <c r="D3454" s="196"/>
      <c r="E3454" s="137"/>
      <c r="F3454" s="196"/>
      <c r="G3454" s="137"/>
    </row>
    <row r="3455" spans="1:15" x14ac:dyDescent="0.25">
      <c r="A3455" s="137" t="s">
        <v>1246</v>
      </c>
      <c r="B3455" s="137"/>
      <c r="C3455" s="137"/>
      <c r="D3455" s="196"/>
      <c r="E3455" s="137"/>
      <c r="F3455" s="196"/>
      <c r="G3455" s="137"/>
    </row>
    <row r="3456" spans="1:15" ht="20" thickBot="1" x14ac:dyDescent="0.3">
      <c r="A3456" s="137" t="s">
        <v>2</v>
      </c>
      <c r="B3456" s="137" t="s">
        <v>3</v>
      </c>
      <c r="C3456" s="137" t="s">
        <v>504</v>
      </c>
      <c r="D3456" s="196" t="s">
        <v>5</v>
      </c>
      <c r="E3456" s="137" t="s">
        <v>1247</v>
      </c>
      <c r="F3456" s="196" t="s">
        <v>505</v>
      </c>
      <c r="G3456" s="137" t="s">
        <v>506</v>
      </c>
    </row>
    <row r="3457" spans="1:16" x14ac:dyDescent="0.25">
      <c r="A3457" s="137" t="s">
        <v>1308</v>
      </c>
      <c r="B3457" s="137" t="s">
        <v>333</v>
      </c>
      <c r="C3457" s="137">
        <v>25</v>
      </c>
      <c r="D3457" s="196">
        <v>91188890.373401001</v>
      </c>
      <c r="E3457" s="137">
        <v>1</v>
      </c>
      <c r="F3457" s="196">
        <v>1621831.2429480001</v>
      </c>
      <c r="G3457" s="137" t="s">
        <v>335</v>
      </c>
      <c r="H3457" s="79">
        <f t="shared" ref="H3457:H3466" si="492">F3457/D3457</f>
        <v>1.7785403861225995E-2</v>
      </c>
      <c r="J3457" s="5"/>
      <c r="K3457" s="72"/>
      <c r="L3457" s="72"/>
      <c r="M3457" s="21"/>
      <c r="N3457" s="72"/>
      <c r="O3457" s="21"/>
    </row>
    <row r="3458" spans="1:16" x14ac:dyDescent="0.25">
      <c r="A3458" s="137" t="s">
        <v>1309</v>
      </c>
      <c r="B3458" s="137" t="s">
        <v>333</v>
      </c>
      <c r="C3458" s="137">
        <v>25</v>
      </c>
      <c r="D3458" s="196">
        <v>348200258.22294402</v>
      </c>
      <c r="E3458" s="137">
        <v>1</v>
      </c>
      <c r="F3458" s="196">
        <v>10378753.386255</v>
      </c>
      <c r="G3458" s="137" t="s">
        <v>335</v>
      </c>
      <c r="H3458" s="79">
        <f t="shared" si="492"/>
        <v>2.9806851491792234E-2</v>
      </c>
      <c r="J3458" s="6"/>
      <c r="K3458" s="119"/>
      <c r="L3458" s="119"/>
      <c r="M3458" s="18"/>
      <c r="N3458" s="73"/>
      <c r="O3458" s="22"/>
    </row>
    <row r="3459" spans="1:16" x14ac:dyDescent="0.25">
      <c r="A3459" s="137" t="s">
        <v>1310</v>
      </c>
      <c r="B3459" s="137" t="s">
        <v>333</v>
      </c>
      <c r="C3459" s="137">
        <v>25</v>
      </c>
      <c r="D3459" s="196">
        <v>369863740.97396398</v>
      </c>
      <c r="E3459" s="137">
        <v>1</v>
      </c>
      <c r="F3459" s="196">
        <v>10912111.42059</v>
      </c>
      <c r="G3459" s="137" t="s">
        <v>335</v>
      </c>
      <c r="H3459" s="79">
        <f t="shared" si="492"/>
        <v>2.9503058050121607E-2</v>
      </c>
      <c r="J3459" s="6"/>
      <c r="K3459" s="119"/>
      <c r="L3459" s="119"/>
      <c r="M3459" s="18"/>
      <c r="N3459" s="73"/>
      <c r="O3459" s="22"/>
    </row>
    <row r="3460" spans="1:16" x14ac:dyDescent="0.25">
      <c r="A3460" s="137" t="s">
        <v>1311</v>
      </c>
      <c r="B3460" s="137" t="s">
        <v>333</v>
      </c>
      <c r="C3460" s="137">
        <v>25</v>
      </c>
      <c r="D3460" s="196">
        <v>538495648.50182903</v>
      </c>
      <c r="E3460" s="137">
        <v>1</v>
      </c>
      <c r="F3460" s="196">
        <v>13453490.347761</v>
      </c>
      <c r="G3460" s="137" t="s">
        <v>335</v>
      </c>
      <c r="H3460" s="79">
        <f t="shared" si="492"/>
        <v>2.4983470869617073E-2</v>
      </c>
      <c r="J3460" s="67"/>
      <c r="K3460" s="119"/>
      <c r="L3460" s="119"/>
      <c r="M3460" s="18"/>
      <c r="N3460" s="73"/>
      <c r="O3460" s="22"/>
    </row>
    <row r="3461" spans="1:16" x14ac:dyDescent="0.25">
      <c r="A3461" s="137" t="s">
        <v>1312</v>
      </c>
      <c r="B3461" s="137" t="s">
        <v>333</v>
      </c>
      <c r="C3461" s="137">
        <v>25</v>
      </c>
      <c r="D3461" s="196">
        <v>908223902.60181797</v>
      </c>
      <c r="E3461" s="137">
        <v>1</v>
      </c>
      <c r="F3461" s="196">
        <v>18256655.362264998</v>
      </c>
      <c r="G3461" s="137" t="s">
        <v>335</v>
      </c>
      <c r="H3461" s="79">
        <f t="shared" si="492"/>
        <v>2.0101491834738743E-2</v>
      </c>
      <c r="J3461" s="67"/>
      <c r="K3461" s="119"/>
      <c r="L3461" s="119"/>
      <c r="M3461" s="18"/>
      <c r="N3461" s="73"/>
      <c r="O3461" s="22"/>
    </row>
    <row r="3462" spans="1:16" ht="20" thickBot="1" x14ac:dyDescent="0.3">
      <c r="A3462" s="137" t="s">
        <v>1313</v>
      </c>
      <c r="B3462" s="137" t="s">
        <v>333</v>
      </c>
      <c r="C3462" s="137">
        <v>25</v>
      </c>
      <c r="D3462" s="196">
        <v>826314675.34897399</v>
      </c>
      <c r="E3462" s="137">
        <v>1</v>
      </c>
      <c r="F3462" s="196">
        <v>12443024.524312001</v>
      </c>
      <c r="G3462" s="137" t="s">
        <v>335</v>
      </c>
      <c r="H3462" s="79">
        <f t="shared" si="492"/>
        <v>1.5058457625791277E-2</v>
      </c>
      <c r="J3462" s="7"/>
      <c r="K3462" s="120"/>
      <c r="L3462" s="120"/>
      <c r="M3462" s="19"/>
      <c r="N3462" s="74"/>
      <c r="O3462" s="23"/>
    </row>
    <row r="3463" spans="1:16" x14ac:dyDescent="0.25">
      <c r="A3463" s="137" t="s">
        <v>1314</v>
      </c>
      <c r="B3463" s="137" t="s">
        <v>333</v>
      </c>
      <c r="C3463" s="137">
        <v>25</v>
      </c>
      <c r="D3463" s="196">
        <v>1051466090.0039999</v>
      </c>
      <c r="E3463" s="137">
        <v>1</v>
      </c>
      <c r="F3463" s="196">
        <v>9782902.5838849992</v>
      </c>
      <c r="G3463" s="137" t="s">
        <v>335</v>
      </c>
      <c r="H3463" s="79">
        <f t="shared" si="492"/>
        <v>9.3040590437374771E-3</v>
      </c>
    </row>
    <row r="3464" spans="1:16" x14ac:dyDescent="0.25">
      <c r="A3464" s="137" t="s">
        <v>1315</v>
      </c>
      <c r="B3464" s="137" t="s">
        <v>333</v>
      </c>
      <c r="C3464" s="137">
        <v>25</v>
      </c>
      <c r="D3464" s="196">
        <v>1066871478.1653301</v>
      </c>
      <c r="E3464" s="137">
        <v>1</v>
      </c>
      <c r="F3464" s="196">
        <v>25225929.812564999</v>
      </c>
      <c r="G3464" s="137" t="s">
        <v>335</v>
      </c>
      <c r="H3464" s="79">
        <f t="shared" si="492"/>
        <v>2.3644769148712594E-2</v>
      </c>
    </row>
    <row r="3465" spans="1:16" x14ac:dyDescent="0.25">
      <c r="A3465" s="137" t="s">
        <v>1316</v>
      </c>
      <c r="B3465" s="137" t="s">
        <v>333</v>
      </c>
      <c r="C3465" s="137">
        <v>25</v>
      </c>
      <c r="D3465" s="196">
        <v>1383422585.2850001</v>
      </c>
      <c r="E3465" s="137">
        <v>1</v>
      </c>
      <c r="F3465" s="196">
        <v>12492039.244062999</v>
      </c>
      <c r="G3465" s="137" t="s">
        <v>335</v>
      </c>
      <c r="H3465" s="79">
        <f t="shared" si="492"/>
        <v>9.0298072164909059E-3</v>
      </c>
    </row>
    <row r="3466" spans="1:16" x14ac:dyDescent="0.25">
      <c r="A3466" s="137" t="s">
        <v>1317</v>
      </c>
      <c r="B3466" s="137" t="s">
        <v>333</v>
      </c>
      <c r="C3466" s="137">
        <v>25</v>
      </c>
      <c r="D3466" s="196">
        <v>1473752322.5871401</v>
      </c>
      <c r="E3466" s="137">
        <v>1</v>
      </c>
      <c r="F3466" s="196">
        <v>36615956.320731997</v>
      </c>
      <c r="G3466" s="137" t="s">
        <v>335</v>
      </c>
      <c r="H3466" s="79">
        <f t="shared" si="492"/>
        <v>2.4845393462351588E-2</v>
      </c>
    </row>
    <row r="3468" spans="1:16" x14ac:dyDescent="0.25">
      <c r="A3468" s="137" t="s">
        <v>1203</v>
      </c>
      <c r="B3468" s="137"/>
      <c r="C3468" s="137"/>
      <c r="D3468" s="196"/>
      <c r="E3468" s="137"/>
      <c r="F3468" s="196"/>
      <c r="G3468" s="137"/>
    </row>
    <row r="3469" spans="1:16" ht="20" thickBot="1" x14ac:dyDescent="0.3">
      <c r="A3469" s="137" t="s">
        <v>2</v>
      </c>
      <c r="B3469" s="137" t="s">
        <v>3</v>
      </c>
      <c r="C3469" s="137" t="s">
        <v>504</v>
      </c>
      <c r="D3469" s="196" t="s">
        <v>5</v>
      </c>
      <c r="E3469" s="137" t="s">
        <v>1247</v>
      </c>
      <c r="F3469" s="196" t="s">
        <v>505</v>
      </c>
      <c r="G3469" s="137" t="s">
        <v>506</v>
      </c>
      <c r="J3469" s="143"/>
      <c r="K3469" s="144"/>
      <c r="L3469" s="144"/>
      <c r="M3469" s="145"/>
      <c r="N3469" s="144"/>
      <c r="O3469" s="145"/>
    </row>
    <row r="3470" spans="1:16" x14ac:dyDescent="0.25">
      <c r="A3470" s="137" t="s">
        <v>1384</v>
      </c>
      <c r="B3470" s="137" t="s">
        <v>333</v>
      </c>
      <c r="C3470" s="137">
        <v>25</v>
      </c>
      <c r="D3470" s="196">
        <v>85481.015786999997</v>
      </c>
      <c r="E3470" s="137">
        <v>1</v>
      </c>
      <c r="F3470" s="196">
        <v>3400.2224670000001</v>
      </c>
      <c r="G3470" s="137" t="s">
        <v>335</v>
      </c>
      <c r="H3470" s="79">
        <f t="shared" ref="H3470:H3496" si="493">F3470/D3470</f>
        <v>3.9777515927894573E-2</v>
      </c>
      <c r="J3470" s="5" t="s">
        <v>627</v>
      </c>
      <c r="K3470" s="72" t="s">
        <v>340</v>
      </c>
      <c r="L3470" s="72" t="s">
        <v>341</v>
      </c>
      <c r="M3470" s="17" t="s">
        <v>162</v>
      </c>
      <c r="N3470" s="72" t="s">
        <v>342</v>
      </c>
      <c r="O3470" s="21" t="s">
        <v>162</v>
      </c>
      <c r="P3470" s="150" t="s">
        <v>1245</v>
      </c>
    </row>
    <row r="3471" spans="1:16" x14ac:dyDescent="0.25">
      <c r="A3471" s="137" t="s">
        <v>1385</v>
      </c>
      <c r="B3471" s="137" t="s">
        <v>333</v>
      </c>
      <c r="C3471" s="137">
        <v>25</v>
      </c>
      <c r="D3471" s="196">
        <v>20222.616265000001</v>
      </c>
      <c r="E3471" s="137">
        <v>1</v>
      </c>
      <c r="F3471" s="196">
        <v>887.66604900000004</v>
      </c>
      <c r="G3471" s="137" t="s">
        <v>335</v>
      </c>
      <c r="H3471" s="79">
        <f t="shared" si="493"/>
        <v>4.3894718535322015E-2</v>
      </c>
      <c r="J3471" s="6">
        <v>1</v>
      </c>
      <c r="K3471" s="119">
        <f>D3470</f>
        <v>85481.015786999997</v>
      </c>
      <c r="L3471" s="119">
        <f>D3471</f>
        <v>20222.616265000001</v>
      </c>
      <c r="M3471" s="18">
        <f>(K3471-L3471)/K3471</f>
        <v>0.76342564394192103</v>
      </c>
      <c r="N3471" s="73">
        <f>D3472</f>
        <v>12366.17073</v>
      </c>
      <c r="O3471" s="22">
        <f>(K3471-N3471)/K3471</f>
        <v>0.85533430298940538</v>
      </c>
      <c r="P3471" s="151">
        <f>(L3471-N3471)/L3471</f>
        <v>0.38849797830547916</v>
      </c>
    </row>
    <row r="3472" spans="1:16" x14ac:dyDescent="0.25">
      <c r="A3472" s="137" t="s">
        <v>1386</v>
      </c>
      <c r="B3472" s="137" t="s">
        <v>333</v>
      </c>
      <c r="C3472" s="137">
        <v>25</v>
      </c>
      <c r="D3472" s="196">
        <v>12366.17073</v>
      </c>
      <c r="E3472" s="137">
        <v>1</v>
      </c>
      <c r="F3472" s="196">
        <v>442.64695399999999</v>
      </c>
      <c r="G3472" s="137" t="s">
        <v>335</v>
      </c>
      <c r="H3472" s="79">
        <f t="shared" si="493"/>
        <v>3.579498970737565E-2</v>
      </c>
      <c r="J3472" s="6">
        <v>2</v>
      </c>
      <c r="K3472" s="119">
        <f>D3473</f>
        <v>152011.66307800001</v>
      </c>
      <c r="L3472" s="119">
        <f>D3474</f>
        <v>153331.068348</v>
      </c>
      <c r="M3472" s="18">
        <f t="shared" ref="M3472:M3479" si="494">(K3472-L3472)/K3472</f>
        <v>-8.679631834058529E-3</v>
      </c>
      <c r="N3472" s="73">
        <f>D3475</f>
        <v>67609.776241</v>
      </c>
      <c r="O3472" s="22">
        <f t="shared" ref="O3472:O3479" si="495">(K3472-N3472)/K3472</f>
        <v>0.55523296783939424</v>
      </c>
      <c r="P3472" s="151">
        <f t="shared" ref="P3472:P3479" si="496">(L3472-N3472)/L3472</f>
        <v>0.55906016328306707</v>
      </c>
    </row>
    <row r="3473" spans="1:16" x14ac:dyDescent="0.25">
      <c r="A3473" s="137" t="s">
        <v>1387</v>
      </c>
      <c r="B3473" s="137" t="s">
        <v>333</v>
      </c>
      <c r="C3473" s="137">
        <v>25</v>
      </c>
      <c r="D3473" s="196">
        <v>152011.66307800001</v>
      </c>
      <c r="E3473" s="137">
        <v>1</v>
      </c>
      <c r="F3473" s="196">
        <v>5247.7902990000002</v>
      </c>
      <c r="G3473" s="137" t="s">
        <v>335</v>
      </c>
      <c r="H3473" s="79">
        <f t="shared" si="493"/>
        <v>3.4522287255730248E-2</v>
      </c>
      <c r="J3473" s="67">
        <v>3</v>
      </c>
      <c r="K3473" s="119">
        <f>D3476</f>
        <v>216557.25807099999</v>
      </c>
      <c r="L3473" s="119">
        <f>D3477</f>
        <v>331460.72143999999</v>
      </c>
      <c r="M3473" s="18">
        <f t="shared" si="494"/>
        <v>-0.53059160608381917</v>
      </c>
      <c r="N3473" s="73">
        <f>D3478</f>
        <v>199389.67267199999</v>
      </c>
      <c r="O3473" s="22">
        <f t="shared" si="495"/>
        <v>7.9275040476230435E-2</v>
      </c>
      <c r="P3473" s="151">
        <f t="shared" si="496"/>
        <v>0.39845158181708451</v>
      </c>
    </row>
    <row r="3474" spans="1:16" x14ac:dyDescent="0.25">
      <c r="A3474" s="137" t="s">
        <v>1388</v>
      </c>
      <c r="B3474" s="137" t="s">
        <v>333</v>
      </c>
      <c r="C3474" s="137">
        <v>25</v>
      </c>
      <c r="D3474" s="196">
        <v>153331.068348</v>
      </c>
      <c r="E3474" s="137">
        <v>1</v>
      </c>
      <c r="F3474" s="196">
        <v>7885.5920079999996</v>
      </c>
      <c r="G3474" s="137" t="s">
        <v>335</v>
      </c>
      <c r="H3474" s="79">
        <f t="shared" si="493"/>
        <v>5.1428533649181062E-2</v>
      </c>
      <c r="J3474" s="67">
        <v>5</v>
      </c>
      <c r="K3474" s="119">
        <f>D3479</f>
        <v>351418.25994600001</v>
      </c>
      <c r="L3474" s="119">
        <f>D3480</f>
        <v>559437.98248999997</v>
      </c>
      <c r="M3474" s="18">
        <f t="shared" si="494"/>
        <v>-0.59194340833616588</v>
      </c>
      <c r="N3474" s="73">
        <f>D3481</f>
        <v>312950.51773600001</v>
      </c>
      <c r="O3474" s="22">
        <f t="shared" si="495"/>
        <v>0.10946426692770907</v>
      </c>
      <c r="P3474" s="151">
        <f t="shared" si="496"/>
        <v>0.44059837277567393</v>
      </c>
    </row>
    <row r="3475" spans="1:16" x14ac:dyDescent="0.25">
      <c r="A3475" s="138" t="s">
        <v>1389</v>
      </c>
      <c r="B3475" s="137" t="s">
        <v>333</v>
      </c>
      <c r="C3475" s="137">
        <v>25</v>
      </c>
      <c r="D3475" s="196">
        <v>67609.776241</v>
      </c>
      <c r="E3475" s="137">
        <v>1</v>
      </c>
      <c r="F3475" s="196">
        <v>2888.5399870000001</v>
      </c>
      <c r="G3475" s="137" t="s">
        <v>335</v>
      </c>
      <c r="H3475" s="79">
        <f t="shared" si="493"/>
        <v>4.2723702807469552E-2</v>
      </c>
      <c r="J3475" s="6">
        <v>10</v>
      </c>
      <c r="K3475" s="119">
        <f>D3482</f>
        <v>740275.93739700003</v>
      </c>
      <c r="L3475" s="119">
        <f>D3483</f>
        <v>1169438.818954</v>
      </c>
      <c r="M3475" s="18">
        <f t="shared" si="494"/>
        <v>-0.57973366399838244</v>
      </c>
      <c r="N3475" s="73">
        <f>D3484</f>
        <v>645673.14057499997</v>
      </c>
      <c r="O3475" s="22">
        <f t="shared" si="495"/>
        <v>0.12779396444337734</v>
      </c>
      <c r="P3475" s="151">
        <f t="shared" si="496"/>
        <v>0.44787779393836114</v>
      </c>
    </row>
    <row r="3476" spans="1:16" x14ac:dyDescent="0.25">
      <c r="A3476" s="137" t="s">
        <v>1390</v>
      </c>
      <c r="B3476" s="137" t="s">
        <v>333</v>
      </c>
      <c r="C3476" s="137">
        <v>25</v>
      </c>
      <c r="D3476" s="196">
        <v>216557.25807099999</v>
      </c>
      <c r="E3476" s="137">
        <v>1</v>
      </c>
      <c r="F3476" s="196">
        <v>8478.5481749999999</v>
      </c>
      <c r="G3476" s="137" t="s">
        <v>335</v>
      </c>
      <c r="H3476" s="79">
        <f t="shared" si="493"/>
        <v>3.915153087235821E-2</v>
      </c>
      <c r="J3476" s="67">
        <v>20</v>
      </c>
      <c r="K3476" s="149">
        <f>D3485</f>
        <v>2348716.0122400001</v>
      </c>
      <c r="L3476" s="119">
        <f>D3486</f>
        <v>2183374.4343650001</v>
      </c>
      <c r="M3476" s="18">
        <f t="shared" si="494"/>
        <v>7.0396581371841377E-2</v>
      </c>
      <c r="N3476" s="73">
        <f>D3487</f>
        <v>1278406.3109009999</v>
      </c>
      <c r="O3476" s="22">
        <f t="shared" si="495"/>
        <v>0.45569992104674772</v>
      </c>
      <c r="P3476" s="151">
        <f t="shared" si="496"/>
        <v>0.4144814142825648</v>
      </c>
    </row>
    <row r="3477" spans="1:16" x14ac:dyDescent="0.25">
      <c r="A3477" s="137" t="s">
        <v>1391</v>
      </c>
      <c r="B3477" s="137" t="s">
        <v>333</v>
      </c>
      <c r="C3477" s="137">
        <v>25</v>
      </c>
      <c r="D3477" s="196">
        <v>331460.72143999999</v>
      </c>
      <c r="E3477" s="137">
        <v>1</v>
      </c>
      <c r="F3477" s="196">
        <v>6939.3588970000001</v>
      </c>
      <c r="G3477" s="137" t="s">
        <v>335</v>
      </c>
      <c r="H3477" s="79">
        <f t="shared" si="493"/>
        <v>2.0935689957026E-2</v>
      </c>
      <c r="J3477" s="67">
        <v>30</v>
      </c>
      <c r="K3477" s="119">
        <f>D3488</f>
        <v>4322071.282315</v>
      </c>
      <c r="L3477" s="119">
        <f>D3489</f>
        <v>2937308.837634</v>
      </c>
      <c r="M3477" s="18">
        <f t="shared" si="494"/>
        <v>0.3203932453282653</v>
      </c>
      <c r="N3477" s="73">
        <f>D3490</f>
        <v>1826101.9735059999</v>
      </c>
      <c r="O3477" s="22">
        <f t="shared" si="495"/>
        <v>0.57749378614415214</v>
      </c>
      <c r="P3477" s="151">
        <f t="shared" si="496"/>
        <v>0.37830780675520537</v>
      </c>
    </row>
    <row r="3478" spans="1:16" x14ac:dyDescent="0.25">
      <c r="A3478" s="137" t="s">
        <v>1392</v>
      </c>
      <c r="B3478" s="137" t="s">
        <v>333</v>
      </c>
      <c r="C3478" s="137">
        <v>25</v>
      </c>
      <c r="D3478" s="196">
        <v>199389.67267199999</v>
      </c>
      <c r="E3478" s="137">
        <v>1</v>
      </c>
      <c r="F3478" s="196">
        <v>4691.0533020000003</v>
      </c>
      <c r="G3478" s="137" t="s">
        <v>335</v>
      </c>
      <c r="H3478" s="79">
        <f t="shared" si="493"/>
        <v>2.3527062556127853E-2</v>
      </c>
      <c r="J3478" s="67">
        <v>50</v>
      </c>
      <c r="K3478" s="119">
        <f>D3491</f>
        <v>7861175.7955059996</v>
      </c>
      <c r="L3478" s="119">
        <f>D3492</f>
        <v>4649120.6751359999</v>
      </c>
      <c r="M3478" s="18">
        <f t="shared" si="494"/>
        <v>0.40859728925108585</v>
      </c>
      <c r="N3478" s="73">
        <f>D3493</f>
        <v>3224154.0567740002</v>
      </c>
      <c r="O3478" s="22">
        <f t="shared" si="495"/>
        <v>0.58986363609663151</v>
      </c>
      <c r="P3478" s="151">
        <f t="shared" si="496"/>
        <v>0.3065023943092885</v>
      </c>
    </row>
    <row r="3479" spans="1:16" ht="20" thickBot="1" x14ac:dyDescent="0.3">
      <c r="A3479" s="137" t="s">
        <v>1393</v>
      </c>
      <c r="B3479" s="137" t="s">
        <v>333</v>
      </c>
      <c r="C3479" s="137">
        <v>25</v>
      </c>
      <c r="D3479" s="196">
        <v>351418.25994600001</v>
      </c>
      <c r="E3479" s="137">
        <v>1</v>
      </c>
      <c r="F3479" s="196">
        <v>11600.917901999999</v>
      </c>
      <c r="G3479" s="137" t="s">
        <v>335</v>
      </c>
      <c r="H3479" s="79">
        <f t="shared" si="493"/>
        <v>3.3011710614532758E-2</v>
      </c>
      <c r="J3479" s="68">
        <v>80</v>
      </c>
      <c r="K3479" s="120">
        <f>D3494</f>
        <v>90813135.827489004</v>
      </c>
      <c r="L3479" s="120">
        <f>D3495</f>
        <v>7211308.6830209997</v>
      </c>
      <c r="M3479" s="19">
        <f t="shared" si="494"/>
        <v>0.92059178865137103</v>
      </c>
      <c r="N3479" s="74">
        <f>D3496</f>
        <v>4954636.7436830001</v>
      </c>
      <c r="O3479" s="23">
        <f t="shared" si="495"/>
        <v>0.9454414089048202</v>
      </c>
      <c r="P3479" s="152">
        <f t="shared" si="496"/>
        <v>0.31293514652220139</v>
      </c>
    </row>
    <row r="3480" spans="1:16" x14ac:dyDescent="0.25">
      <c r="A3480" s="137" t="s">
        <v>1394</v>
      </c>
      <c r="B3480" s="137" t="s">
        <v>333</v>
      </c>
      <c r="C3480" s="137">
        <v>25</v>
      </c>
      <c r="D3480" s="196">
        <v>559437.98248999997</v>
      </c>
      <c r="E3480" s="137">
        <v>1</v>
      </c>
      <c r="F3480" s="196">
        <v>18110.524567</v>
      </c>
      <c r="G3480" s="137" t="s">
        <v>335</v>
      </c>
      <c r="H3480" s="79">
        <f t="shared" si="493"/>
        <v>3.2372711781906455E-2</v>
      </c>
    </row>
    <row r="3481" spans="1:16" x14ac:dyDescent="0.25">
      <c r="A3481" s="137" t="s">
        <v>1395</v>
      </c>
      <c r="B3481" s="137" t="s">
        <v>333</v>
      </c>
      <c r="C3481" s="137">
        <v>25</v>
      </c>
      <c r="D3481" s="196">
        <v>312950.51773600001</v>
      </c>
      <c r="E3481" s="137">
        <v>1</v>
      </c>
      <c r="F3481" s="196">
        <v>12264.72471</v>
      </c>
      <c r="G3481" s="137" t="s">
        <v>335</v>
      </c>
      <c r="H3481" s="79">
        <f t="shared" si="493"/>
        <v>3.9190619650440468E-2</v>
      </c>
    </row>
    <row r="3482" spans="1:16" x14ac:dyDescent="0.25">
      <c r="A3482" s="137" t="s">
        <v>1396</v>
      </c>
      <c r="B3482" s="137" t="s">
        <v>333</v>
      </c>
      <c r="C3482" s="137">
        <v>25</v>
      </c>
      <c r="D3482" s="196">
        <v>740275.93739700003</v>
      </c>
      <c r="E3482" s="137">
        <v>1</v>
      </c>
      <c r="F3482" s="196">
        <v>32662.857108</v>
      </c>
      <c r="G3482" s="137" t="s">
        <v>335</v>
      </c>
      <c r="H3482" s="79">
        <f t="shared" si="493"/>
        <v>4.4122543308446546E-2</v>
      </c>
    </row>
    <row r="3483" spans="1:16" x14ac:dyDescent="0.25">
      <c r="A3483" s="137" t="s">
        <v>1397</v>
      </c>
      <c r="B3483" s="137" t="s">
        <v>333</v>
      </c>
      <c r="C3483" s="137">
        <v>25</v>
      </c>
      <c r="D3483" s="196">
        <v>1169438.818954</v>
      </c>
      <c r="E3483" s="137">
        <v>1</v>
      </c>
      <c r="F3483" s="196">
        <v>90923.216432999994</v>
      </c>
      <c r="G3483" s="137" t="s">
        <v>335</v>
      </c>
      <c r="H3483" s="79">
        <f t="shared" si="493"/>
        <v>7.7749442689379777E-2</v>
      </c>
    </row>
    <row r="3484" spans="1:16" x14ac:dyDescent="0.25">
      <c r="A3484" s="137" t="s">
        <v>1398</v>
      </c>
      <c r="B3484" s="137" t="s">
        <v>333</v>
      </c>
      <c r="C3484" s="137">
        <v>25</v>
      </c>
      <c r="D3484" s="196">
        <v>645673.14057499997</v>
      </c>
      <c r="E3484" s="137">
        <v>1</v>
      </c>
      <c r="F3484" s="196">
        <v>38273.740990999999</v>
      </c>
      <c r="G3484" s="137" t="s">
        <v>335</v>
      </c>
      <c r="H3484" s="79">
        <f t="shared" si="493"/>
        <v>5.9277269853467297E-2</v>
      </c>
    </row>
    <row r="3485" spans="1:16" x14ac:dyDescent="0.25">
      <c r="A3485" s="137" t="s">
        <v>1399</v>
      </c>
      <c r="B3485" s="137" t="s">
        <v>333</v>
      </c>
      <c r="C3485" s="137">
        <v>25</v>
      </c>
      <c r="D3485" s="196">
        <v>2348716.0122400001</v>
      </c>
      <c r="E3485" s="137">
        <v>1</v>
      </c>
      <c r="F3485" s="196">
        <v>105299.441017</v>
      </c>
      <c r="G3485" s="137" t="s">
        <v>335</v>
      </c>
      <c r="H3485" s="79">
        <f t="shared" si="493"/>
        <v>4.4832768401223015E-2</v>
      </c>
    </row>
    <row r="3486" spans="1:16" x14ac:dyDescent="0.25">
      <c r="A3486" s="137" t="s">
        <v>1400</v>
      </c>
      <c r="B3486" s="137" t="s">
        <v>333</v>
      </c>
      <c r="C3486" s="137">
        <v>25</v>
      </c>
      <c r="D3486" s="196">
        <v>2183374.4343650001</v>
      </c>
      <c r="E3486" s="137">
        <v>1</v>
      </c>
      <c r="F3486" s="196">
        <v>108478.464452</v>
      </c>
      <c r="G3486" s="137" t="s">
        <v>335</v>
      </c>
      <c r="H3486" s="79">
        <f t="shared" si="493"/>
        <v>4.9683857585127972E-2</v>
      </c>
    </row>
    <row r="3487" spans="1:16" x14ac:dyDescent="0.25">
      <c r="A3487" s="137" t="s">
        <v>1401</v>
      </c>
      <c r="B3487" s="137" t="s">
        <v>333</v>
      </c>
      <c r="C3487" s="137">
        <v>25</v>
      </c>
      <c r="D3487" s="196">
        <v>1278406.3109009999</v>
      </c>
      <c r="E3487" s="137">
        <v>1</v>
      </c>
      <c r="F3487" s="196">
        <v>62774.712493999999</v>
      </c>
      <c r="G3487" s="137" t="s">
        <v>335</v>
      </c>
      <c r="H3487" s="79">
        <f t="shared" si="493"/>
        <v>4.9103881886938906E-2</v>
      </c>
    </row>
    <row r="3488" spans="1:16" x14ac:dyDescent="0.25">
      <c r="A3488" s="137" t="s">
        <v>1402</v>
      </c>
      <c r="B3488" s="137" t="s">
        <v>333</v>
      </c>
      <c r="C3488" s="137">
        <v>25</v>
      </c>
      <c r="D3488" s="196">
        <v>4322071.282315</v>
      </c>
      <c r="E3488" s="137">
        <v>1</v>
      </c>
      <c r="F3488" s="196">
        <v>170743.964033</v>
      </c>
      <c r="G3488" s="137" t="s">
        <v>335</v>
      </c>
      <c r="H3488" s="79">
        <f t="shared" si="493"/>
        <v>3.9505124483172713E-2</v>
      </c>
    </row>
    <row r="3489" spans="1:16" x14ac:dyDescent="0.25">
      <c r="A3489" s="137" t="s">
        <v>1403</v>
      </c>
      <c r="B3489" s="137" t="s">
        <v>333</v>
      </c>
      <c r="C3489" s="137">
        <v>25</v>
      </c>
      <c r="D3489" s="196">
        <v>2937308.837634</v>
      </c>
      <c r="E3489" s="137">
        <v>1</v>
      </c>
      <c r="F3489" s="196">
        <v>115506.44792599999</v>
      </c>
      <c r="G3489" s="137" t="s">
        <v>335</v>
      </c>
      <c r="H3489" s="79">
        <f t="shared" si="493"/>
        <v>3.9323903038755825E-2</v>
      </c>
    </row>
    <row r="3490" spans="1:16" x14ac:dyDescent="0.25">
      <c r="A3490" s="137" t="s">
        <v>1404</v>
      </c>
      <c r="B3490" s="137" t="s">
        <v>333</v>
      </c>
      <c r="C3490" s="137">
        <v>25</v>
      </c>
      <c r="D3490" s="196">
        <v>1826101.9735059999</v>
      </c>
      <c r="E3490" s="137">
        <v>1</v>
      </c>
      <c r="F3490" s="196">
        <v>44079.014588999999</v>
      </c>
      <c r="G3490" s="137" t="s">
        <v>335</v>
      </c>
      <c r="H3490" s="79">
        <f t="shared" si="493"/>
        <v>2.4138309485735393E-2</v>
      </c>
    </row>
    <row r="3491" spans="1:16" x14ac:dyDescent="0.25">
      <c r="A3491" s="137" t="s">
        <v>1405</v>
      </c>
      <c r="B3491" s="137" t="s">
        <v>333</v>
      </c>
      <c r="C3491" s="137">
        <v>25</v>
      </c>
      <c r="D3491" s="196">
        <v>7861175.7955059996</v>
      </c>
      <c r="E3491" s="137">
        <v>1</v>
      </c>
      <c r="F3491" s="196">
        <v>350630.36139699997</v>
      </c>
      <c r="G3491" s="137" t="s">
        <v>335</v>
      </c>
      <c r="H3491" s="79">
        <f t="shared" si="493"/>
        <v>4.4602788503654241E-2</v>
      </c>
    </row>
    <row r="3492" spans="1:16" x14ac:dyDescent="0.25">
      <c r="A3492" s="137" t="s">
        <v>1406</v>
      </c>
      <c r="B3492" s="137" t="s">
        <v>333</v>
      </c>
      <c r="C3492" s="137">
        <v>25</v>
      </c>
      <c r="D3492" s="196">
        <v>4649120.6751359999</v>
      </c>
      <c r="E3492" s="137">
        <v>1</v>
      </c>
      <c r="F3492" s="196">
        <v>193041.90591</v>
      </c>
      <c r="G3492" s="137" t="s">
        <v>335</v>
      </c>
      <c r="H3492" s="79">
        <f t="shared" si="493"/>
        <v>4.1522240311465564E-2</v>
      </c>
    </row>
    <row r="3493" spans="1:16" x14ac:dyDescent="0.25">
      <c r="A3493" s="137" t="s">
        <v>1407</v>
      </c>
      <c r="B3493" s="137" t="s">
        <v>333</v>
      </c>
      <c r="C3493" s="137">
        <v>25</v>
      </c>
      <c r="D3493" s="196">
        <v>3224154.0567740002</v>
      </c>
      <c r="E3493" s="137">
        <v>1</v>
      </c>
      <c r="F3493" s="196">
        <v>191815.841353</v>
      </c>
      <c r="G3493" s="137" t="s">
        <v>335</v>
      </c>
      <c r="H3493" s="79">
        <f t="shared" si="493"/>
        <v>5.949338585418764E-2</v>
      </c>
    </row>
    <row r="3494" spans="1:16" x14ac:dyDescent="0.25">
      <c r="A3494" s="137" t="s">
        <v>1408</v>
      </c>
      <c r="B3494" s="137" t="s">
        <v>333</v>
      </c>
      <c r="C3494" s="137">
        <v>25</v>
      </c>
      <c r="D3494" s="196">
        <v>90813135.827489004</v>
      </c>
      <c r="E3494" s="137">
        <v>1</v>
      </c>
      <c r="F3494" s="196">
        <v>2668541.4231739999</v>
      </c>
      <c r="G3494" s="137" t="s">
        <v>335</v>
      </c>
      <c r="H3494" s="79">
        <f t="shared" si="493"/>
        <v>2.9384971665808685E-2</v>
      </c>
    </row>
    <row r="3495" spans="1:16" x14ac:dyDescent="0.25">
      <c r="A3495" s="137" t="s">
        <v>1409</v>
      </c>
      <c r="B3495" s="137" t="s">
        <v>333</v>
      </c>
      <c r="C3495" s="137">
        <v>25</v>
      </c>
      <c r="D3495" s="196">
        <v>7211308.6830209997</v>
      </c>
      <c r="E3495" s="137">
        <v>1</v>
      </c>
      <c r="F3495" s="196">
        <v>466791.91019000002</v>
      </c>
      <c r="G3495" s="137" t="s">
        <v>335</v>
      </c>
      <c r="H3495" s="79">
        <f t="shared" si="493"/>
        <v>6.4730540697704411E-2</v>
      </c>
    </row>
    <row r="3496" spans="1:16" x14ac:dyDescent="0.25">
      <c r="A3496" s="137" t="s">
        <v>1410</v>
      </c>
      <c r="B3496" s="137" t="s">
        <v>333</v>
      </c>
      <c r="C3496" s="137">
        <v>25</v>
      </c>
      <c r="D3496" s="196">
        <v>4954636.7436830001</v>
      </c>
      <c r="E3496" s="137">
        <v>1</v>
      </c>
      <c r="F3496" s="196">
        <v>207308.10459</v>
      </c>
      <c r="G3496" s="137" t="s">
        <v>335</v>
      </c>
      <c r="H3496" s="79">
        <f t="shared" si="493"/>
        <v>4.1841231822758965E-2</v>
      </c>
    </row>
    <row r="3498" spans="1:16" x14ac:dyDescent="0.25">
      <c r="A3498" s="137" t="s">
        <v>1276</v>
      </c>
      <c r="B3498" s="137"/>
      <c r="C3498" s="137"/>
      <c r="D3498" s="196"/>
      <c r="E3498" s="137"/>
      <c r="F3498" s="196"/>
      <c r="G3498" s="137"/>
    </row>
    <row r="3499" spans="1:16" ht="20" thickBot="1" x14ac:dyDescent="0.3">
      <c r="A3499" s="137" t="s">
        <v>2</v>
      </c>
      <c r="B3499" s="137" t="s">
        <v>3</v>
      </c>
      <c r="C3499" s="137" t="s">
        <v>504</v>
      </c>
      <c r="D3499" s="196" t="s">
        <v>5</v>
      </c>
      <c r="E3499" s="137" t="s">
        <v>1247</v>
      </c>
      <c r="F3499" s="196" t="s">
        <v>505</v>
      </c>
      <c r="G3499" s="137" t="s">
        <v>506</v>
      </c>
    </row>
    <row r="3500" spans="1:16" x14ac:dyDescent="0.25">
      <c r="A3500" s="137" t="s">
        <v>1411</v>
      </c>
      <c r="B3500" s="137" t="s">
        <v>333</v>
      </c>
      <c r="C3500" s="137">
        <v>25</v>
      </c>
      <c r="D3500" s="196">
        <v>128274.17103100001</v>
      </c>
      <c r="E3500" s="137">
        <v>1</v>
      </c>
      <c r="F3500" s="196">
        <v>5169.5519050000003</v>
      </c>
      <c r="G3500" s="137" t="s">
        <v>335</v>
      </c>
      <c r="H3500" s="79">
        <f t="shared" ref="H3500:H3526" si="497">F3500/D3500</f>
        <v>4.0300801505477477E-2</v>
      </c>
      <c r="J3500" s="5" t="s">
        <v>1276</v>
      </c>
      <c r="K3500" s="72" t="s">
        <v>340</v>
      </c>
      <c r="L3500" s="72" t="s">
        <v>341</v>
      </c>
      <c r="M3500" s="17" t="s">
        <v>162</v>
      </c>
      <c r="N3500" s="72" t="s">
        <v>342</v>
      </c>
      <c r="O3500" s="21" t="s">
        <v>162</v>
      </c>
      <c r="P3500" s="150" t="s">
        <v>1245</v>
      </c>
    </row>
    <row r="3501" spans="1:16" x14ac:dyDescent="0.25">
      <c r="A3501" s="137" t="s">
        <v>1412</v>
      </c>
      <c r="B3501" s="137" t="s">
        <v>333</v>
      </c>
      <c r="C3501" s="137">
        <v>25</v>
      </c>
      <c r="D3501" s="196">
        <v>8351.4269199999999</v>
      </c>
      <c r="E3501" s="137">
        <v>1</v>
      </c>
      <c r="F3501" s="196">
        <v>126.79153100000001</v>
      </c>
      <c r="G3501" s="137" t="s">
        <v>335</v>
      </c>
      <c r="H3501" s="79">
        <f t="shared" si="497"/>
        <v>1.5182020056519875E-2</v>
      </c>
      <c r="J3501" s="6">
        <v>1</v>
      </c>
      <c r="K3501" s="119">
        <f>D3500</f>
        <v>128274.17103100001</v>
      </c>
      <c r="L3501" s="119">
        <f>D3501</f>
        <v>8351.4269199999999</v>
      </c>
      <c r="M3501" s="18">
        <f>(K3501-L3501)/K3501</f>
        <v>0.93489393185802228</v>
      </c>
      <c r="N3501" s="73">
        <f>D3502</f>
        <v>47377.497035</v>
      </c>
      <c r="O3501" s="22">
        <f>(K3501-N3501)/K3501</f>
        <v>0.63065442829055363</v>
      </c>
      <c r="P3501" s="151">
        <f>(L3501-N3501)/L3501</f>
        <v>-4.6729822925876725</v>
      </c>
    </row>
    <row r="3502" spans="1:16" x14ac:dyDescent="0.25">
      <c r="A3502" s="137" t="s">
        <v>1413</v>
      </c>
      <c r="B3502" s="137" t="s">
        <v>333</v>
      </c>
      <c r="C3502" s="137">
        <v>25</v>
      </c>
      <c r="D3502" s="196">
        <v>47377.497035</v>
      </c>
      <c r="E3502" s="137">
        <v>1</v>
      </c>
      <c r="F3502" s="196">
        <v>691.09968300000003</v>
      </c>
      <c r="G3502" s="137" t="s">
        <v>335</v>
      </c>
      <c r="H3502" s="79">
        <f t="shared" si="497"/>
        <v>1.4587087251347448E-2</v>
      </c>
      <c r="J3502" s="6">
        <v>2</v>
      </c>
      <c r="K3502" s="119">
        <f>D3503</f>
        <v>124526.03648900001</v>
      </c>
      <c r="L3502" s="119">
        <f>D3504</f>
        <v>67511.994145999997</v>
      </c>
      <c r="M3502" s="18">
        <f t="shared" ref="M3502:M3509" si="498">(K3502-L3502)/K3502</f>
        <v>0.4578483660968069</v>
      </c>
      <c r="N3502" s="73">
        <f>D3505</f>
        <v>103490.64502700001</v>
      </c>
      <c r="O3502" s="22">
        <f t="shared" ref="O3502:O3509" si="499">(K3502-N3502)/K3502</f>
        <v>0.16892364083119404</v>
      </c>
      <c r="P3502" s="151">
        <f t="shared" ref="P3502:P3509" si="500">(L3502-N3502)/L3502</f>
        <v>-0.5329223545551528</v>
      </c>
    </row>
    <row r="3503" spans="1:16" x14ac:dyDescent="0.25">
      <c r="A3503" s="137" t="s">
        <v>1414</v>
      </c>
      <c r="B3503" s="137" t="s">
        <v>333</v>
      </c>
      <c r="C3503" s="137">
        <v>25</v>
      </c>
      <c r="D3503" s="196">
        <v>124526.03648900001</v>
      </c>
      <c r="E3503" s="137">
        <v>1</v>
      </c>
      <c r="F3503" s="196">
        <v>4876.2793689999999</v>
      </c>
      <c r="G3503" s="137" t="s">
        <v>335</v>
      </c>
      <c r="H3503" s="79">
        <f t="shared" si="497"/>
        <v>3.9158713362171013E-2</v>
      </c>
      <c r="J3503" s="67">
        <v>3</v>
      </c>
      <c r="K3503" s="119">
        <f>D3506</f>
        <v>178160.93530400001</v>
      </c>
      <c r="L3503" s="119">
        <f>D3507</f>
        <v>211916.081588</v>
      </c>
      <c r="M3503" s="18">
        <f t="shared" si="498"/>
        <v>-0.18946435270112846</v>
      </c>
      <c r="N3503" s="73">
        <f>D3508</f>
        <v>303802.17407000001</v>
      </c>
      <c r="O3503" s="22">
        <f t="shared" si="499"/>
        <v>-0.70521205196647363</v>
      </c>
      <c r="P3503" s="151">
        <f t="shared" si="500"/>
        <v>-0.43359660009494611</v>
      </c>
    </row>
    <row r="3504" spans="1:16" x14ac:dyDescent="0.25">
      <c r="A3504" s="137" t="s">
        <v>1415</v>
      </c>
      <c r="B3504" s="137" t="s">
        <v>333</v>
      </c>
      <c r="C3504" s="137">
        <v>25</v>
      </c>
      <c r="D3504" s="196">
        <v>67511.994145999997</v>
      </c>
      <c r="E3504" s="137">
        <v>1</v>
      </c>
      <c r="F3504" s="196">
        <v>3166.0184770000001</v>
      </c>
      <c r="G3504" s="137" t="s">
        <v>335</v>
      </c>
      <c r="H3504" s="79">
        <f t="shared" si="497"/>
        <v>4.6895644500638455E-2</v>
      </c>
      <c r="J3504" s="67">
        <v>5</v>
      </c>
      <c r="K3504" s="119">
        <f>D3509</f>
        <v>307456.20387899998</v>
      </c>
      <c r="L3504" s="119">
        <f>D3510</f>
        <v>366771.29330600001</v>
      </c>
      <c r="M3504" s="18">
        <f t="shared" si="498"/>
        <v>-0.19292207696138602</v>
      </c>
      <c r="N3504" s="73">
        <f>D3511</f>
        <v>484656.96153999999</v>
      </c>
      <c r="O3504" s="22">
        <f t="shared" si="499"/>
        <v>-0.5763447132481273</v>
      </c>
      <c r="P3504" s="151">
        <f t="shared" si="500"/>
        <v>-0.32141465372440448</v>
      </c>
    </row>
    <row r="3505" spans="1:16" x14ac:dyDescent="0.25">
      <c r="A3505" s="137" t="s">
        <v>1416</v>
      </c>
      <c r="B3505" s="137" t="s">
        <v>333</v>
      </c>
      <c r="C3505" s="137">
        <v>25</v>
      </c>
      <c r="D3505" s="196">
        <v>103490.64502700001</v>
      </c>
      <c r="E3505" s="137">
        <v>1</v>
      </c>
      <c r="F3505" s="196">
        <v>4782.3266100000001</v>
      </c>
      <c r="G3505" s="137" t="s">
        <v>335</v>
      </c>
      <c r="H3505" s="79">
        <f t="shared" si="497"/>
        <v>4.6210230970657525E-2</v>
      </c>
      <c r="J3505" s="6">
        <v>10</v>
      </c>
      <c r="K3505" s="119">
        <f>D3512</f>
        <v>545665.10587299999</v>
      </c>
      <c r="L3505" s="119">
        <f>D3513</f>
        <v>831001.78071199998</v>
      </c>
      <c r="M3505" s="18">
        <f t="shared" si="498"/>
        <v>-0.5229153775235359</v>
      </c>
      <c r="N3505" s="73">
        <f>D3514</f>
        <v>955999.774553</v>
      </c>
      <c r="O3505" s="22">
        <f t="shared" si="499"/>
        <v>-0.75198993716762008</v>
      </c>
      <c r="P3505" s="151">
        <f t="shared" si="500"/>
        <v>-0.15041844282680367</v>
      </c>
    </row>
    <row r="3506" spans="1:16" x14ac:dyDescent="0.25">
      <c r="A3506" s="137" t="s">
        <v>1417</v>
      </c>
      <c r="B3506" s="137" t="s">
        <v>333</v>
      </c>
      <c r="C3506" s="137">
        <v>25</v>
      </c>
      <c r="D3506" s="196">
        <v>178160.93530400001</v>
      </c>
      <c r="E3506" s="137">
        <v>1</v>
      </c>
      <c r="F3506" s="196">
        <v>5430.2425709999998</v>
      </c>
      <c r="G3506" s="137" t="s">
        <v>335</v>
      </c>
      <c r="H3506" s="79">
        <f t="shared" si="497"/>
        <v>3.0479423346842307E-2</v>
      </c>
      <c r="J3506" s="67">
        <v>20</v>
      </c>
      <c r="K3506" s="149">
        <f>D3515</f>
        <v>1539786.2002890001</v>
      </c>
      <c r="L3506" s="119">
        <f>D3516</f>
        <v>1723340.2215539999</v>
      </c>
      <c r="M3506" s="18">
        <f t="shared" si="498"/>
        <v>-0.11920747258973285</v>
      </c>
      <c r="N3506" s="73">
        <f>D3517</f>
        <v>1436884.556782</v>
      </c>
      <c r="O3506" s="22">
        <f t="shared" si="499"/>
        <v>6.6828526900479177E-2</v>
      </c>
      <c r="P3506" s="151">
        <f t="shared" si="500"/>
        <v>0.16622119137548605</v>
      </c>
    </row>
    <row r="3507" spans="1:16" x14ac:dyDescent="0.25">
      <c r="A3507" s="137" t="s">
        <v>1418</v>
      </c>
      <c r="B3507" s="137" t="s">
        <v>333</v>
      </c>
      <c r="C3507" s="137">
        <v>25</v>
      </c>
      <c r="D3507" s="196">
        <v>211916.081588</v>
      </c>
      <c r="E3507" s="137">
        <v>1</v>
      </c>
      <c r="F3507" s="196">
        <v>10347.127504</v>
      </c>
      <c r="G3507" s="137" t="s">
        <v>335</v>
      </c>
      <c r="H3507" s="79">
        <f t="shared" si="497"/>
        <v>4.8826532778746504E-2</v>
      </c>
      <c r="J3507" s="67">
        <v>30</v>
      </c>
      <c r="K3507" s="119">
        <f>D3518</f>
        <v>3143925.2262889999</v>
      </c>
      <c r="L3507" s="119">
        <f>D3519</f>
        <v>2654564.1023630002</v>
      </c>
      <c r="M3507" s="18">
        <f t="shared" si="498"/>
        <v>0.15565291433588824</v>
      </c>
      <c r="N3507" s="73">
        <f>D3520</f>
        <v>2302206.2693210002</v>
      </c>
      <c r="O3507" s="22">
        <f t="shared" si="499"/>
        <v>0.26772868194500316</v>
      </c>
      <c r="P3507" s="151">
        <f t="shared" si="500"/>
        <v>0.13273660738813703</v>
      </c>
    </row>
    <row r="3508" spans="1:16" x14ac:dyDescent="0.25">
      <c r="A3508" s="137" t="s">
        <v>1419</v>
      </c>
      <c r="B3508" s="137" t="s">
        <v>333</v>
      </c>
      <c r="C3508" s="137">
        <v>25</v>
      </c>
      <c r="D3508" s="196">
        <v>303802.17407000001</v>
      </c>
      <c r="E3508" s="137">
        <v>1</v>
      </c>
      <c r="F3508" s="196">
        <v>14027.004703000001</v>
      </c>
      <c r="G3508" s="137" t="s">
        <v>335</v>
      </c>
      <c r="H3508" s="79">
        <f t="shared" si="497"/>
        <v>4.6171508633667625E-2</v>
      </c>
      <c r="J3508" s="67">
        <v>50</v>
      </c>
      <c r="K3508" s="119">
        <f>D3521</f>
        <v>6612544.5717970002</v>
      </c>
      <c r="L3508" s="119">
        <f>D3522</f>
        <v>6191566.6490420001</v>
      </c>
      <c r="M3508" s="18">
        <f t="shared" si="498"/>
        <v>6.3663528946255071E-2</v>
      </c>
      <c r="N3508" s="73">
        <f>D3523</f>
        <v>4230016.9474170003</v>
      </c>
      <c r="O3508" s="22">
        <f t="shared" si="499"/>
        <v>0.36030420642329725</v>
      </c>
      <c r="P3508" s="151">
        <f t="shared" si="500"/>
        <v>0.31680991464874297</v>
      </c>
    </row>
    <row r="3509" spans="1:16" ht="20" thickBot="1" x14ac:dyDescent="0.3">
      <c r="A3509" s="137" t="s">
        <v>1420</v>
      </c>
      <c r="B3509" s="137" t="s">
        <v>333</v>
      </c>
      <c r="C3509" s="137">
        <v>25</v>
      </c>
      <c r="D3509" s="196">
        <v>307456.20387899998</v>
      </c>
      <c r="E3509" s="137">
        <v>1</v>
      </c>
      <c r="F3509" s="196">
        <v>19759.79578</v>
      </c>
      <c r="G3509" s="137" t="s">
        <v>335</v>
      </c>
      <c r="H3509" s="79">
        <f t="shared" si="497"/>
        <v>6.4268652024912498E-2</v>
      </c>
      <c r="J3509" s="68">
        <v>80</v>
      </c>
      <c r="K3509" s="120">
        <f>D3524</f>
        <v>101984470.91482601</v>
      </c>
      <c r="L3509" s="120">
        <f>D3525</f>
        <v>10442050.853436001</v>
      </c>
      <c r="M3509" s="19">
        <f t="shared" si="498"/>
        <v>0.89761136416389464</v>
      </c>
      <c r="N3509" s="74">
        <f>D3526</f>
        <v>8385925.0038000001</v>
      </c>
      <c r="O3509" s="23">
        <f t="shared" si="499"/>
        <v>0.91777253018448612</v>
      </c>
      <c r="P3509" s="152">
        <f t="shared" si="500"/>
        <v>0.19690823943453825</v>
      </c>
    </row>
    <row r="3510" spans="1:16" x14ac:dyDescent="0.25">
      <c r="A3510" s="137" t="s">
        <v>1421</v>
      </c>
      <c r="B3510" s="137" t="s">
        <v>333</v>
      </c>
      <c r="C3510" s="137">
        <v>25</v>
      </c>
      <c r="D3510" s="196">
        <v>366771.29330600001</v>
      </c>
      <c r="E3510" s="137">
        <v>1</v>
      </c>
      <c r="F3510" s="196">
        <v>9214.7774129999998</v>
      </c>
      <c r="G3510" s="137" t="s">
        <v>335</v>
      </c>
      <c r="H3510" s="79">
        <f t="shared" si="497"/>
        <v>2.5124042097024325E-2</v>
      </c>
    </row>
    <row r="3511" spans="1:16" x14ac:dyDescent="0.25">
      <c r="A3511" s="137" t="s">
        <v>1422</v>
      </c>
      <c r="B3511" s="137" t="s">
        <v>333</v>
      </c>
      <c r="C3511" s="137">
        <v>25</v>
      </c>
      <c r="D3511" s="196">
        <v>484656.96153999999</v>
      </c>
      <c r="E3511" s="137">
        <v>1</v>
      </c>
      <c r="F3511" s="196">
        <v>21289.440079</v>
      </c>
      <c r="G3511" s="137" t="s">
        <v>335</v>
      </c>
      <c r="H3511" s="79">
        <f t="shared" si="497"/>
        <v>4.3926821996640046E-2</v>
      </c>
    </row>
    <row r="3512" spans="1:16" x14ac:dyDescent="0.25">
      <c r="A3512" s="137" t="s">
        <v>1423</v>
      </c>
      <c r="B3512" s="137" t="s">
        <v>333</v>
      </c>
      <c r="C3512" s="137">
        <v>25</v>
      </c>
      <c r="D3512" s="196">
        <v>545665.10587299999</v>
      </c>
      <c r="E3512" s="137">
        <v>1</v>
      </c>
      <c r="F3512" s="196">
        <v>11340.750332</v>
      </c>
      <c r="G3512" s="137" t="s">
        <v>335</v>
      </c>
      <c r="H3512" s="79">
        <f t="shared" si="497"/>
        <v>2.0783352664371185E-2</v>
      </c>
    </row>
    <row r="3513" spans="1:16" x14ac:dyDescent="0.25">
      <c r="A3513" s="137" t="s">
        <v>1424</v>
      </c>
      <c r="B3513" s="137" t="s">
        <v>333</v>
      </c>
      <c r="C3513" s="137">
        <v>25</v>
      </c>
      <c r="D3513" s="196">
        <v>831001.78071199998</v>
      </c>
      <c r="E3513" s="137">
        <v>1</v>
      </c>
      <c r="F3513" s="196">
        <v>28371.328171000001</v>
      </c>
      <c r="G3513" s="137" t="s">
        <v>335</v>
      </c>
      <c r="H3513" s="79">
        <f t="shared" si="497"/>
        <v>3.4141115975337054E-2</v>
      </c>
    </row>
    <row r="3514" spans="1:16" x14ac:dyDescent="0.25">
      <c r="A3514" s="137" t="s">
        <v>1425</v>
      </c>
      <c r="B3514" s="137" t="s">
        <v>333</v>
      </c>
      <c r="C3514" s="137">
        <v>25</v>
      </c>
      <c r="D3514" s="196">
        <v>955999.774553</v>
      </c>
      <c r="E3514" s="137">
        <v>1</v>
      </c>
      <c r="F3514" s="196">
        <v>27141.431886999999</v>
      </c>
      <c r="G3514" s="137" t="s">
        <v>335</v>
      </c>
      <c r="H3514" s="79">
        <f t="shared" si="497"/>
        <v>2.8390625823829937E-2</v>
      </c>
    </row>
    <row r="3515" spans="1:16" x14ac:dyDescent="0.25">
      <c r="A3515" s="137" t="s">
        <v>1426</v>
      </c>
      <c r="B3515" s="137" t="s">
        <v>333</v>
      </c>
      <c r="C3515" s="137">
        <v>25</v>
      </c>
      <c r="D3515" s="196">
        <v>1539786.2002890001</v>
      </c>
      <c r="E3515" s="137">
        <v>1</v>
      </c>
      <c r="F3515" s="196">
        <v>51177.755513999997</v>
      </c>
      <c r="G3515" s="137" t="s">
        <v>335</v>
      </c>
      <c r="H3515" s="79">
        <f t="shared" si="497"/>
        <v>3.3236923089968284E-2</v>
      </c>
    </row>
    <row r="3516" spans="1:16" x14ac:dyDescent="0.25">
      <c r="A3516" s="137" t="s">
        <v>1427</v>
      </c>
      <c r="B3516" s="137" t="s">
        <v>333</v>
      </c>
      <c r="C3516" s="137">
        <v>25</v>
      </c>
      <c r="D3516" s="196">
        <v>1723340.2215539999</v>
      </c>
      <c r="E3516" s="137">
        <v>1</v>
      </c>
      <c r="F3516" s="196">
        <v>84026.957909000004</v>
      </c>
      <c r="G3516" s="137" t="s">
        <v>335</v>
      </c>
      <c r="H3516" s="79">
        <f t="shared" si="497"/>
        <v>4.8758194614195088E-2</v>
      </c>
    </row>
    <row r="3517" spans="1:16" x14ac:dyDescent="0.25">
      <c r="A3517" s="137" t="s">
        <v>1428</v>
      </c>
      <c r="B3517" s="137" t="s">
        <v>333</v>
      </c>
      <c r="C3517" s="137">
        <v>25</v>
      </c>
      <c r="D3517" s="196">
        <v>1436884.556782</v>
      </c>
      <c r="E3517" s="137">
        <v>1</v>
      </c>
      <c r="F3517" s="196">
        <v>66187.157407999999</v>
      </c>
      <c r="G3517" s="137" t="s">
        <v>335</v>
      </c>
      <c r="H3517" s="79">
        <f t="shared" si="497"/>
        <v>4.6062961074778759E-2</v>
      </c>
    </row>
    <row r="3518" spans="1:16" x14ac:dyDescent="0.25">
      <c r="A3518" s="137" t="s">
        <v>1429</v>
      </c>
      <c r="B3518" s="137" t="s">
        <v>333</v>
      </c>
      <c r="C3518" s="137">
        <v>25</v>
      </c>
      <c r="D3518" s="196">
        <v>3143925.2262889999</v>
      </c>
      <c r="E3518" s="137">
        <v>1</v>
      </c>
      <c r="F3518" s="196">
        <v>98072.132693000007</v>
      </c>
      <c r="G3518" s="137" t="s">
        <v>335</v>
      </c>
      <c r="H3518" s="79">
        <f t="shared" si="497"/>
        <v>3.1194168319569601E-2</v>
      </c>
    </row>
    <row r="3519" spans="1:16" x14ac:dyDescent="0.25">
      <c r="A3519" s="137" t="s">
        <v>1430</v>
      </c>
      <c r="B3519" s="137" t="s">
        <v>333</v>
      </c>
      <c r="C3519" s="137">
        <v>25</v>
      </c>
      <c r="D3519" s="196">
        <v>2654564.1023630002</v>
      </c>
      <c r="E3519" s="137">
        <v>1</v>
      </c>
      <c r="F3519" s="196">
        <v>53864.293767000003</v>
      </c>
      <c r="G3519" s="137" t="s">
        <v>335</v>
      </c>
      <c r="H3519" s="79">
        <f t="shared" si="497"/>
        <v>2.0291200999460472E-2</v>
      </c>
    </row>
    <row r="3520" spans="1:16" x14ac:dyDescent="0.25">
      <c r="A3520" s="137" t="s">
        <v>1431</v>
      </c>
      <c r="B3520" s="137" t="s">
        <v>333</v>
      </c>
      <c r="C3520" s="137">
        <v>25</v>
      </c>
      <c r="D3520" s="196">
        <v>2302206.2693210002</v>
      </c>
      <c r="E3520" s="137">
        <v>1</v>
      </c>
      <c r="F3520" s="196">
        <v>86666.761035999996</v>
      </c>
      <c r="G3520" s="137" t="s">
        <v>335</v>
      </c>
      <c r="H3520" s="79">
        <f t="shared" si="497"/>
        <v>3.7645089491290896E-2</v>
      </c>
    </row>
    <row r="3521" spans="1:19" x14ac:dyDescent="0.25">
      <c r="A3521" s="137" t="s">
        <v>1432</v>
      </c>
      <c r="B3521" s="137" t="s">
        <v>333</v>
      </c>
      <c r="C3521" s="137">
        <v>25</v>
      </c>
      <c r="D3521" s="196">
        <v>6612544.5717970002</v>
      </c>
      <c r="E3521" s="137">
        <v>1</v>
      </c>
      <c r="F3521" s="196">
        <v>359191.61050100002</v>
      </c>
      <c r="G3521" s="137" t="s">
        <v>335</v>
      </c>
      <c r="H3521" s="79">
        <f t="shared" si="497"/>
        <v>5.431972618120099E-2</v>
      </c>
      <c r="K3521" s="3"/>
      <c r="L3521" s="3"/>
      <c r="M3521" s="3"/>
      <c r="N3521" s="3"/>
      <c r="O3521" s="3"/>
      <c r="P3521" s="3"/>
      <c r="Q3521" s="3"/>
      <c r="R3521" s="3"/>
      <c r="S3521" s="3"/>
    </row>
    <row r="3522" spans="1:19" x14ac:dyDescent="0.25">
      <c r="A3522" s="137" t="s">
        <v>1433</v>
      </c>
      <c r="B3522" s="137" t="s">
        <v>333</v>
      </c>
      <c r="C3522" s="137">
        <v>25</v>
      </c>
      <c r="D3522" s="196">
        <v>6191566.6490420001</v>
      </c>
      <c r="E3522" s="137">
        <v>1</v>
      </c>
      <c r="F3522" s="196">
        <v>262987.06566399999</v>
      </c>
      <c r="G3522" s="137" t="s">
        <v>335</v>
      </c>
      <c r="H3522" s="79">
        <f t="shared" si="497"/>
        <v>4.2475043970445041E-2</v>
      </c>
      <c r="K3522" s="3"/>
      <c r="L3522" s="3"/>
      <c r="M3522" s="3"/>
      <c r="N3522" s="3"/>
      <c r="O3522" s="3"/>
      <c r="P3522" s="3"/>
      <c r="Q3522" s="3"/>
      <c r="R3522" s="3"/>
      <c r="S3522" s="3"/>
    </row>
    <row r="3523" spans="1:19" x14ac:dyDescent="0.25">
      <c r="A3523" s="137" t="s">
        <v>1434</v>
      </c>
      <c r="B3523" s="137" t="s">
        <v>333</v>
      </c>
      <c r="C3523" s="137">
        <v>25</v>
      </c>
      <c r="D3523" s="196">
        <v>4230016.9474170003</v>
      </c>
      <c r="E3523" s="137">
        <v>1</v>
      </c>
      <c r="F3523" s="196">
        <v>124514.151474</v>
      </c>
      <c r="G3523" s="137" t="s">
        <v>335</v>
      </c>
      <c r="H3523" s="79">
        <f t="shared" si="497"/>
        <v>2.9435851681405861E-2</v>
      </c>
      <c r="K3523" s="3"/>
      <c r="L3523" s="3"/>
      <c r="M3523" s="3"/>
      <c r="N3523" s="3"/>
      <c r="O3523" s="3"/>
      <c r="P3523" s="3"/>
      <c r="Q3523" s="3"/>
      <c r="R3523" s="3"/>
      <c r="S3523" s="3"/>
    </row>
    <row r="3524" spans="1:19" x14ac:dyDescent="0.25">
      <c r="A3524" s="137" t="s">
        <v>1435</v>
      </c>
      <c r="B3524" s="137" t="s">
        <v>333</v>
      </c>
      <c r="C3524" s="137">
        <v>25</v>
      </c>
      <c r="D3524" s="196">
        <v>101984470.91482601</v>
      </c>
      <c r="E3524" s="137">
        <v>1</v>
      </c>
      <c r="F3524" s="196">
        <v>3760080.7519820002</v>
      </c>
      <c r="G3524" s="137" t="s">
        <v>335</v>
      </c>
      <c r="H3524" s="79">
        <f t="shared" si="497"/>
        <v>3.6869149962275069E-2</v>
      </c>
      <c r="K3524" s="3"/>
      <c r="L3524" s="3"/>
      <c r="M3524" s="3"/>
      <c r="N3524" s="3"/>
      <c r="O3524" s="3"/>
      <c r="P3524" s="3"/>
      <c r="Q3524" s="3"/>
      <c r="R3524" s="3"/>
      <c r="S3524" s="3"/>
    </row>
    <row r="3525" spans="1:19" x14ac:dyDescent="0.25">
      <c r="A3525" s="137" t="s">
        <v>1436</v>
      </c>
      <c r="B3525" s="137" t="s">
        <v>333</v>
      </c>
      <c r="C3525" s="137">
        <v>25</v>
      </c>
      <c r="D3525" s="196">
        <v>10442050.853436001</v>
      </c>
      <c r="E3525" s="137">
        <v>1</v>
      </c>
      <c r="F3525" s="196">
        <v>364923.69831599999</v>
      </c>
      <c r="G3525" s="137" t="s">
        <v>335</v>
      </c>
      <c r="H3525" s="79">
        <f t="shared" si="497"/>
        <v>3.4947512077660524E-2</v>
      </c>
      <c r="K3525" s="3"/>
      <c r="L3525" s="3"/>
      <c r="M3525" s="3"/>
      <c r="N3525" s="3"/>
      <c r="O3525" s="3"/>
      <c r="P3525" s="3"/>
      <c r="Q3525" s="3"/>
      <c r="R3525" s="3"/>
      <c r="S3525" s="3"/>
    </row>
    <row r="3526" spans="1:19" x14ac:dyDescent="0.25">
      <c r="A3526" s="137" t="s">
        <v>1437</v>
      </c>
      <c r="B3526" s="137" t="s">
        <v>333</v>
      </c>
      <c r="C3526" s="137">
        <v>25</v>
      </c>
      <c r="D3526" s="196">
        <v>8385925.0038000001</v>
      </c>
      <c r="E3526" s="137">
        <v>1</v>
      </c>
      <c r="F3526" s="196">
        <v>401366.88119599997</v>
      </c>
      <c r="G3526" s="137" t="s">
        <v>335</v>
      </c>
      <c r="H3526" s="79">
        <f t="shared" si="497"/>
        <v>4.7861968836368618E-2</v>
      </c>
      <c r="K3526" s="3"/>
      <c r="L3526" s="3"/>
      <c r="M3526" s="3"/>
      <c r="N3526" s="3"/>
      <c r="O3526" s="3"/>
      <c r="P3526" s="3"/>
      <c r="Q3526" s="3"/>
      <c r="R3526" s="3"/>
      <c r="S3526" s="3"/>
    </row>
    <row r="3528" spans="1:19" x14ac:dyDescent="0.25">
      <c r="A3528" s="137" t="s">
        <v>1248</v>
      </c>
      <c r="B3528" s="137"/>
      <c r="C3528" s="137"/>
      <c r="D3528" s="196"/>
      <c r="E3528" s="137"/>
      <c r="F3528" s="196"/>
      <c r="G3528" s="137"/>
    </row>
    <row r="3529" spans="1:19" ht="20" thickBot="1" x14ac:dyDescent="0.3">
      <c r="A3529" s="137" t="s">
        <v>2</v>
      </c>
      <c r="B3529" s="137" t="s">
        <v>3</v>
      </c>
      <c r="C3529" s="137" t="s">
        <v>504</v>
      </c>
      <c r="D3529" s="196" t="s">
        <v>5</v>
      </c>
      <c r="E3529" s="137" t="s">
        <v>1247</v>
      </c>
      <c r="F3529" s="196" t="s">
        <v>505</v>
      </c>
      <c r="G3529" s="137" t="s">
        <v>506</v>
      </c>
    </row>
    <row r="3530" spans="1:19" x14ac:dyDescent="0.25">
      <c r="A3530" s="137" t="s">
        <v>1318</v>
      </c>
      <c r="B3530" s="137" t="s">
        <v>333</v>
      </c>
      <c r="C3530" s="137">
        <v>25</v>
      </c>
      <c r="D3530" s="196">
        <v>1549191.832653</v>
      </c>
      <c r="E3530" s="137">
        <v>1</v>
      </c>
      <c r="F3530" s="196">
        <v>32479.086125000002</v>
      </c>
      <c r="G3530" s="137" t="s">
        <v>335</v>
      </c>
      <c r="H3530" s="79">
        <f t="shared" ref="H3530:H3588" si="501">F3530/D3530</f>
        <v>2.0965180322038864E-2</v>
      </c>
      <c r="J3530" s="5" t="s">
        <v>1438</v>
      </c>
      <c r="K3530" s="72" t="s">
        <v>340</v>
      </c>
      <c r="L3530" s="72" t="s">
        <v>341</v>
      </c>
      <c r="M3530" s="17" t="s">
        <v>162</v>
      </c>
      <c r="N3530" s="72" t="s">
        <v>342</v>
      </c>
      <c r="O3530" s="17" t="s">
        <v>162</v>
      </c>
      <c r="P3530" s="87" t="s">
        <v>1245</v>
      </c>
    </row>
    <row r="3531" spans="1:19" x14ac:dyDescent="0.25">
      <c r="A3531" s="137" t="s">
        <v>1319</v>
      </c>
      <c r="B3531" s="137" t="s">
        <v>333</v>
      </c>
      <c r="C3531" s="137">
        <v>25</v>
      </c>
      <c r="D3531" s="196">
        <v>1641099.437012</v>
      </c>
      <c r="E3531" s="137">
        <v>1</v>
      </c>
      <c r="F3531" s="196">
        <v>62859.123817</v>
      </c>
      <c r="G3531" s="137" t="s">
        <v>335</v>
      </c>
      <c r="H3531" s="79">
        <f t="shared" si="501"/>
        <v>3.8303056109415E-2</v>
      </c>
      <c r="J3531" s="6" t="s">
        <v>1439</v>
      </c>
      <c r="K3531" s="119">
        <f>D3530</f>
        <v>1549191.832653</v>
      </c>
      <c r="L3531" s="119">
        <f>D3531</f>
        <v>1641099.437012</v>
      </c>
      <c r="M3531" s="18">
        <f>(K3531-L3531)/K3531</f>
        <v>-5.9326161177604253E-2</v>
      </c>
      <c r="N3531" s="73">
        <f>D3532</f>
        <v>1573755.6458620001</v>
      </c>
      <c r="O3531" s="18">
        <f>(K3531-N3531)/K3531</f>
        <v>-1.5855888658368646E-2</v>
      </c>
      <c r="P3531" s="22">
        <f>(L3531-N3531)/L3531</f>
        <v>4.1035777376546331E-2</v>
      </c>
    </row>
    <row r="3532" spans="1:19" x14ac:dyDescent="0.25">
      <c r="A3532" s="137" t="s">
        <v>1320</v>
      </c>
      <c r="B3532" s="137" t="s">
        <v>333</v>
      </c>
      <c r="C3532" s="137">
        <v>25</v>
      </c>
      <c r="D3532" s="196">
        <v>1573755.6458620001</v>
      </c>
      <c r="E3532" s="137">
        <v>1</v>
      </c>
      <c r="F3532" s="196">
        <v>29237.20304</v>
      </c>
      <c r="G3532" s="137" t="s">
        <v>335</v>
      </c>
      <c r="H3532" s="79">
        <f t="shared" si="501"/>
        <v>1.857798135109201E-2</v>
      </c>
      <c r="J3532" s="67" t="s">
        <v>569</v>
      </c>
      <c r="K3532" s="119">
        <f>D3533</f>
        <v>242451.701069</v>
      </c>
      <c r="L3532" s="119">
        <f>D3534</f>
        <v>213276.690229</v>
      </c>
      <c r="M3532" s="18">
        <f t="shared" ref="M3532:M3552" si="502">(K3532-L3532)/K3532</f>
        <v>0.12033328993512404</v>
      </c>
      <c r="N3532" s="73">
        <f>D3535</f>
        <v>211512.15160000001</v>
      </c>
      <c r="O3532" s="18">
        <f t="shared" ref="O3532:O3552" si="503">(K3532-N3532)/K3532</f>
        <v>0.12761118743479063</v>
      </c>
      <c r="P3532" s="22">
        <f t="shared" ref="P3532:P3552" si="504">(L3532-N3532)/L3532</f>
        <v>8.2734715505260459E-3</v>
      </c>
    </row>
    <row r="3533" spans="1:19" x14ac:dyDescent="0.25">
      <c r="A3533" s="137" t="s">
        <v>1321</v>
      </c>
      <c r="B3533" s="137" t="s">
        <v>333</v>
      </c>
      <c r="C3533" s="137">
        <v>25</v>
      </c>
      <c r="D3533" s="196">
        <v>242451.701069</v>
      </c>
      <c r="E3533" s="137">
        <v>1</v>
      </c>
      <c r="F3533" s="196">
        <v>10052.636786999999</v>
      </c>
      <c r="G3533" s="137" t="s">
        <v>335</v>
      </c>
      <c r="H3533" s="79">
        <f t="shared" si="501"/>
        <v>4.1462430425015212E-2</v>
      </c>
      <c r="J3533" s="67" t="s">
        <v>570</v>
      </c>
      <c r="K3533" s="119">
        <f>D3536</f>
        <v>382458.29330999998</v>
      </c>
      <c r="L3533" s="119">
        <f>D3537</f>
        <v>411514.27758499997</v>
      </c>
      <c r="M3533" s="18">
        <f t="shared" si="502"/>
        <v>-7.5971641309000942E-2</v>
      </c>
      <c r="N3533" s="73">
        <f>D3538</f>
        <v>372266.36723099998</v>
      </c>
      <c r="O3533" s="18">
        <f t="shared" si="503"/>
        <v>2.6648464047657541E-2</v>
      </c>
      <c r="P3533" s="22">
        <f t="shared" si="504"/>
        <v>9.5374358781253166E-2</v>
      </c>
    </row>
    <row r="3534" spans="1:19" x14ac:dyDescent="0.25">
      <c r="A3534" s="137" t="s">
        <v>1322</v>
      </c>
      <c r="B3534" s="137" t="s">
        <v>333</v>
      </c>
      <c r="C3534" s="137">
        <v>25</v>
      </c>
      <c r="D3534" s="196">
        <v>213276.690229</v>
      </c>
      <c r="E3534" s="137">
        <v>1</v>
      </c>
      <c r="F3534" s="196">
        <v>5440.223489</v>
      </c>
      <c r="G3534" s="137" t="s">
        <v>335</v>
      </c>
      <c r="H3534" s="79">
        <f t="shared" si="501"/>
        <v>2.5507820302156363E-2</v>
      </c>
      <c r="J3534" s="67" t="s">
        <v>628</v>
      </c>
      <c r="K3534" s="119">
        <f>D3539</f>
        <v>106672.51109099999</v>
      </c>
      <c r="L3534" s="119">
        <f>D3540</f>
        <v>45458.943443999997</v>
      </c>
      <c r="M3534" s="18">
        <f t="shared" si="502"/>
        <v>0.57384575483350186</v>
      </c>
      <c r="N3534" s="73">
        <f>D3541</f>
        <v>59537.649073</v>
      </c>
      <c r="O3534" s="18">
        <f t="shared" si="503"/>
        <v>0.44186512097563985</v>
      </c>
      <c r="P3534" s="22">
        <f t="shared" si="504"/>
        <v>-0.30970155842586383</v>
      </c>
    </row>
    <row r="3535" spans="1:19" x14ac:dyDescent="0.25">
      <c r="A3535" s="137" t="s">
        <v>1323</v>
      </c>
      <c r="B3535" s="137" t="s">
        <v>333</v>
      </c>
      <c r="C3535" s="137">
        <v>25</v>
      </c>
      <c r="D3535" s="196">
        <v>211512.15160000001</v>
      </c>
      <c r="E3535" s="137">
        <v>1</v>
      </c>
      <c r="F3535" s="196">
        <v>6886.8884200000002</v>
      </c>
      <c r="G3535" s="137" t="s">
        <v>335</v>
      </c>
      <c r="H3535" s="79">
        <f t="shared" si="501"/>
        <v>3.2560249460390815E-2</v>
      </c>
      <c r="J3535" s="67" t="s">
        <v>644</v>
      </c>
      <c r="K3535" s="119">
        <f>D3542</f>
        <v>64539.482127000003</v>
      </c>
      <c r="L3535" s="119">
        <f>D3543</f>
        <v>19842.994638</v>
      </c>
      <c r="M3535" s="18">
        <f t="shared" si="502"/>
        <v>0.69254487355579963</v>
      </c>
      <c r="N3535" s="73">
        <f>D3544</f>
        <v>56128.832513000001</v>
      </c>
      <c r="O3535" s="18">
        <f t="shared" si="503"/>
        <v>0.13031789746080746</v>
      </c>
      <c r="P3535" s="22">
        <f t="shared" si="504"/>
        <v>-1.8286472650409027</v>
      </c>
    </row>
    <row r="3536" spans="1:19" x14ac:dyDescent="0.25">
      <c r="A3536" s="137" t="s">
        <v>1324</v>
      </c>
      <c r="B3536" s="137" t="s">
        <v>333</v>
      </c>
      <c r="C3536" s="137">
        <v>25</v>
      </c>
      <c r="D3536" s="196">
        <v>382458.29330999998</v>
      </c>
      <c r="E3536" s="137">
        <v>1</v>
      </c>
      <c r="F3536" s="196">
        <v>11747.490325000001</v>
      </c>
      <c r="G3536" s="137" t="s">
        <v>335</v>
      </c>
      <c r="H3536" s="79">
        <f t="shared" si="501"/>
        <v>3.0715742161925408E-2</v>
      </c>
      <c r="J3536" s="67" t="s">
        <v>571</v>
      </c>
      <c r="K3536" s="119">
        <f>D3545</f>
        <v>94955.801116000002</v>
      </c>
      <c r="L3536" s="119">
        <f>D3546</f>
        <v>71717.290729</v>
      </c>
      <c r="M3536" s="18">
        <f t="shared" si="502"/>
        <v>0.24472975967641356</v>
      </c>
      <c r="N3536" s="73">
        <f>D3547</f>
        <v>56669.101799999997</v>
      </c>
      <c r="O3536" s="18">
        <f t="shared" si="503"/>
        <v>0.40320547945489049</v>
      </c>
      <c r="P3536" s="22">
        <f t="shared" si="504"/>
        <v>0.20982651151537485</v>
      </c>
    </row>
    <row r="3537" spans="1:16" x14ac:dyDescent="0.25">
      <c r="A3537" s="137" t="s">
        <v>1325</v>
      </c>
      <c r="B3537" s="137" t="s">
        <v>333</v>
      </c>
      <c r="C3537" s="137">
        <v>25</v>
      </c>
      <c r="D3537" s="196">
        <v>411514.27758499997</v>
      </c>
      <c r="E3537" s="137">
        <v>1</v>
      </c>
      <c r="F3537" s="196">
        <v>16824.802737000002</v>
      </c>
      <c r="G3537" s="137" t="s">
        <v>335</v>
      </c>
      <c r="H3537" s="79">
        <f t="shared" si="501"/>
        <v>4.0885100842035227E-2</v>
      </c>
      <c r="J3537" s="67" t="s">
        <v>572</v>
      </c>
      <c r="K3537" s="119">
        <f>D3548</f>
        <v>121629.25012300001</v>
      </c>
      <c r="L3537" s="119">
        <f>D3549</f>
        <v>65015.489042000001</v>
      </c>
      <c r="M3537" s="18">
        <f t="shared" si="502"/>
        <v>0.46546172917902734</v>
      </c>
      <c r="N3537" s="73">
        <f>D3550</f>
        <v>64570.802780999999</v>
      </c>
      <c r="O3537" s="18">
        <f t="shared" si="503"/>
        <v>0.46911780911498274</v>
      </c>
      <c r="P3537" s="22">
        <f t="shared" si="504"/>
        <v>6.8396972406488442E-3</v>
      </c>
    </row>
    <row r="3538" spans="1:16" x14ac:dyDescent="0.25">
      <c r="A3538" s="137" t="s">
        <v>1326</v>
      </c>
      <c r="B3538" s="137" t="s">
        <v>333</v>
      </c>
      <c r="C3538" s="137">
        <v>25</v>
      </c>
      <c r="D3538" s="196">
        <v>372266.36723099998</v>
      </c>
      <c r="E3538" s="137">
        <v>1</v>
      </c>
      <c r="F3538" s="196">
        <v>14548.592219</v>
      </c>
      <c r="G3538" s="137" t="s">
        <v>335</v>
      </c>
      <c r="H3538" s="79">
        <f t="shared" si="501"/>
        <v>3.9081135175373656E-2</v>
      </c>
      <c r="J3538" s="67" t="s">
        <v>168</v>
      </c>
      <c r="K3538" s="119">
        <f>D3551</f>
        <v>629340.11673799995</v>
      </c>
      <c r="L3538" s="119">
        <f>D3552</f>
        <v>449065.319854</v>
      </c>
      <c r="M3538" s="18">
        <f t="shared" si="502"/>
        <v>0.28645050917523185</v>
      </c>
      <c r="N3538" s="73">
        <f>D3553</f>
        <v>1156720.299776</v>
      </c>
      <c r="O3538" s="18">
        <f t="shared" si="503"/>
        <v>-0.83798913975406597</v>
      </c>
      <c r="P3538" s="22">
        <f t="shared" si="504"/>
        <v>-1.5758397467701861</v>
      </c>
    </row>
    <row r="3539" spans="1:16" x14ac:dyDescent="0.25">
      <c r="A3539" s="137" t="s">
        <v>1327</v>
      </c>
      <c r="B3539" s="137" t="s">
        <v>333</v>
      </c>
      <c r="C3539" s="137">
        <v>25</v>
      </c>
      <c r="D3539" s="196">
        <v>106672.51109099999</v>
      </c>
      <c r="E3539" s="137">
        <v>1</v>
      </c>
      <c r="F3539" s="196">
        <v>2663.630549</v>
      </c>
      <c r="G3539" s="137" t="s">
        <v>335</v>
      </c>
      <c r="H3539" s="79">
        <f t="shared" si="501"/>
        <v>2.4970168244447859E-2</v>
      </c>
      <c r="J3539" s="67" t="s">
        <v>578</v>
      </c>
      <c r="K3539" s="119">
        <f>D3554</f>
        <v>254025.13492300001</v>
      </c>
      <c r="L3539" s="119">
        <f>D3555</f>
        <v>219860.51101700001</v>
      </c>
      <c r="M3539" s="18">
        <f t="shared" si="502"/>
        <v>0.13449308438063012</v>
      </c>
      <c r="N3539" s="73">
        <f>D3556</f>
        <v>321659.49561400001</v>
      </c>
      <c r="O3539" s="18">
        <f t="shared" si="503"/>
        <v>-0.26625066339006692</v>
      </c>
      <c r="P3539" s="22">
        <f t="shared" si="504"/>
        <v>-0.46301622845372503</v>
      </c>
    </row>
    <row r="3540" spans="1:16" x14ac:dyDescent="0.25">
      <c r="A3540" s="137" t="s">
        <v>1328</v>
      </c>
      <c r="B3540" s="137" t="s">
        <v>333</v>
      </c>
      <c r="C3540" s="137">
        <v>25</v>
      </c>
      <c r="D3540" s="196">
        <v>45458.943443999997</v>
      </c>
      <c r="E3540" s="137">
        <v>1</v>
      </c>
      <c r="F3540" s="196">
        <v>1230.8272669999999</v>
      </c>
      <c r="G3540" s="137" t="s">
        <v>335</v>
      </c>
      <c r="H3540" s="79">
        <f t="shared" si="501"/>
        <v>2.7075580155448014E-2</v>
      </c>
      <c r="J3540" s="67" t="s">
        <v>579</v>
      </c>
      <c r="K3540" s="119">
        <f>D3557</f>
        <v>674127.04028299998</v>
      </c>
      <c r="L3540" s="119">
        <f>D3558</f>
        <v>626353.69412</v>
      </c>
      <c r="M3540" s="18">
        <f t="shared" si="502"/>
        <v>7.0866978044590273E-2</v>
      </c>
      <c r="N3540" s="73">
        <f>D3559</f>
        <v>669213.01737799996</v>
      </c>
      <c r="O3540" s="18">
        <f t="shared" si="503"/>
        <v>7.28946120146301E-3</v>
      </c>
      <c r="P3540" s="22">
        <f t="shared" si="504"/>
        <v>-6.8426711074507943E-2</v>
      </c>
    </row>
    <row r="3541" spans="1:16" x14ac:dyDescent="0.25">
      <c r="A3541" s="137" t="s">
        <v>1329</v>
      </c>
      <c r="B3541" s="137" t="s">
        <v>333</v>
      </c>
      <c r="C3541" s="137">
        <v>25</v>
      </c>
      <c r="D3541" s="196">
        <v>59537.649073</v>
      </c>
      <c r="E3541" s="137">
        <v>1</v>
      </c>
      <c r="F3541" s="196">
        <v>2900.7894000000001</v>
      </c>
      <c r="G3541" s="137" t="s">
        <v>335</v>
      </c>
      <c r="H3541" s="79">
        <f t="shared" si="501"/>
        <v>4.8721933854716015E-2</v>
      </c>
      <c r="J3541" s="67" t="s">
        <v>759</v>
      </c>
      <c r="K3541" s="119">
        <f>D3560</f>
        <v>132498.91461899999</v>
      </c>
      <c r="L3541" s="119">
        <f>D3561</f>
        <v>9347.9190830000007</v>
      </c>
      <c r="M3541" s="18">
        <f t="shared" si="502"/>
        <v>0.92944908937646853</v>
      </c>
      <c r="N3541" s="73">
        <f>D3562</f>
        <v>49320.701067000002</v>
      </c>
      <c r="O3541" s="18">
        <f t="shared" si="503"/>
        <v>0.6277652446525962</v>
      </c>
      <c r="P3541" s="22">
        <f>(L3541-N3541)/L3541</f>
        <v>-4.2761155321395501</v>
      </c>
    </row>
    <row r="3542" spans="1:16" x14ac:dyDescent="0.25">
      <c r="A3542" s="137" t="s">
        <v>1330</v>
      </c>
      <c r="B3542" s="137" t="s">
        <v>333</v>
      </c>
      <c r="C3542" s="137">
        <v>25</v>
      </c>
      <c r="D3542" s="196">
        <v>64539.482127000003</v>
      </c>
      <c r="E3542" s="137">
        <v>1</v>
      </c>
      <c r="F3542" s="196">
        <v>1730.0309600000001</v>
      </c>
      <c r="G3542" s="137" t="s">
        <v>335</v>
      </c>
      <c r="H3542" s="79">
        <f t="shared" si="501"/>
        <v>2.6805776913357723E-2</v>
      </c>
      <c r="J3542" s="67" t="s">
        <v>165</v>
      </c>
      <c r="K3542" s="119">
        <f>D3563</f>
        <v>129590.58029</v>
      </c>
      <c r="L3542" s="119">
        <f>D3564</f>
        <v>66700.691168999998</v>
      </c>
      <c r="M3542" s="18">
        <f t="shared" si="502"/>
        <v>0.48529676293032981</v>
      </c>
      <c r="N3542" s="73">
        <f>D3565</f>
        <v>93639.056635999994</v>
      </c>
      <c r="O3542" s="18">
        <f t="shared" si="503"/>
        <v>0.27742389588461658</v>
      </c>
      <c r="P3542" s="22">
        <f t="shared" si="504"/>
        <v>-0.40386936019517511</v>
      </c>
    </row>
    <row r="3543" spans="1:16" x14ac:dyDescent="0.25">
      <c r="A3543" s="137" t="s">
        <v>1331</v>
      </c>
      <c r="B3543" s="137" t="s">
        <v>333</v>
      </c>
      <c r="C3543" s="137">
        <v>25</v>
      </c>
      <c r="D3543" s="196">
        <v>19842.994638</v>
      </c>
      <c r="E3543" s="137">
        <v>1</v>
      </c>
      <c r="F3543" s="196">
        <v>820.52919999999995</v>
      </c>
      <c r="G3543" s="137" t="s">
        <v>335</v>
      </c>
      <c r="H3543" s="79">
        <f t="shared" si="501"/>
        <v>4.1351077040995568E-2</v>
      </c>
      <c r="J3543" s="67" t="s">
        <v>164</v>
      </c>
      <c r="K3543" s="119">
        <f>D3566</f>
        <v>197819.915939</v>
      </c>
      <c r="L3543" s="119">
        <f>D3567</f>
        <v>211106.78022700001</v>
      </c>
      <c r="M3543" s="18">
        <f t="shared" si="502"/>
        <v>-6.7166464129411352E-2</v>
      </c>
      <c r="N3543" s="73">
        <f>D3568</f>
        <v>186213.022921</v>
      </c>
      <c r="O3543" s="18">
        <f t="shared" si="503"/>
        <v>5.8674036751583288E-2</v>
      </c>
      <c r="P3543" s="22">
        <f t="shared" si="504"/>
        <v>0.11792021686481184</v>
      </c>
    </row>
    <row r="3544" spans="1:16" x14ac:dyDescent="0.25">
      <c r="A3544" s="137" t="s">
        <v>1332</v>
      </c>
      <c r="B3544" s="137" t="s">
        <v>333</v>
      </c>
      <c r="C3544" s="137">
        <v>25</v>
      </c>
      <c r="D3544" s="196">
        <v>56128.832513000001</v>
      </c>
      <c r="E3544" s="137">
        <v>1</v>
      </c>
      <c r="F3544" s="196">
        <v>1613.3415769999999</v>
      </c>
      <c r="G3544" s="137" t="s">
        <v>335</v>
      </c>
      <c r="H3544" s="79">
        <f t="shared" si="501"/>
        <v>2.8743544178053835E-2</v>
      </c>
      <c r="J3544" s="67" t="s">
        <v>163</v>
      </c>
      <c r="K3544" s="119">
        <f>D3569</f>
        <v>298041.307225</v>
      </c>
      <c r="L3544" s="119">
        <f>D3570</f>
        <v>399721.22736899997</v>
      </c>
      <c r="M3544" s="18">
        <f t="shared" si="502"/>
        <v>-0.3411604958075119</v>
      </c>
      <c r="N3544" s="73">
        <f>D3571</f>
        <v>445530.96886000002</v>
      </c>
      <c r="O3544" s="18">
        <f t="shared" si="503"/>
        <v>-0.49486315507150763</v>
      </c>
      <c r="P3544" s="22">
        <f t="shared" si="504"/>
        <v>-0.11460422503083904</v>
      </c>
    </row>
    <row r="3545" spans="1:16" x14ac:dyDescent="0.25">
      <c r="A3545" s="137" t="s">
        <v>1333</v>
      </c>
      <c r="B3545" s="137" t="s">
        <v>333</v>
      </c>
      <c r="C3545" s="137">
        <v>25</v>
      </c>
      <c r="D3545" s="196">
        <v>94955.801116000002</v>
      </c>
      <c r="E3545" s="137">
        <v>1</v>
      </c>
      <c r="F3545" s="196">
        <v>2441.2853869999999</v>
      </c>
      <c r="G3545" s="137" t="s">
        <v>335</v>
      </c>
      <c r="H3545" s="79">
        <f t="shared" si="501"/>
        <v>2.570970239109114E-2</v>
      </c>
      <c r="J3545" s="67" t="s">
        <v>161</v>
      </c>
      <c r="K3545" s="119">
        <f>D3572</f>
        <v>599079.39521400002</v>
      </c>
      <c r="L3545" s="119">
        <f>D3573</f>
        <v>840478.66787400004</v>
      </c>
      <c r="M3545" s="18">
        <f t="shared" si="502"/>
        <v>-0.40295038452085075</v>
      </c>
      <c r="N3545" s="73">
        <f>D3574</f>
        <v>1026880.691379</v>
      </c>
      <c r="O3545" s="18">
        <f t="shared" si="503"/>
        <v>-0.71409783007506544</v>
      </c>
      <c r="P3545" s="22">
        <f t="shared" si="504"/>
        <v>-0.22178079067313616</v>
      </c>
    </row>
    <row r="3546" spans="1:16" x14ac:dyDescent="0.25">
      <c r="A3546" s="137" t="s">
        <v>1334</v>
      </c>
      <c r="B3546" s="137" t="s">
        <v>333</v>
      </c>
      <c r="C3546" s="137">
        <v>25</v>
      </c>
      <c r="D3546" s="196">
        <v>71717.290729</v>
      </c>
      <c r="E3546" s="137">
        <v>1</v>
      </c>
      <c r="F3546" s="196">
        <v>3409.6662310000002</v>
      </c>
      <c r="G3546" s="137" t="s">
        <v>335</v>
      </c>
      <c r="H3546" s="79">
        <f t="shared" si="501"/>
        <v>4.7543154465834396E-2</v>
      </c>
      <c r="J3546" s="67" t="s">
        <v>580</v>
      </c>
      <c r="K3546" s="119">
        <f>D3575</f>
        <v>233911.182184</v>
      </c>
      <c r="L3546" s="119">
        <f>D3576</f>
        <v>187198.22980500001</v>
      </c>
      <c r="M3546" s="18">
        <f t="shared" si="502"/>
        <v>0.19970380185695652</v>
      </c>
      <c r="N3546" s="73">
        <f>D3577</f>
        <v>161693.959887</v>
      </c>
      <c r="O3546" s="18">
        <f t="shared" si="503"/>
        <v>0.30873779364764292</v>
      </c>
      <c r="P3546" s="22">
        <f t="shared" si="504"/>
        <v>0.13624204643690918</v>
      </c>
    </row>
    <row r="3547" spans="1:16" x14ac:dyDescent="0.25">
      <c r="A3547" s="137" t="s">
        <v>1335</v>
      </c>
      <c r="B3547" s="137" t="s">
        <v>333</v>
      </c>
      <c r="C3547" s="137">
        <v>25</v>
      </c>
      <c r="D3547" s="196">
        <v>56669.101799999997</v>
      </c>
      <c r="E3547" s="137">
        <v>1</v>
      </c>
      <c r="F3547" s="196">
        <v>1983.7045129999999</v>
      </c>
      <c r="G3547" s="137" t="s">
        <v>335</v>
      </c>
      <c r="H3547" s="79">
        <f t="shared" si="501"/>
        <v>3.5005045959630859E-2</v>
      </c>
      <c r="J3547" s="67" t="s">
        <v>581</v>
      </c>
      <c r="K3547" s="119">
        <f>D3578</f>
        <v>222054.39534300001</v>
      </c>
      <c r="L3547" s="119">
        <f>D3579</f>
        <v>206052.94891599999</v>
      </c>
      <c r="M3547" s="18">
        <f t="shared" si="502"/>
        <v>7.2060930846620339E-2</v>
      </c>
      <c r="N3547" s="73">
        <f>D3580</f>
        <v>217897.33381499999</v>
      </c>
      <c r="O3547" s="18">
        <f t="shared" si="503"/>
        <v>1.8720915303562201E-2</v>
      </c>
      <c r="P3547" s="22">
        <f t="shared" si="504"/>
        <v>-5.7482239207498578E-2</v>
      </c>
    </row>
    <row r="3548" spans="1:16" x14ac:dyDescent="0.25">
      <c r="A3548" s="137" t="s">
        <v>1336</v>
      </c>
      <c r="B3548" s="137" t="s">
        <v>333</v>
      </c>
      <c r="C3548" s="137">
        <v>25</v>
      </c>
      <c r="D3548" s="196">
        <v>121629.25012300001</v>
      </c>
      <c r="E3548" s="137">
        <v>1</v>
      </c>
      <c r="F3548" s="196">
        <v>2363.8807099999999</v>
      </c>
      <c r="G3548" s="137" t="s">
        <v>335</v>
      </c>
      <c r="H3548" s="79">
        <f t="shared" si="501"/>
        <v>1.943513347002862E-2</v>
      </c>
      <c r="J3548" s="67" t="s">
        <v>681</v>
      </c>
      <c r="K3548" s="119">
        <f>D3581</f>
        <v>103579.226538</v>
      </c>
      <c r="L3548" s="119">
        <f>D3582</f>
        <v>139581.74833500001</v>
      </c>
      <c r="M3548" s="18">
        <f t="shared" si="502"/>
        <v>-0.34758438540561798</v>
      </c>
      <c r="N3548" s="73">
        <f>D3583</f>
        <v>74558.674268000002</v>
      </c>
      <c r="O3548" s="18">
        <f t="shared" si="503"/>
        <v>0.28017734095893504</v>
      </c>
      <c r="P3548" s="22">
        <f t="shared" si="504"/>
        <v>0.4658422382770479</v>
      </c>
    </row>
    <row r="3549" spans="1:16" x14ac:dyDescent="0.25">
      <c r="A3549" s="137" t="s">
        <v>1337</v>
      </c>
      <c r="B3549" s="137" t="s">
        <v>333</v>
      </c>
      <c r="C3549" s="137">
        <v>25</v>
      </c>
      <c r="D3549" s="196">
        <v>65015.489042000001</v>
      </c>
      <c r="E3549" s="137">
        <v>1</v>
      </c>
      <c r="F3549" s="196">
        <v>2682.168823</v>
      </c>
      <c r="G3549" s="137" t="s">
        <v>335</v>
      </c>
      <c r="H3549" s="79">
        <f t="shared" si="501"/>
        <v>4.1254305128233658E-2</v>
      </c>
      <c r="J3549" s="67" t="s">
        <v>573</v>
      </c>
      <c r="K3549" s="119">
        <f>D3584</f>
        <v>2193931.6663489998</v>
      </c>
      <c r="L3549" s="119">
        <f>D3585</f>
        <v>2967611.662463</v>
      </c>
      <c r="M3549" s="18">
        <f t="shared" si="502"/>
        <v>-0.35264543922715186</v>
      </c>
      <c r="N3549" s="73">
        <f>D3586</f>
        <v>3969216.0306480001</v>
      </c>
      <c r="O3549" s="18">
        <f t="shared" si="503"/>
        <v>-0.8091794250152351</v>
      </c>
      <c r="P3549" s="22">
        <f t="shared" si="504"/>
        <v>-0.33751193960253817</v>
      </c>
    </row>
    <row r="3550" spans="1:16" x14ac:dyDescent="0.25">
      <c r="A3550" s="137" t="s">
        <v>1338</v>
      </c>
      <c r="B3550" s="137" t="s">
        <v>333</v>
      </c>
      <c r="C3550" s="137">
        <v>25</v>
      </c>
      <c r="D3550" s="196">
        <v>64570.802780999999</v>
      </c>
      <c r="E3550" s="137">
        <v>1</v>
      </c>
      <c r="F3550" s="196">
        <v>2394.680867</v>
      </c>
      <c r="G3550" s="137" t="s">
        <v>335</v>
      </c>
      <c r="H3550" s="79">
        <f t="shared" si="501"/>
        <v>3.7086125057510307E-2</v>
      </c>
      <c r="J3550" s="67" t="s">
        <v>268</v>
      </c>
      <c r="K3550" s="119">
        <f>D3587</f>
        <v>1449480.879458</v>
      </c>
      <c r="L3550" s="119">
        <f>D3588</f>
        <v>1458327.7215839999</v>
      </c>
      <c r="M3550" s="18">
        <f t="shared" si="502"/>
        <v>-6.1034555552799338E-3</v>
      </c>
      <c r="N3550" s="73">
        <f>D3589</f>
        <v>1431957.0582300001</v>
      </c>
      <c r="O3550" s="18">
        <f t="shared" si="503"/>
        <v>1.2089722242181283E-2</v>
      </c>
      <c r="P3550" s="22">
        <f t="shared" si="504"/>
        <v>1.8082810169278461E-2</v>
      </c>
    </row>
    <row r="3551" spans="1:16" x14ac:dyDescent="0.25">
      <c r="A3551" s="137" t="s">
        <v>1339</v>
      </c>
      <c r="B3551" s="137" t="s">
        <v>333</v>
      </c>
      <c r="C3551" s="137">
        <v>25</v>
      </c>
      <c r="D3551" s="196">
        <v>629340.11673799995</v>
      </c>
      <c r="E3551" s="137">
        <v>1</v>
      </c>
      <c r="F3551" s="196">
        <v>32914.702512999997</v>
      </c>
      <c r="G3551" s="137" t="s">
        <v>335</v>
      </c>
      <c r="H3551" s="79">
        <f t="shared" si="501"/>
        <v>5.230034068637434E-2</v>
      </c>
      <c r="J3551" s="67" t="s">
        <v>586</v>
      </c>
      <c r="K3551" s="119">
        <f>D3590</f>
        <v>66945.237087000001</v>
      </c>
      <c r="L3551" s="119">
        <f>D3591</f>
        <v>1861.4302600000001</v>
      </c>
      <c r="M3551" s="18">
        <f t="shared" si="502"/>
        <v>0.97219473197800554</v>
      </c>
      <c r="N3551" s="73">
        <f>D3592</f>
        <v>10613.927739000001</v>
      </c>
      <c r="O3551" s="18">
        <f t="shared" si="503"/>
        <v>0.84145357906184637</v>
      </c>
      <c r="P3551" s="22">
        <f t="shared" si="504"/>
        <v>-4.7020281485055477</v>
      </c>
    </row>
    <row r="3552" spans="1:16" ht="20" thickBot="1" x14ac:dyDescent="0.3">
      <c r="A3552" s="137" t="s">
        <v>1340</v>
      </c>
      <c r="B3552" s="137" t="s">
        <v>333</v>
      </c>
      <c r="C3552" s="137">
        <v>25</v>
      </c>
      <c r="D3552" s="196">
        <v>449065.319854</v>
      </c>
      <c r="E3552" s="137">
        <v>1</v>
      </c>
      <c r="F3552" s="196">
        <v>13049.600060000001</v>
      </c>
      <c r="G3552" s="137" t="s">
        <v>335</v>
      </c>
      <c r="H3552" s="79">
        <f t="shared" si="501"/>
        <v>2.9059469709757778E-2</v>
      </c>
      <c r="J3552" s="68" t="s">
        <v>602</v>
      </c>
      <c r="K3552" s="120">
        <f>D3593</f>
        <v>110822.851941</v>
      </c>
      <c r="L3552" s="120">
        <f>D3594</f>
        <v>15837.178190000001</v>
      </c>
      <c r="M3552" s="19">
        <f t="shared" si="502"/>
        <v>0.85709465229760173</v>
      </c>
      <c r="N3552" s="74">
        <f>D3595</f>
        <v>93551.766688000003</v>
      </c>
      <c r="O3552" s="19">
        <f t="shared" si="503"/>
        <v>0.1558440786399794</v>
      </c>
      <c r="P3552" s="23">
        <f t="shared" si="504"/>
        <v>-4.9070981942396141</v>
      </c>
    </row>
    <row r="3553" spans="1:8" x14ac:dyDescent="0.25">
      <c r="A3553" s="137" t="s">
        <v>1341</v>
      </c>
      <c r="B3553" s="137" t="s">
        <v>333</v>
      </c>
      <c r="C3553" s="137">
        <v>25</v>
      </c>
      <c r="D3553" s="196">
        <v>1156720.299776</v>
      </c>
      <c r="E3553" s="137">
        <v>1</v>
      </c>
      <c r="F3553" s="196">
        <v>44759.683234999997</v>
      </c>
      <c r="G3553" s="137" t="s">
        <v>335</v>
      </c>
      <c r="H3553" s="79">
        <f t="shared" si="501"/>
        <v>3.8695338227977633E-2</v>
      </c>
    </row>
    <row r="3554" spans="1:8" x14ac:dyDescent="0.25">
      <c r="A3554" s="137" t="s">
        <v>1342</v>
      </c>
      <c r="B3554" s="137" t="s">
        <v>333</v>
      </c>
      <c r="C3554" s="137">
        <v>25</v>
      </c>
      <c r="D3554" s="196">
        <v>254025.13492300001</v>
      </c>
      <c r="E3554" s="137">
        <v>1</v>
      </c>
      <c r="F3554" s="196">
        <v>7370.7240869999996</v>
      </c>
      <c r="G3554" s="137" t="s">
        <v>335</v>
      </c>
      <c r="H3554" s="79">
        <f t="shared" si="501"/>
        <v>2.9015727476079129E-2</v>
      </c>
    </row>
    <row r="3555" spans="1:8" x14ac:dyDescent="0.25">
      <c r="A3555" s="137" t="s">
        <v>1343</v>
      </c>
      <c r="B3555" s="137" t="s">
        <v>333</v>
      </c>
      <c r="C3555" s="137">
        <v>25</v>
      </c>
      <c r="D3555" s="196">
        <v>219860.51101700001</v>
      </c>
      <c r="E3555" s="137">
        <v>1</v>
      </c>
      <c r="F3555" s="196">
        <v>11187.767226</v>
      </c>
      <c r="G3555" s="137" t="s">
        <v>335</v>
      </c>
      <c r="H3555" s="79">
        <f t="shared" si="501"/>
        <v>5.0885751034822901E-2</v>
      </c>
    </row>
    <row r="3556" spans="1:8" x14ac:dyDescent="0.25">
      <c r="A3556" s="137" t="s">
        <v>1344</v>
      </c>
      <c r="B3556" s="137" t="s">
        <v>333</v>
      </c>
      <c r="C3556" s="137">
        <v>25</v>
      </c>
      <c r="D3556" s="196">
        <v>321659.49561400001</v>
      </c>
      <c r="E3556" s="137">
        <v>1</v>
      </c>
      <c r="F3556" s="196">
        <v>13287.803148999999</v>
      </c>
      <c r="G3556" s="137" t="s">
        <v>335</v>
      </c>
      <c r="H3556" s="79">
        <f t="shared" si="501"/>
        <v>4.1310153532497354E-2</v>
      </c>
    </row>
    <row r="3557" spans="1:8" x14ac:dyDescent="0.25">
      <c r="A3557" s="137" t="s">
        <v>1345</v>
      </c>
      <c r="B3557" s="137" t="s">
        <v>333</v>
      </c>
      <c r="C3557" s="137">
        <v>25</v>
      </c>
      <c r="D3557" s="196">
        <v>674127.04028299998</v>
      </c>
      <c r="E3557" s="137">
        <v>1</v>
      </c>
      <c r="F3557" s="196">
        <v>30430.981255999999</v>
      </c>
      <c r="G3557" s="137" t="s">
        <v>335</v>
      </c>
      <c r="H3557" s="79">
        <f t="shared" si="501"/>
        <v>4.5141315267853678E-2</v>
      </c>
    </row>
    <row r="3558" spans="1:8" x14ac:dyDescent="0.25">
      <c r="A3558" s="137" t="s">
        <v>1346</v>
      </c>
      <c r="B3558" s="137" t="s">
        <v>333</v>
      </c>
      <c r="C3558" s="137">
        <v>25</v>
      </c>
      <c r="D3558" s="196">
        <v>626353.69412</v>
      </c>
      <c r="E3558" s="137">
        <v>1</v>
      </c>
      <c r="F3558" s="196">
        <v>30123.765801000001</v>
      </c>
      <c r="G3558" s="137" t="s">
        <v>335</v>
      </c>
      <c r="H3558" s="79">
        <f t="shared" si="501"/>
        <v>4.8093858284531388E-2</v>
      </c>
    </row>
    <row r="3559" spans="1:8" x14ac:dyDescent="0.25">
      <c r="A3559" s="137" t="s">
        <v>1347</v>
      </c>
      <c r="B3559" s="137" t="s">
        <v>333</v>
      </c>
      <c r="C3559" s="137">
        <v>25</v>
      </c>
      <c r="D3559" s="196">
        <v>669213.01737799996</v>
      </c>
      <c r="E3559" s="137">
        <v>1</v>
      </c>
      <c r="F3559" s="196">
        <v>28835.476447000001</v>
      </c>
      <c r="G3559" s="137" t="s">
        <v>335</v>
      </c>
      <c r="H3559" s="79">
        <f t="shared" si="501"/>
        <v>4.3088636500196016E-2</v>
      </c>
    </row>
    <row r="3560" spans="1:8" x14ac:dyDescent="0.25">
      <c r="A3560" s="137" t="s">
        <v>1348</v>
      </c>
      <c r="B3560" s="137" t="s">
        <v>333</v>
      </c>
      <c r="C3560" s="137">
        <v>25</v>
      </c>
      <c r="D3560" s="196">
        <v>132498.91461899999</v>
      </c>
      <c r="E3560" s="137">
        <v>1</v>
      </c>
      <c r="F3560" s="196">
        <v>3991.9025160000001</v>
      </c>
      <c r="G3560" s="137" t="s">
        <v>335</v>
      </c>
      <c r="H3560" s="79">
        <f t="shared" si="501"/>
        <v>3.012781295211887E-2</v>
      </c>
    </row>
    <row r="3561" spans="1:8" x14ac:dyDescent="0.25">
      <c r="A3561" s="137" t="s">
        <v>1349</v>
      </c>
      <c r="B3561" s="137" t="s">
        <v>333</v>
      </c>
      <c r="C3561" s="137">
        <v>25</v>
      </c>
      <c r="D3561" s="196">
        <v>9347.9190830000007</v>
      </c>
      <c r="E3561" s="137">
        <v>1</v>
      </c>
      <c r="F3561" s="196">
        <v>413.65267899999998</v>
      </c>
      <c r="G3561" s="137" t="s">
        <v>335</v>
      </c>
      <c r="H3561" s="79">
        <f t="shared" si="501"/>
        <v>4.4250776598212443E-2</v>
      </c>
    </row>
    <row r="3562" spans="1:8" x14ac:dyDescent="0.25">
      <c r="A3562" s="137" t="s">
        <v>1350</v>
      </c>
      <c r="B3562" s="137" t="s">
        <v>333</v>
      </c>
      <c r="C3562" s="137">
        <v>25</v>
      </c>
      <c r="D3562" s="196">
        <v>49320.701067000002</v>
      </c>
      <c r="E3562" s="137">
        <v>1</v>
      </c>
      <c r="F3562" s="196">
        <v>1408.017435</v>
      </c>
      <c r="G3562" s="137" t="s">
        <v>335</v>
      </c>
      <c r="H3562" s="79">
        <f t="shared" si="501"/>
        <v>2.8548203990192075E-2</v>
      </c>
    </row>
    <row r="3563" spans="1:8" x14ac:dyDescent="0.25">
      <c r="A3563" s="137" t="s">
        <v>1354</v>
      </c>
      <c r="B3563" s="137" t="s">
        <v>333</v>
      </c>
      <c r="C3563" s="137">
        <v>25</v>
      </c>
      <c r="D3563" s="196">
        <v>129590.58029</v>
      </c>
      <c r="E3563" s="137">
        <v>1</v>
      </c>
      <c r="F3563" s="196">
        <v>5221.7012269999996</v>
      </c>
      <c r="G3563" s="137" t="s">
        <v>335</v>
      </c>
      <c r="H3563" s="79">
        <f t="shared" si="501"/>
        <v>4.0293833203885562E-2</v>
      </c>
    </row>
    <row r="3564" spans="1:8" x14ac:dyDescent="0.25">
      <c r="A3564" s="137" t="s">
        <v>1355</v>
      </c>
      <c r="B3564" s="137" t="s">
        <v>333</v>
      </c>
      <c r="C3564" s="137">
        <v>25</v>
      </c>
      <c r="D3564" s="196">
        <v>66700.691168999998</v>
      </c>
      <c r="E3564" s="137">
        <v>1</v>
      </c>
      <c r="F3564" s="196">
        <v>2583.0468700000001</v>
      </c>
      <c r="G3564" s="137" t="s">
        <v>335</v>
      </c>
      <c r="H3564" s="79">
        <f t="shared" si="501"/>
        <v>3.8725938588182192E-2</v>
      </c>
    </row>
    <row r="3565" spans="1:8" x14ac:dyDescent="0.25">
      <c r="A3565" s="137" t="s">
        <v>1356</v>
      </c>
      <c r="B3565" s="137" t="s">
        <v>333</v>
      </c>
      <c r="C3565" s="137">
        <v>25</v>
      </c>
      <c r="D3565" s="196">
        <v>93639.056635999994</v>
      </c>
      <c r="E3565" s="137">
        <v>1</v>
      </c>
      <c r="F3565" s="196">
        <v>4651.3238959999999</v>
      </c>
      <c r="G3565" s="137" t="s">
        <v>335</v>
      </c>
      <c r="H3565" s="79">
        <f t="shared" si="501"/>
        <v>4.9672904267723854E-2</v>
      </c>
    </row>
    <row r="3566" spans="1:8" x14ac:dyDescent="0.25">
      <c r="A3566" s="137" t="s">
        <v>1357</v>
      </c>
      <c r="B3566" s="137" t="s">
        <v>333</v>
      </c>
      <c r="C3566" s="137">
        <v>25</v>
      </c>
      <c r="D3566" s="196">
        <v>197819.915939</v>
      </c>
      <c r="E3566" s="137">
        <v>1</v>
      </c>
      <c r="F3566" s="196">
        <v>4748.1975869999997</v>
      </c>
      <c r="G3566" s="137" t="s">
        <v>335</v>
      </c>
      <c r="H3566" s="79">
        <f t="shared" si="501"/>
        <v>2.4002626653952072E-2</v>
      </c>
    </row>
    <row r="3567" spans="1:8" x14ac:dyDescent="0.25">
      <c r="A3567" s="137" t="s">
        <v>1358</v>
      </c>
      <c r="B3567" s="137" t="s">
        <v>333</v>
      </c>
      <c r="C3567" s="137">
        <v>25</v>
      </c>
      <c r="D3567" s="196">
        <v>211106.78022700001</v>
      </c>
      <c r="E3567" s="137">
        <v>1</v>
      </c>
      <c r="F3567" s="196">
        <v>6955.4021780000003</v>
      </c>
      <c r="G3567" s="137" t="s">
        <v>335</v>
      </c>
      <c r="H3567" s="79">
        <f t="shared" si="501"/>
        <v>3.2947317800598154E-2</v>
      </c>
    </row>
    <row r="3568" spans="1:8" x14ac:dyDescent="0.25">
      <c r="A3568" s="137" t="s">
        <v>1359</v>
      </c>
      <c r="B3568" s="137" t="s">
        <v>333</v>
      </c>
      <c r="C3568" s="137">
        <v>25</v>
      </c>
      <c r="D3568" s="196">
        <v>186213.022921</v>
      </c>
      <c r="E3568" s="137">
        <v>1</v>
      </c>
      <c r="F3568" s="196">
        <v>10796.062125</v>
      </c>
      <c r="G3568" s="137" t="s">
        <v>335</v>
      </c>
      <c r="H3568" s="79">
        <f t="shared" si="501"/>
        <v>5.7976944660740402E-2</v>
      </c>
    </row>
    <row r="3569" spans="1:8" x14ac:dyDescent="0.25">
      <c r="A3569" s="137" t="s">
        <v>1360</v>
      </c>
      <c r="B3569" s="137" t="s">
        <v>333</v>
      </c>
      <c r="C3569" s="137">
        <v>25</v>
      </c>
      <c r="D3569" s="196">
        <v>298041.307225</v>
      </c>
      <c r="E3569" s="137">
        <v>1</v>
      </c>
      <c r="F3569" s="196">
        <v>9966.2352900000005</v>
      </c>
      <c r="G3569" s="137" t="s">
        <v>335</v>
      </c>
      <c r="H3569" s="79">
        <f>F3569/D3569</f>
        <v>3.3439107427066149E-2</v>
      </c>
    </row>
    <row r="3570" spans="1:8" x14ac:dyDescent="0.25">
      <c r="A3570" s="137" t="s">
        <v>1361</v>
      </c>
      <c r="B3570" s="137" t="s">
        <v>333</v>
      </c>
      <c r="C3570" s="137">
        <v>25</v>
      </c>
      <c r="D3570" s="196">
        <v>399721.22736899997</v>
      </c>
      <c r="E3570" s="137">
        <v>1</v>
      </c>
      <c r="F3570" s="196">
        <v>21711.198681999998</v>
      </c>
      <c r="G3570" s="137" t="s">
        <v>335</v>
      </c>
      <c r="H3570" s="79">
        <f>F3570/D3570</f>
        <v>5.4315851136816036E-2</v>
      </c>
    </row>
    <row r="3571" spans="1:8" x14ac:dyDescent="0.25">
      <c r="A3571" s="137" t="s">
        <v>1362</v>
      </c>
      <c r="B3571" s="137" t="s">
        <v>333</v>
      </c>
      <c r="C3571" s="137">
        <v>25</v>
      </c>
      <c r="D3571" s="196">
        <v>445530.96886000002</v>
      </c>
      <c r="E3571" s="137">
        <v>1</v>
      </c>
      <c r="F3571" s="196">
        <v>19567.687632000001</v>
      </c>
      <c r="G3571" s="137" t="s">
        <v>335</v>
      </c>
      <c r="H3571" s="79">
        <f>F3571/D3571</f>
        <v>4.3919927007697618E-2</v>
      </c>
    </row>
    <row r="3572" spans="1:8" x14ac:dyDescent="0.25">
      <c r="A3572" s="137" t="s">
        <v>1351</v>
      </c>
      <c r="B3572" s="137" t="s">
        <v>333</v>
      </c>
      <c r="C3572" s="137">
        <v>25</v>
      </c>
      <c r="D3572" s="196">
        <v>599079.39521400002</v>
      </c>
      <c r="E3572" s="137">
        <v>1</v>
      </c>
      <c r="F3572" s="196">
        <v>27689.656986000002</v>
      </c>
      <c r="G3572" s="137" t="s">
        <v>335</v>
      </c>
      <c r="H3572" s="79">
        <f>F3572/D3572</f>
        <v>4.6220346096378172E-2</v>
      </c>
    </row>
    <row r="3573" spans="1:8" x14ac:dyDescent="0.25">
      <c r="A3573" s="137" t="s">
        <v>1352</v>
      </c>
      <c r="B3573" s="137" t="s">
        <v>333</v>
      </c>
      <c r="C3573" s="137">
        <v>25</v>
      </c>
      <c r="D3573" s="196">
        <v>840478.66787400004</v>
      </c>
      <c r="E3573" s="137">
        <v>1</v>
      </c>
      <c r="F3573" s="196">
        <v>36913.982346999997</v>
      </c>
      <c r="G3573" s="137" t="s">
        <v>335</v>
      </c>
      <c r="H3573" s="79">
        <f>F3573/D3573</f>
        <v>4.3920189480090341E-2</v>
      </c>
    </row>
    <row r="3574" spans="1:8" x14ac:dyDescent="0.25">
      <c r="A3574" s="137" t="s">
        <v>1353</v>
      </c>
      <c r="B3574" s="137" t="s">
        <v>333</v>
      </c>
      <c r="C3574" s="137">
        <v>25</v>
      </c>
      <c r="D3574" s="196">
        <v>1026880.691379</v>
      </c>
      <c r="E3574" s="137">
        <v>1</v>
      </c>
      <c r="F3574" s="196">
        <v>52356.536688</v>
      </c>
      <c r="G3574" s="137" t="s">
        <v>335</v>
      </c>
      <c r="H3574" s="79">
        <f>F3574/D3574</f>
        <v>5.0985997816056228E-2</v>
      </c>
    </row>
    <row r="3575" spans="1:8" x14ac:dyDescent="0.25">
      <c r="A3575" s="137" t="s">
        <v>1363</v>
      </c>
      <c r="B3575" s="137" t="s">
        <v>333</v>
      </c>
      <c r="C3575" s="137">
        <v>25</v>
      </c>
      <c r="D3575" s="196">
        <v>233911.182184</v>
      </c>
      <c r="E3575" s="137">
        <v>1</v>
      </c>
      <c r="F3575" s="196">
        <v>10315.990218999999</v>
      </c>
      <c r="G3575" s="137" t="s">
        <v>335</v>
      </c>
      <c r="H3575" s="79">
        <f t="shared" si="501"/>
        <v>4.4102167851407803E-2</v>
      </c>
    </row>
    <row r="3576" spans="1:8" x14ac:dyDescent="0.25">
      <c r="A3576" s="137" t="s">
        <v>1364</v>
      </c>
      <c r="B3576" s="137" t="s">
        <v>333</v>
      </c>
      <c r="C3576" s="137">
        <v>25</v>
      </c>
      <c r="D3576" s="196">
        <v>187198.22980500001</v>
      </c>
      <c r="E3576" s="137">
        <v>1</v>
      </c>
      <c r="F3576" s="196">
        <v>8421.5623639999994</v>
      </c>
      <c r="G3576" s="137" t="s">
        <v>335</v>
      </c>
      <c r="H3576" s="79">
        <f t="shared" si="501"/>
        <v>4.4987403848703818E-2</v>
      </c>
    </row>
    <row r="3577" spans="1:8" x14ac:dyDescent="0.25">
      <c r="A3577" s="137" t="s">
        <v>1365</v>
      </c>
      <c r="B3577" s="137" t="s">
        <v>333</v>
      </c>
      <c r="C3577" s="137">
        <v>25</v>
      </c>
      <c r="D3577" s="196">
        <v>161693.959887</v>
      </c>
      <c r="E3577" s="137">
        <v>1</v>
      </c>
      <c r="F3577" s="196">
        <v>3626.1735739999999</v>
      </c>
      <c r="G3577" s="137" t="s">
        <v>335</v>
      </c>
      <c r="H3577" s="79">
        <f t="shared" si="501"/>
        <v>2.2426153559070204E-2</v>
      </c>
    </row>
    <row r="3578" spans="1:8" x14ac:dyDescent="0.25">
      <c r="A3578" s="137" t="s">
        <v>1366</v>
      </c>
      <c r="B3578" s="137" t="s">
        <v>333</v>
      </c>
      <c r="C3578" s="137">
        <v>25</v>
      </c>
      <c r="D3578" s="196">
        <v>222054.39534300001</v>
      </c>
      <c r="E3578" s="137">
        <v>1</v>
      </c>
      <c r="F3578" s="196">
        <v>12771.636673999999</v>
      </c>
      <c r="G3578" s="137" t="s">
        <v>335</v>
      </c>
      <c r="H3578" s="79">
        <f t="shared" si="501"/>
        <v>5.7515802172130294E-2</v>
      </c>
    </row>
    <row r="3579" spans="1:8" x14ac:dyDescent="0.25">
      <c r="A3579" s="137" t="s">
        <v>1367</v>
      </c>
      <c r="B3579" s="137" t="s">
        <v>333</v>
      </c>
      <c r="C3579" s="137">
        <v>25</v>
      </c>
      <c r="D3579" s="196">
        <v>206052.94891599999</v>
      </c>
      <c r="E3579" s="137">
        <v>1</v>
      </c>
      <c r="F3579" s="196">
        <v>9746.9578000000001</v>
      </c>
      <c r="G3579" s="137" t="s">
        <v>335</v>
      </c>
      <c r="H3579" s="79">
        <f t="shared" si="501"/>
        <v>4.7303170623262794E-2</v>
      </c>
    </row>
    <row r="3580" spans="1:8" x14ac:dyDescent="0.25">
      <c r="A3580" s="137" t="s">
        <v>1368</v>
      </c>
      <c r="B3580" s="137" t="s">
        <v>333</v>
      </c>
      <c r="C3580" s="137">
        <v>25</v>
      </c>
      <c r="D3580" s="196">
        <v>217897.33381499999</v>
      </c>
      <c r="E3580" s="137">
        <v>1</v>
      </c>
      <c r="F3580" s="196">
        <v>6892.356863</v>
      </c>
      <c r="G3580" s="137" t="s">
        <v>335</v>
      </c>
      <c r="H3580" s="79">
        <f t="shared" si="501"/>
        <v>3.1631212472070791E-2</v>
      </c>
    </row>
    <row r="3581" spans="1:8" x14ac:dyDescent="0.25">
      <c r="A3581" s="137" t="s">
        <v>1369</v>
      </c>
      <c r="B3581" s="137" t="s">
        <v>333</v>
      </c>
      <c r="C3581" s="137">
        <v>25</v>
      </c>
      <c r="D3581" s="196">
        <v>103579.226538</v>
      </c>
      <c r="E3581" s="137">
        <v>1</v>
      </c>
      <c r="F3581" s="196">
        <v>4578.2896220000002</v>
      </c>
      <c r="G3581" s="137" t="s">
        <v>335</v>
      </c>
      <c r="H3581" s="79">
        <f t="shared" si="501"/>
        <v>4.4200847747403946E-2</v>
      </c>
    </row>
    <row r="3582" spans="1:8" x14ac:dyDescent="0.25">
      <c r="A3582" s="137" t="s">
        <v>1370</v>
      </c>
      <c r="B3582" s="137" t="s">
        <v>333</v>
      </c>
      <c r="C3582" s="137">
        <v>25</v>
      </c>
      <c r="D3582" s="196">
        <v>139581.74833500001</v>
      </c>
      <c r="E3582" s="137">
        <v>1</v>
      </c>
      <c r="F3582" s="196">
        <v>5037.4307630000003</v>
      </c>
      <c r="G3582" s="137" t="s">
        <v>335</v>
      </c>
      <c r="H3582" s="79">
        <f t="shared" si="501"/>
        <v>3.6089466016072734E-2</v>
      </c>
    </row>
    <row r="3583" spans="1:8" x14ac:dyDescent="0.25">
      <c r="A3583" s="137" t="s">
        <v>1371</v>
      </c>
      <c r="B3583" s="137" t="s">
        <v>333</v>
      </c>
      <c r="C3583" s="137">
        <v>25</v>
      </c>
      <c r="D3583" s="196">
        <v>74558.674268000002</v>
      </c>
      <c r="E3583" s="137">
        <v>1</v>
      </c>
      <c r="F3583" s="196">
        <v>2702.8457109999999</v>
      </c>
      <c r="G3583" s="137" t="s">
        <v>335</v>
      </c>
      <c r="H3583" s="79">
        <f t="shared" si="501"/>
        <v>3.6251257650916149E-2</v>
      </c>
    </row>
    <row r="3584" spans="1:8" x14ac:dyDescent="0.25">
      <c r="A3584" s="137" t="s">
        <v>1372</v>
      </c>
      <c r="B3584" s="137" t="s">
        <v>333</v>
      </c>
      <c r="C3584" s="137">
        <v>25</v>
      </c>
      <c r="D3584" s="196">
        <v>2193931.6663489998</v>
      </c>
      <c r="E3584" s="137">
        <v>1</v>
      </c>
      <c r="F3584" s="196">
        <v>101839.74993799999</v>
      </c>
      <c r="G3584" s="137" t="s">
        <v>335</v>
      </c>
      <c r="H3584" s="79">
        <f t="shared" si="501"/>
        <v>4.6418834050321704E-2</v>
      </c>
    </row>
    <row r="3585" spans="1:19" x14ac:dyDescent="0.25">
      <c r="A3585" s="137" t="s">
        <v>1373</v>
      </c>
      <c r="B3585" s="137" t="s">
        <v>333</v>
      </c>
      <c r="C3585" s="137">
        <v>25</v>
      </c>
      <c r="D3585" s="196">
        <v>2967611.662463</v>
      </c>
      <c r="E3585" s="137">
        <v>1</v>
      </c>
      <c r="F3585" s="196">
        <v>119555.51579999999</v>
      </c>
      <c r="G3585" s="137" t="s">
        <v>335</v>
      </c>
      <c r="H3585" s="79">
        <f t="shared" si="501"/>
        <v>4.0286779201013673E-2</v>
      </c>
    </row>
    <row r="3586" spans="1:19" x14ac:dyDescent="0.25">
      <c r="A3586" s="137" t="s">
        <v>1374</v>
      </c>
      <c r="B3586" s="137" t="s">
        <v>333</v>
      </c>
      <c r="C3586" s="137">
        <v>25</v>
      </c>
      <c r="D3586" s="196">
        <v>3969216.0306480001</v>
      </c>
      <c r="E3586" s="137">
        <v>1</v>
      </c>
      <c r="F3586" s="196">
        <v>125750.76756199999</v>
      </c>
      <c r="G3586" s="137" t="s">
        <v>335</v>
      </c>
      <c r="H3586" s="79">
        <f t="shared" si="501"/>
        <v>3.1681512568483297E-2</v>
      </c>
    </row>
    <row r="3587" spans="1:19" x14ac:dyDescent="0.25">
      <c r="A3587" s="137" t="s">
        <v>1375</v>
      </c>
      <c r="B3587" s="137" t="s">
        <v>333</v>
      </c>
      <c r="C3587" s="137">
        <v>25</v>
      </c>
      <c r="D3587" s="196">
        <v>1449480.879458</v>
      </c>
      <c r="E3587" s="137">
        <v>1</v>
      </c>
      <c r="F3587" s="196">
        <v>41137.717075</v>
      </c>
      <c r="G3587" s="137" t="s">
        <v>335</v>
      </c>
      <c r="H3587" s="79">
        <f t="shared" si="501"/>
        <v>2.8381000162197727E-2</v>
      </c>
    </row>
    <row r="3588" spans="1:19" x14ac:dyDescent="0.25">
      <c r="A3588" s="137" t="s">
        <v>1376</v>
      </c>
      <c r="B3588" s="137" t="s">
        <v>333</v>
      </c>
      <c r="C3588" s="137">
        <v>25</v>
      </c>
      <c r="D3588" s="196">
        <v>1458327.7215839999</v>
      </c>
      <c r="E3588" s="137">
        <v>1</v>
      </c>
      <c r="F3588" s="196">
        <v>42632.895086999997</v>
      </c>
      <c r="G3588" s="137" t="s">
        <v>335</v>
      </c>
      <c r="H3588" s="79">
        <f t="shared" si="501"/>
        <v>2.9234097696979378E-2</v>
      </c>
    </row>
    <row r="3589" spans="1:19" x14ac:dyDescent="0.25">
      <c r="A3589" s="137" t="s">
        <v>1377</v>
      </c>
      <c r="B3589" s="137" t="s">
        <v>333</v>
      </c>
      <c r="C3589" s="137">
        <v>25</v>
      </c>
      <c r="D3589" s="196">
        <v>1431957.0582300001</v>
      </c>
      <c r="E3589" s="137">
        <v>1</v>
      </c>
      <c r="F3589" s="196">
        <v>21464.872665999999</v>
      </c>
      <c r="G3589" s="137" t="s">
        <v>335</v>
      </c>
      <c r="H3589" s="79">
        <f t="shared" ref="H3589:H3595" si="505">F3589/D3589</f>
        <v>1.4989885725017547E-2</v>
      </c>
    </row>
    <row r="3590" spans="1:19" x14ac:dyDescent="0.25">
      <c r="A3590" s="137" t="s">
        <v>1378</v>
      </c>
      <c r="B3590" s="137" t="s">
        <v>333</v>
      </c>
      <c r="C3590" s="137">
        <v>25</v>
      </c>
      <c r="D3590" s="196">
        <v>66945.237087000001</v>
      </c>
      <c r="E3590" s="137">
        <v>1</v>
      </c>
      <c r="F3590" s="196">
        <v>2387.0920639999999</v>
      </c>
      <c r="G3590" s="137" t="s">
        <v>335</v>
      </c>
      <c r="H3590" s="79">
        <f t="shared" si="505"/>
        <v>3.565738457088153E-2</v>
      </c>
    </row>
    <row r="3591" spans="1:19" x14ac:dyDescent="0.25">
      <c r="A3591" s="137" t="s">
        <v>1379</v>
      </c>
      <c r="B3591" s="137" t="s">
        <v>333</v>
      </c>
      <c r="C3591" s="137">
        <v>25</v>
      </c>
      <c r="D3591" s="196">
        <v>1861.4302600000001</v>
      </c>
      <c r="E3591" s="137">
        <v>1</v>
      </c>
      <c r="F3591" s="196">
        <v>46.141029000000003</v>
      </c>
      <c r="G3591" s="137" t="s">
        <v>335</v>
      </c>
      <c r="H3591" s="79">
        <f t="shared" si="505"/>
        <v>2.4787943975940308E-2</v>
      </c>
    </row>
    <row r="3592" spans="1:19" x14ac:dyDescent="0.25">
      <c r="A3592" s="137" t="s">
        <v>1380</v>
      </c>
      <c r="B3592" s="137" t="s">
        <v>333</v>
      </c>
      <c r="C3592" s="137">
        <v>25</v>
      </c>
      <c r="D3592" s="196">
        <v>10613.927739000001</v>
      </c>
      <c r="E3592" s="137">
        <v>1</v>
      </c>
      <c r="F3592" s="196">
        <v>456.40504499999997</v>
      </c>
      <c r="G3592" s="137" t="s">
        <v>335</v>
      </c>
      <c r="H3592" s="79">
        <f t="shared" si="505"/>
        <v>4.3000579636789625E-2</v>
      </c>
    </row>
    <row r="3593" spans="1:19" x14ac:dyDescent="0.25">
      <c r="A3593" s="137" t="s">
        <v>1381</v>
      </c>
      <c r="B3593" s="137" t="s">
        <v>333</v>
      </c>
      <c r="C3593" s="137">
        <v>25</v>
      </c>
      <c r="D3593" s="196">
        <v>110822.851941</v>
      </c>
      <c r="E3593" s="137">
        <v>1</v>
      </c>
      <c r="F3593" s="196">
        <v>4714.1311820000001</v>
      </c>
      <c r="G3593" s="137" t="s">
        <v>335</v>
      </c>
      <c r="H3593" s="79">
        <f t="shared" si="505"/>
        <v>4.2537537154428352E-2</v>
      </c>
    </row>
    <row r="3594" spans="1:19" x14ac:dyDescent="0.25">
      <c r="A3594" s="137" t="s">
        <v>1382</v>
      </c>
      <c r="B3594" s="137" t="s">
        <v>333</v>
      </c>
      <c r="C3594" s="137">
        <v>25</v>
      </c>
      <c r="D3594" s="196">
        <v>15837.178190000001</v>
      </c>
      <c r="E3594" s="137">
        <v>1</v>
      </c>
      <c r="F3594" s="196">
        <v>576.77768600000002</v>
      </c>
      <c r="G3594" s="137" t="s">
        <v>335</v>
      </c>
      <c r="H3594" s="79">
        <f t="shared" si="505"/>
        <v>3.6419220588437412E-2</v>
      </c>
    </row>
    <row r="3595" spans="1:19" x14ac:dyDescent="0.25">
      <c r="A3595" s="137" t="s">
        <v>1383</v>
      </c>
      <c r="B3595" s="137" t="s">
        <v>333</v>
      </c>
      <c r="C3595" s="137">
        <v>25</v>
      </c>
      <c r="D3595" s="196">
        <v>93551.766688000003</v>
      </c>
      <c r="E3595" s="137">
        <v>1</v>
      </c>
      <c r="F3595" s="196">
        <v>4596.457332</v>
      </c>
      <c r="G3595" s="137" t="s">
        <v>335</v>
      </c>
      <c r="H3595" s="79">
        <f t="shared" si="505"/>
        <v>4.9132768890719332E-2</v>
      </c>
    </row>
    <row r="3597" spans="1:19" x14ac:dyDescent="0.25">
      <c r="A3597" s="153" t="s">
        <v>1682</v>
      </c>
      <c r="B3597" s="153"/>
      <c r="C3597" s="153"/>
      <c r="D3597" s="197"/>
      <c r="E3597" s="153"/>
      <c r="F3597" s="197"/>
      <c r="G3597" s="153"/>
      <c r="H3597" s="154"/>
      <c r="I3597" s="114"/>
      <c r="J3597" s="114"/>
      <c r="K3597" s="122"/>
      <c r="L3597" s="122"/>
      <c r="M3597" s="116"/>
    </row>
    <row r="3598" spans="1:19" x14ac:dyDescent="0.25">
      <c r="A3598" s="137" t="s">
        <v>1224</v>
      </c>
      <c r="B3598" s="137"/>
      <c r="C3598" s="137"/>
      <c r="D3598" s="196"/>
      <c r="E3598" s="137"/>
      <c r="F3598" s="196"/>
      <c r="G3598" s="137"/>
      <c r="H3598" s="79"/>
    </row>
    <row r="3599" spans="1:19" ht="20" thickBot="1" x14ac:dyDescent="0.3">
      <c r="A3599" s="137" t="s">
        <v>2</v>
      </c>
      <c r="B3599" s="137" t="s">
        <v>3</v>
      </c>
      <c r="C3599" s="137" t="s">
        <v>504</v>
      </c>
      <c r="D3599" s="196" t="s">
        <v>5</v>
      </c>
      <c r="E3599" s="137" t="s">
        <v>1247</v>
      </c>
      <c r="F3599" s="196" t="s">
        <v>505</v>
      </c>
      <c r="G3599" s="137" t="s">
        <v>506</v>
      </c>
      <c r="H3599" s="79"/>
    </row>
    <row r="3600" spans="1:19" x14ac:dyDescent="0.25">
      <c r="A3600" s="137" t="s">
        <v>1441</v>
      </c>
      <c r="B3600" s="137" t="s">
        <v>333</v>
      </c>
      <c r="C3600" s="137">
        <v>25</v>
      </c>
      <c r="D3600" s="196">
        <v>7711.1295790000004</v>
      </c>
      <c r="E3600" s="137">
        <v>1</v>
      </c>
      <c r="F3600" s="196">
        <v>256.19193899999999</v>
      </c>
      <c r="G3600" s="137" t="s">
        <v>335</v>
      </c>
      <c r="H3600" s="79">
        <f t="shared" ref="H3600:H3619" si="506">F3600/D3600</f>
        <v>3.3223658917326045E-2</v>
      </c>
      <c r="J3600" s="106" t="str">
        <f>A3598</f>
        <v>crazy2</v>
      </c>
      <c r="K3600" s="72" t="s">
        <v>344</v>
      </c>
      <c r="L3600" s="72" t="s">
        <v>341</v>
      </c>
      <c r="M3600" s="17" t="s">
        <v>162</v>
      </c>
      <c r="N3600" s="72" t="s">
        <v>343</v>
      </c>
      <c r="O3600" s="17" t="s">
        <v>162</v>
      </c>
      <c r="P3600" s="72" t="s">
        <v>342</v>
      </c>
      <c r="Q3600" s="155" t="s">
        <v>162</v>
      </c>
      <c r="R3600" s="156" t="s">
        <v>1245</v>
      </c>
      <c r="S3600" s="156" t="s">
        <v>1684</v>
      </c>
    </row>
    <row r="3601" spans="1:19" x14ac:dyDescent="0.25">
      <c r="A3601" s="137" t="s">
        <v>1442</v>
      </c>
      <c r="B3601" s="137" t="s">
        <v>333</v>
      </c>
      <c r="C3601" s="137">
        <v>25</v>
      </c>
      <c r="D3601" s="196">
        <v>9484.9832920000008</v>
      </c>
      <c r="E3601" s="137">
        <v>1</v>
      </c>
      <c r="F3601" s="196">
        <v>307.08729399999999</v>
      </c>
      <c r="G3601" s="137" t="s">
        <v>335</v>
      </c>
      <c r="H3601" s="79">
        <f t="shared" si="506"/>
        <v>3.2376155502457156E-2</v>
      </c>
      <c r="J3601" s="6">
        <v>100</v>
      </c>
      <c r="K3601" s="119">
        <f>D3600</f>
        <v>7711.1295790000004</v>
      </c>
      <c r="L3601" s="119">
        <f>D3601</f>
        <v>9484.9832920000008</v>
      </c>
      <c r="M3601" s="18">
        <f>(K3601-L3601)/K3601</f>
        <v>-0.23003811501635257</v>
      </c>
      <c r="N3601" s="73">
        <f>D3602</f>
        <v>8718.3458649999993</v>
      </c>
      <c r="O3601" s="18">
        <f>(K3601-N3601)/K3601</f>
        <v>-0.13061851388712073</v>
      </c>
      <c r="P3601" s="73">
        <f>D3603</f>
        <v>9932.6996880000006</v>
      </c>
      <c r="Q3601" s="53">
        <f>(K3601-P3601)/K3601</f>
        <v>-0.28809918005399404</v>
      </c>
      <c r="R3601" s="22">
        <f>(L3601-P3601)/L3601</f>
        <v>-4.7202655209484766E-2</v>
      </c>
      <c r="S3601" s="22">
        <f>(N3601-P3601)/N3601</f>
        <v>-0.13928718151399025</v>
      </c>
    </row>
    <row r="3602" spans="1:19" x14ac:dyDescent="0.25">
      <c r="A3602" s="137" t="s">
        <v>1443</v>
      </c>
      <c r="B3602" s="137" t="s">
        <v>333</v>
      </c>
      <c r="C3602" s="137">
        <v>25</v>
      </c>
      <c r="D3602" s="196">
        <v>8718.3458649999993</v>
      </c>
      <c r="E3602" s="137">
        <v>1</v>
      </c>
      <c r="F3602" s="196">
        <v>501.07867499999998</v>
      </c>
      <c r="G3602" s="137" t="s">
        <v>335</v>
      </c>
      <c r="H3602" s="79">
        <f t="shared" si="506"/>
        <v>5.747405330770277E-2</v>
      </c>
      <c r="J3602" s="6">
        <v>1000</v>
      </c>
      <c r="K3602" s="119">
        <f>D3604</f>
        <v>143677.809779</v>
      </c>
      <c r="L3602" s="119">
        <f>D3605</f>
        <v>159700.849285</v>
      </c>
      <c r="M3602" s="18">
        <f t="shared" ref="M3602:M3605" si="507">(K3602-L3602)/K3602</f>
        <v>-0.11152062751127721</v>
      </c>
      <c r="N3602" s="73">
        <f>D3606</f>
        <v>158160.48876599999</v>
      </c>
      <c r="O3602" s="18">
        <f t="shared" ref="O3602:O3605" si="508">(K3602-N3602)/K3602</f>
        <v>-0.10079969209773397</v>
      </c>
      <c r="P3602" s="73">
        <f>D3607</f>
        <v>150570.014417</v>
      </c>
      <c r="Q3602" s="53">
        <f t="shared" ref="Q3602:Q3605" si="509">(K3602-P3602)/K3602</f>
        <v>-4.7969861515855056E-2</v>
      </c>
      <c r="R3602" s="22">
        <f t="shared" ref="R3602:R3605" si="510">(L3602-P3602)/L3602</f>
        <v>5.7174616846935103E-2</v>
      </c>
      <c r="S3602" s="22">
        <f t="shared" ref="S3602:S3605" si="511">(N3602-P3602)/N3602</f>
        <v>4.7992228705300587E-2</v>
      </c>
    </row>
    <row r="3603" spans="1:19" x14ac:dyDescent="0.25">
      <c r="A3603" s="137" t="s">
        <v>1444</v>
      </c>
      <c r="B3603" s="137" t="s">
        <v>333</v>
      </c>
      <c r="C3603" s="137">
        <v>25</v>
      </c>
      <c r="D3603" s="196">
        <v>9932.6996880000006</v>
      </c>
      <c r="E3603" s="137">
        <v>1</v>
      </c>
      <c r="F3603" s="196">
        <v>361.56765000000001</v>
      </c>
      <c r="G3603" s="137" t="s">
        <v>335</v>
      </c>
      <c r="H3603" s="79">
        <f t="shared" si="506"/>
        <v>3.6401749912646712E-2</v>
      </c>
      <c r="J3603" s="6">
        <v>10000</v>
      </c>
      <c r="K3603" s="119">
        <f>D3608</f>
        <v>1853220.216856</v>
      </c>
      <c r="L3603" s="119">
        <f>D3609</f>
        <v>2008838.754613</v>
      </c>
      <c r="M3603" s="18">
        <f t="shared" si="507"/>
        <v>-8.3971962069897876E-2</v>
      </c>
      <c r="N3603" s="73">
        <f>D3610</f>
        <v>1919899.6580449999</v>
      </c>
      <c r="O3603" s="18">
        <f t="shared" si="508"/>
        <v>-3.5980311774345963E-2</v>
      </c>
      <c r="P3603" s="73">
        <f>D3611</f>
        <v>2021224.5935829999</v>
      </c>
      <c r="Q3603" s="53">
        <f t="shared" si="509"/>
        <v>-9.0655376624382167E-2</v>
      </c>
      <c r="R3603" s="22">
        <f t="shared" si="510"/>
        <v>-6.1656710582458068E-3</v>
      </c>
      <c r="S3603" s="22">
        <f t="shared" si="511"/>
        <v>-5.2776162084000454E-2</v>
      </c>
    </row>
    <row r="3604" spans="1:19" x14ac:dyDescent="0.25">
      <c r="A3604" s="137" t="s">
        <v>1445</v>
      </c>
      <c r="B3604" s="137" t="s">
        <v>333</v>
      </c>
      <c r="C3604" s="137">
        <v>25</v>
      </c>
      <c r="D3604" s="196">
        <v>143677.809779</v>
      </c>
      <c r="E3604" s="137">
        <v>1</v>
      </c>
      <c r="F3604" s="196">
        <v>3352.317532</v>
      </c>
      <c r="G3604" s="137" t="s">
        <v>335</v>
      </c>
      <c r="H3604" s="79">
        <f t="shared" si="506"/>
        <v>2.3332187045142276E-2</v>
      </c>
      <c r="J3604" s="6">
        <v>50000</v>
      </c>
      <c r="K3604" s="119">
        <f>D3612</f>
        <v>12182248.418184999</v>
      </c>
      <c r="L3604" s="119">
        <f>D3613</f>
        <v>12477503.775304001</v>
      </c>
      <c r="M3604" s="18">
        <f t="shared" si="507"/>
        <v>-2.4236524078614277E-2</v>
      </c>
      <c r="N3604" s="73">
        <f>D3614</f>
        <v>12434612.092367999</v>
      </c>
      <c r="O3604" s="18">
        <f t="shared" si="508"/>
        <v>-2.0715689380154577E-2</v>
      </c>
      <c r="P3604" s="73">
        <f>D3615</f>
        <v>12359273.389672</v>
      </c>
      <c r="Q3604" s="53">
        <f t="shared" si="509"/>
        <v>-1.4531387426211677E-2</v>
      </c>
      <c r="R3604" s="22">
        <f t="shared" si="510"/>
        <v>9.4754838596809252E-3</v>
      </c>
      <c r="S3604" s="22">
        <f t="shared" si="511"/>
        <v>6.0587899434546887E-3</v>
      </c>
    </row>
    <row r="3605" spans="1:19" ht="20" thickBot="1" x14ac:dyDescent="0.3">
      <c r="A3605" s="137" t="s">
        <v>1446</v>
      </c>
      <c r="B3605" s="137" t="s">
        <v>333</v>
      </c>
      <c r="C3605" s="137">
        <v>25</v>
      </c>
      <c r="D3605" s="196">
        <v>159700.849285</v>
      </c>
      <c r="E3605" s="137">
        <v>1</v>
      </c>
      <c r="F3605" s="196">
        <v>4040.047885</v>
      </c>
      <c r="G3605" s="137" t="s">
        <v>335</v>
      </c>
      <c r="H3605" s="79">
        <f t="shared" si="506"/>
        <v>2.5297597997053757E-2</v>
      </c>
      <c r="J3605" s="7">
        <v>100000</v>
      </c>
      <c r="K3605" s="120">
        <f>D3616</f>
        <v>26557257.339985002</v>
      </c>
      <c r="L3605" s="120">
        <f>D3617</f>
        <v>27670294.708198</v>
      </c>
      <c r="M3605" s="19">
        <f t="shared" si="507"/>
        <v>-4.1910855249995722E-2</v>
      </c>
      <c r="N3605" s="74">
        <f>D3618</f>
        <v>29297763.114553999</v>
      </c>
      <c r="O3605" s="19">
        <f t="shared" si="508"/>
        <v>-0.10319234925072067</v>
      </c>
      <c r="P3605" s="74">
        <f>D3619</f>
        <v>30951103.568224002</v>
      </c>
      <c r="Q3605" s="54">
        <f t="shared" si="509"/>
        <v>-0.16544804201688251</v>
      </c>
      <c r="R3605" s="23">
        <f t="shared" si="510"/>
        <v>-0.11856790448473187</v>
      </c>
      <c r="S3605" s="23">
        <f t="shared" si="511"/>
        <v>-5.6432310112053803E-2</v>
      </c>
    </row>
    <row r="3606" spans="1:19" x14ac:dyDescent="0.25">
      <c r="A3606" s="137" t="s">
        <v>1447</v>
      </c>
      <c r="B3606" s="137" t="s">
        <v>333</v>
      </c>
      <c r="C3606" s="137">
        <v>25</v>
      </c>
      <c r="D3606" s="196">
        <v>158160.48876599999</v>
      </c>
      <c r="E3606" s="137">
        <v>1</v>
      </c>
      <c r="F3606" s="196">
        <v>4394.788665</v>
      </c>
      <c r="G3606" s="137" t="s">
        <v>335</v>
      </c>
      <c r="H3606" s="79">
        <f t="shared" si="506"/>
        <v>2.7786893549008523E-2</v>
      </c>
    </row>
    <row r="3607" spans="1:19" x14ac:dyDescent="0.25">
      <c r="A3607" s="137" t="s">
        <v>1448</v>
      </c>
      <c r="B3607" s="137" t="s">
        <v>333</v>
      </c>
      <c r="C3607" s="137">
        <v>25</v>
      </c>
      <c r="D3607" s="196">
        <v>150570.014417</v>
      </c>
      <c r="E3607" s="137">
        <v>1</v>
      </c>
      <c r="F3607" s="196">
        <v>4594.7102489999997</v>
      </c>
      <c r="G3607" s="137" t="s">
        <v>335</v>
      </c>
      <c r="H3607" s="79">
        <f t="shared" si="506"/>
        <v>3.0515440054850903E-2</v>
      </c>
    </row>
    <row r="3608" spans="1:19" x14ac:dyDescent="0.25">
      <c r="A3608" s="137" t="s">
        <v>1453</v>
      </c>
      <c r="B3608" s="137" t="s">
        <v>333</v>
      </c>
      <c r="C3608" s="137">
        <v>25</v>
      </c>
      <c r="D3608" s="196">
        <v>1853220.216856</v>
      </c>
      <c r="E3608" s="137">
        <v>1</v>
      </c>
      <c r="F3608" s="196">
        <v>64871.757010000001</v>
      </c>
      <c r="G3608" s="137" t="s">
        <v>335</v>
      </c>
      <c r="H3608" s="79">
        <f>F3608/D3608</f>
        <v>3.500488307863129E-2</v>
      </c>
    </row>
    <row r="3609" spans="1:19" x14ac:dyDescent="0.25">
      <c r="A3609" s="137" t="s">
        <v>1454</v>
      </c>
      <c r="B3609" s="137" t="s">
        <v>333</v>
      </c>
      <c r="C3609" s="137">
        <v>25</v>
      </c>
      <c r="D3609" s="196">
        <v>2008838.754613</v>
      </c>
      <c r="E3609" s="137">
        <v>1</v>
      </c>
      <c r="F3609" s="196">
        <v>101148.359623</v>
      </c>
      <c r="G3609" s="137" t="s">
        <v>335</v>
      </c>
      <c r="H3609" s="79">
        <f>F3609/D3609</f>
        <v>5.0351656841908198E-2</v>
      </c>
    </row>
    <row r="3610" spans="1:19" x14ac:dyDescent="0.25">
      <c r="A3610" s="137" t="s">
        <v>1455</v>
      </c>
      <c r="B3610" s="137" t="s">
        <v>333</v>
      </c>
      <c r="C3610" s="137">
        <v>25</v>
      </c>
      <c r="D3610" s="196">
        <v>1919899.6580449999</v>
      </c>
      <c r="E3610" s="137">
        <v>1</v>
      </c>
      <c r="F3610" s="196">
        <v>55495.590039000002</v>
      </c>
      <c r="G3610" s="137" t="s">
        <v>335</v>
      </c>
      <c r="H3610" s="79">
        <f>F3610/D3610</f>
        <v>2.8905463786326305E-2</v>
      </c>
    </row>
    <row r="3611" spans="1:19" x14ac:dyDescent="0.25">
      <c r="A3611" s="137" t="s">
        <v>1456</v>
      </c>
      <c r="B3611" s="137" t="s">
        <v>333</v>
      </c>
      <c r="C3611" s="137">
        <v>25</v>
      </c>
      <c r="D3611" s="196">
        <v>2021224.5935829999</v>
      </c>
      <c r="E3611" s="137">
        <v>1</v>
      </c>
      <c r="F3611" s="196">
        <v>65842.809703000006</v>
      </c>
      <c r="G3611" s="137" t="s">
        <v>335</v>
      </c>
      <c r="H3611" s="79">
        <f>F3611/D3611</f>
        <v>3.2575701835431001E-2</v>
      </c>
    </row>
    <row r="3612" spans="1:19" x14ac:dyDescent="0.25">
      <c r="A3612" s="137" t="s">
        <v>1449</v>
      </c>
      <c r="B3612" s="137" t="s">
        <v>333</v>
      </c>
      <c r="C3612" s="137">
        <v>25</v>
      </c>
      <c r="D3612" s="196">
        <v>12182248.418184999</v>
      </c>
      <c r="E3612" s="137">
        <v>1</v>
      </c>
      <c r="F3612" s="196">
        <v>575392.40099999995</v>
      </c>
      <c r="G3612" s="137" t="s">
        <v>335</v>
      </c>
      <c r="H3612" s="79">
        <f t="shared" si="506"/>
        <v>4.7232036422856505E-2</v>
      </c>
    </row>
    <row r="3613" spans="1:19" x14ac:dyDescent="0.25">
      <c r="A3613" s="137" t="s">
        <v>1450</v>
      </c>
      <c r="B3613" s="137" t="s">
        <v>333</v>
      </c>
      <c r="C3613" s="137">
        <v>25</v>
      </c>
      <c r="D3613" s="196">
        <v>12477503.775304001</v>
      </c>
      <c r="E3613" s="137">
        <v>1</v>
      </c>
      <c r="F3613" s="196">
        <v>291512.54398100002</v>
      </c>
      <c r="G3613" s="137" t="s">
        <v>335</v>
      </c>
      <c r="H3613" s="79">
        <f t="shared" si="506"/>
        <v>2.3363049952184658E-2</v>
      </c>
    </row>
    <row r="3614" spans="1:19" x14ac:dyDescent="0.25">
      <c r="A3614" s="137" t="s">
        <v>1451</v>
      </c>
      <c r="B3614" s="137" t="s">
        <v>333</v>
      </c>
      <c r="C3614" s="137">
        <v>25</v>
      </c>
      <c r="D3614" s="196">
        <v>12434612.092367999</v>
      </c>
      <c r="E3614" s="137">
        <v>1</v>
      </c>
      <c r="F3614" s="196">
        <v>696024.97830299998</v>
      </c>
      <c r="G3614" s="137" t="s">
        <v>335</v>
      </c>
      <c r="H3614" s="79">
        <f t="shared" si="506"/>
        <v>5.5974804290855176E-2</v>
      </c>
    </row>
    <row r="3615" spans="1:19" x14ac:dyDescent="0.25">
      <c r="A3615" s="137" t="s">
        <v>1452</v>
      </c>
      <c r="B3615" s="137" t="s">
        <v>333</v>
      </c>
      <c r="C3615" s="137">
        <v>25</v>
      </c>
      <c r="D3615" s="196">
        <v>12359273.389672</v>
      </c>
      <c r="E3615" s="137">
        <v>1</v>
      </c>
      <c r="F3615" s="196">
        <v>502421.39685899997</v>
      </c>
      <c r="G3615" s="137" t="s">
        <v>335</v>
      </c>
      <c r="H3615" s="79">
        <f t="shared" si="506"/>
        <v>4.0651370110385887E-2</v>
      </c>
    </row>
    <row r="3616" spans="1:19" x14ac:dyDescent="0.25">
      <c r="A3616" s="137" t="s">
        <v>1457</v>
      </c>
      <c r="B3616" s="137" t="s">
        <v>333</v>
      </c>
      <c r="C3616" s="137">
        <v>25</v>
      </c>
      <c r="D3616" s="196">
        <v>26557257.339985002</v>
      </c>
      <c r="E3616" s="137">
        <v>1</v>
      </c>
      <c r="F3616" s="196">
        <v>1166526.4051349999</v>
      </c>
      <c r="G3616" s="137" t="s">
        <v>335</v>
      </c>
      <c r="H3616" s="79">
        <f t="shared" si="506"/>
        <v>4.3924957694281945E-2</v>
      </c>
    </row>
    <row r="3617" spans="1:19" x14ac:dyDescent="0.25">
      <c r="A3617" s="137" t="s">
        <v>1458</v>
      </c>
      <c r="B3617" s="137" t="s">
        <v>333</v>
      </c>
      <c r="C3617" s="137">
        <v>25</v>
      </c>
      <c r="D3617" s="196">
        <v>27670294.708198</v>
      </c>
      <c r="E3617" s="137">
        <v>1</v>
      </c>
      <c r="F3617" s="196">
        <v>914081.17837099999</v>
      </c>
      <c r="G3617" s="137" t="s">
        <v>335</v>
      </c>
      <c r="H3617" s="79">
        <f t="shared" si="506"/>
        <v>3.3034746756787567E-2</v>
      </c>
    </row>
    <row r="3618" spans="1:19" x14ac:dyDescent="0.25">
      <c r="A3618" s="137" t="s">
        <v>1459</v>
      </c>
      <c r="B3618" s="137" t="s">
        <v>333</v>
      </c>
      <c r="C3618" s="137">
        <v>25</v>
      </c>
      <c r="D3618" s="196">
        <v>29297763.114553999</v>
      </c>
      <c r="E3618" s="137">
        <v>1</v>
      </c>
      <c r="F3618" s="196">
        <v>1830629.113315</v>
      </c>
      <c r="G3618" s="137" t="s">
        <v>335</v>
      </c>
      <c r="H3618" s="79">
        <f t="shared" si="506"/>
        <v>6.2483579587876932E-2</v>
      </c>
    </row>
    <row r="3619" spans="1:19" x14ac:dyDescent="0.25">
      <c r="A3619" s="137" t="s">
        <v>1460</v>
      </c>
      <c r="B3619" s="137" t="s">
        <v>333</v>
      </c>
      <c r="C3619" s="137">
        <v>25</v>
      </c>
      <c r="D3619" s="196">
        <v>30951103.568224002</v>
      </c>
      <c r="E3619" s="137">
        <v>1</v>
      </c>
      <c r="F3619" s="196">
        <v>1075570.117506</v>
      </c>
      <c r="G3619" s="137" t="s">
        <v>335</v>
      </c>
      <c r="H3619" s="79">
        <f t="shared" si="506"/>
        <v>3.4750622546791378E-2</v>
      </c>
    </row>
    <row r="3621" spans="1:19" x14ac:dyDescent="0.25">
      <c r="A3621" s="137" t="s">
        <v>807</v>
      </c>
      <c r="B3621" s="137"/>
      <c r="C3621" s="137"/>
      <c r="D3621" s="196"/>
      <c r="E3621" s="137"/>
      <c r="F3621" s="196"/>
      <c r="G3621" s="137"/>
    </row>
    <row r="3622" spans="1:19" ht="20" thickBot="1" x14ac:dyDescent="0.3">
      <c r="A3622" s="137" t="s">
        <v>2</v>
      </c>
      <c r="B3622" s="137" t="s">
        <v>3</v>
      </c>
      <c r="C3622" s="137" t="s">
        <v>504</v>
      </c>
      <c r="D3622" s="196" t="s">
        <v>5</v>
      </c>
      <c r="E3622" s="137" t="s">
        <v>1247</v>
      </c>
      <c r="F3622" s="196" t="s">
        <v>505</v>
      </c>
      <c r="G3622" s="137" t="s">
        <v>506</v>
      </c>
    </row>
    <row r="3623" spans="1:19" x14ac:dyDescent="0.25">
      <c r="A3623" s="137" t="s">
        <v>1461</v>
      </c>
      <c r="B3623" s="137" t="s">
        <v>333</v>
      </c>
      <c r="C3623" s="137">
        <v>25</v>
      </c>
      <c r="D3623" s="196">
        <v>2298.714485</v>
      </c>
      <c r="E3623" s="137">
        <v>1</v>
      </c>
      <c r="F3623" s="196">
        <v>108.503524</v>
      </c>
      <c r="G3623" s="137" t="s">
        <v>335</v>
      </c>
      <c r="H3623" s="79">
        <f t="shared" ref="H3623:H3642" si="512">F3623/D3623</f>
        <v>4.7201827242150954E-2</v>
      </c>
      <c r="J3623" s="106" t="str">
        <f>A3621</f>
        <v>distinct2_90</v>
      </c>
      <c r="K3623" s="72" t="s">
        <v>344</v>
      </c>
      <c r="L3623" s="72" t="s">
        <v>341</v>
      </c>
      <c r="M3623" s="17" t="s">
        <v>162</v>
      </c>
      <c r="N3623" s="72" t="s">
        <v>343</v>
      </c>
      <c r="O3623" s="17" t="s">
        <v>162</v>
      </c>
      <c r="P3623" s="72" t="s">
        <v>342</v>
      </c>
      <c r="Q3623" s="17" t="s">
        <v>162</v>
      </c>
      <c r="R3623" s="17" t="s">
        <v>1245</v>
      </c>
      <c r="S3623" s="156" t="s">
        <v>1684</v>
      </c>
    </row>
    <row r="3624" spans="1:19" x14ac:dyDescent="0.25">
      <c r="A3624" s="137" t="s">
        <v>1462</v>
      </c>
      <c r="B3624" s="137" t="s">
        <v>333</v>
      </c>
      <c r="C3624" s="137">
        <v>25</v>
      </c>
      <c r="D3624" s="196">
        <v>2941.4423299999999</v>
      </c>
      <c r="E3624" s="137">
        <v>1</v>
      </c>
      <c r="F3624" s="196">
        <v>143.454117</v>
      </c>
      <c r="G3624" s="137" t="s">
        <v>335</v>
      </c>
      <c r="H3624" s="79">
        <f t="shared" si="512"/>
        <v>4.8769991353187603E-2</v>
      </c>
      <c r="J3624" s="6">
        <v>100</v>
      </c>
      <c r="K3624" s="119">
        <f>D3623</f>
        <v>2298.714485</v>
      </c>
      <c r="L3624" s="119">
        <f>D3624</f>
        <v>2941.4423299999999</v>
      </c>
      <c r="M3624" s="18">
        <f>(K3624-L3624)/K3624</f>
        <v>-0.27960316480974362</v>
      </c>
      <c r="N3624" s="73">
        <f>D3625</f>
        <v>1883.233604</v>
      </c>
      <c r="O3624" s="18">
        <f>(K3624-N3624)/K3624</f>
        <v>0.18074488315585654</v>
      </c>
      <c r="P3624" s="73">
        <f>D3626</f>
        <v>2376.3783210000001</v>
      </c>
      <c r="Q3624" s="18">
        <f>(K3624-P3624)/K3624</f>
        <v>-3.378576874456863E-2</v>
      </c>
      <c r="R3624" s="18">
        <f>(L3624-P3624)/L3624</f>
        <v>0.19210439832080603</v>
      </c>
      <c r="S3624" s="22">
        <f>(N3624-P3624)/N3624</f>
        <v>-0.26186061885926293</v>
      </c>
    </row>
    <row r="3625" spans="1:19" x14ac:dyDescent="0.25">
      <c r="A3625" s="137" t="s">
        <v>1463</v>
      </c>
      <c r="B3625" s="137" t="s">
        <v>333</v>
      </c>
      <c r="C3625" s="137">
        <v>25</v>
      </c>
      <c r="D3625" s="196">
        <v>1883.233604</v>
      </c>
      <c r="E3625" s="137">
        <v>1</v>
      </c>
      <c r="F3625" s="196">
        <v>73.767572000000001</v>
      </c>
      <c r="G3625" s="137" t="s">
        <v>335</v>
      </c>
      <c r="H3625" s="79">
        <f t="shared" si="512"/>
        <v>3.9170696531390062E-2</v>
      </c>
      <c r="J3625" s="6">
        <v>1000</v>
      </c>
      <c r="K3625" s="119">
        <f>D3627</f>
        <v>28368.574508999998</v>
      </c>
      <c r="L3625" s="119">
        <f>D3628</f>
        <v>35777.868220999997</v>
      </c>
      <c r="M3625" s="18">
        <f t="shared" ref="M3625:M3628" si="513">(K3625-L3625)/K3625</f>
        <v>-0.2611796271134238</v>
      </c>
      <c r="N3625" s="73">
        <f>D3629</f>
        <v>22528.526137000001</v>
      </c>
      <c r="O3625" s="18">
        <f t="shared" ref="O3625:O3628" si="514">(K3625-N3625)/K3625</f>
        <v>0.20586330025667057</v>
      </c>
      <c r="P3625" s="73">
        <f>D3630</f>
        <v>28582.360616000002</v>
      </c>
      <c r="Q3625" s="18">
        <f t="shared" ref="Q3625:Q3628" si="515">(K3625-P3625)/K3625</f>
        <v>-7.5360186650259564E-3</v>
      </c>
      <c r="R3625" s="18">
        <f t="shared" ref="R3625:R3628" si="516">(L3625-P3625)/L3625</f>
        <v>0.20111616378464262</v>
      </c>
      <c r="S3625" s="22">
        <f t="shared" ref="S3625:S3628" si="517">(N3625-P3625)/N3625</f>
        <v>-0.26871862110222167</v>
      </c>
    </row>
    <row r="3626" spans="1:19" x14ac:dyDescent="0.25">
      <c r="A3626" s="137" t="s">
        <v>1464</v>
      </c>
      <c r="B3626" s="137" t="s">
        <v>333</v>
      </c>
      <c r="C3626" s="137">
        <v>25</v>
      </c>
      <c r="D3626" s="196">
        <v>2376.3783210000001</v>
      </c>
      <c r="E3626" s="137">
        <v>1</v>
      </c>
      <c r="F3626" s="196">
        <v>90.221767</v>
      </c>
      <c r="G3626" s="137" t="s">
        <v>335</v>
      </c>
      <c r="H3626" s="79">
        <f t="shared" si="512"/>
        <v>3.7966078970975425E-2</v>
      </c>
      <c r="J3626" s="6">
        <v>10000</v>
      </c>
      <c r="K3626" s="119">
        <f>D3631</f>
        <v>411707.90653799998</v>
      </c>
      <c r="L3626" s="119">
        <f>D3632</f>
        <v>444347.951757</v>
      </c>
      <c r="M3626" s="18">
        <f t="shared" si="513"/>
        <v>-7.9279617176813671E-2</v>
      </c>
      <c r="N3626" s="73">
        <f>D3633</f>
        <v>397247.83571100002</v>
      </c>
      <c r="O3626" s="18">
        <f t="shared" si="514"/>
        <v>3.5122159660699447E-2</v>
      </c>
      <c r="P3626" s="73">
        <f>D3634</f>
        <v>439875.78599900001</v>
      </c>
      <c r="Q3626" s="18">
        <f t="shared" si="515"/>
        <v>-6.8417144809921657E-2</v>
      </c>
      <c r="R3626" s="18">
        <f t="shared" si="516"/>
        <v>1.0064558057073425E-2</v>
      </c>
      <c r="S3626" s="22">
        <f t="shared" si="517"/>
        <v>-0.10730820021134629</v>
      </c>
    </row>
    <row r="3627" spans="1:19" x14ac:dyDescent="0.25">
      <c r="A3627" s="137" t="s">
        <v>1465</v>
      </c>
      <c r="B3627" s="137" t="s">
        <v>333</v>
      </c>
      <c r="C3627" s="137">
        <v>25</v>
      </c>
      <c r="D3627" s="196">
        <v>28368.574508999998</v>
      </c>
      <c r="E3627" s="137">
        <v>1</v>
      </c>
      <c r="F3627" s="196">
        <v>902.47765200000003</v>
      </c>
      <c r="G3627" s="137" t="s">
        <v>335</v>
      </c>
      <c r="H3627" s="79">
        <f t="shared" si="512"/>
        <v>3.1812583734642248E-2</v>
      </c>
      <c r="J3627" s="6">
        <v>50000</v>
      </c>
      <c r="K3627" s="119">
        <f>D3635</f>
        <v>2699057.2975989999</v>
      </c>
      <c r="L3627" s="119">
        <f>D3636</f>
        <v>3202342.7447879999</v>
      </c>
      <c r="M3627" s="18">
        <f t="shared" si="513"/>
        <v>-0.18646712229366436</v>
      </c>
      <c r="N3627" s="73">
        <f>D3637</f>
        <v>2786636.6792020001</v>
      </c>
      <c r="O3627" s="18">
        <f t="shared" si="514"/>
        <v>-3.2448137236993156E-2</v>
      </c>
      <c r="P3627" s="73">
        <f>D3638</f>
        <v>3143350.41481</v>
      </c>
      <c r="Q3627" s="18">
        <f t="shared" si="515"/>
        <v>-0.16461047996507144</v>
      </c>
      <c r="R3627" s="18">
        <f t="shared" si="516"/>
        <v>1.8421616509979567E-2</v>
      </c>
      <c r="S3627" s="22">
        <f t="shared" si="517"/>
        <v>-0.12800869889868483</v>
      </c>
    </row>
    <row r="3628" spans="1:19" ht="20" thickBot="1" x14ac:dyDescent="0.3">
      <c r="A3628" s="137" t="s">
        <v>1466</v>
      </c>
      <c r="B3628" s="137" t="s">
        <v>333</v>
      </c>
      <c r="C3628" s="137">
        <v>25</v>
      </c>
      <c r="D3628" s="196">
        <v>35777.868220999997</v>
      </c>
      <c r="E3628" s="137">
        <v>1</v>
      </c>
      <c r="F3628" s="196">
        <v>1566.228766</v>
      </c>
      <c r="G3628" s="137" t="s">
        <v>335</v>
      </c>
      <c r="H3628" s="79">
        <f t="shared" si="512"/>
        <v>4.377646975290423E-2</v>
      </c>
      <c r="J3628" s="7">
        <v>100000</v>
      </c>
      <c r="K3628" s="120">
        <f>D3639</f>
        <v>11359292.188517001</v>
      </c>
      <c r="L3628" s="120">
        <f>D3640</f>
        <v>9025369.3103989996</v>
      </c>
      <c r="M3628" s="19">
        <f t="shared" si="513"/>
        <v>0.20546375948294923</v>
      </c>
      <c r="N3628" s="74">
        <f>D3641</f>
        <v>6507303.2920890003</v>
      </c>
      <c r="O3628" s="19">
        <f t="shared" si="514"/>
        <v>0.42713831248507095</v>
      </c>
      <c r="P3628" s="74">
        <f>D3642</f>
        <v>7134283.8866280001</v>
      </c>
      <c r="Q3628" s="19">
        <f t="shared" si="515"/>
        <v>0.37194291966184484</v>
      </c>
      <c r="R3628" s="19">
        <f t="shared" si="516"/>
        <v>0.20952997697192263</v>
      </c>
      <c r="S3628" s="23">
        <f t="shared" si="517"/>
        <v>-9.635029541365113E-2</v>
      </c>
    </row>
    <row r="3629" spans="1:19" x14ac:dyDescent="0.25">
      <c r="A3629" s="137" t="s">
        <v>1467</v>
      </c>
      <c r="B3629" s="137" t="s">
        <v>333</v>
      </c>
      <c r="C3629" s="137">
        <v>25</v>
      </c>
      <c r="D3629" s="196">
        <v>22528.526137000001</v>
      </c>
      <c r="E3629" s="137">
        <v>1</v>
      </c>
      <c r="F3629" s="196">
        <v>825.34408900000005</v>
      </c>
      <c r="G3629" s="137" t="s">
        <v>335</v>
      </c>
      <c r="H3629" s="79">
        <f t="shared" si="512"/>
        <v>3.6635511971841159E-2</v>
      </c>
    </row>
    <row r="3630" spans="1:19" x14ac:dyDescent="0.25">
      <c r="A3630" s="137" t="s">
        <v>1468</v>
      </c>
      <c r="B3630" s="137" t="s">
        <v>333</v>
      </c>
      <c r="C3630" s="137">
        <v>25</v>
      </c>
      <c r="D3630" s="196">
        <v>28582.360616000002</v>
      </c>
      <c r="E3630" s="137">
        <v>1</v>
      </c>
      <c r="F3630" s="196">
        <v>1025.4899579999999</v>
      </c>
      <c r="G3630" s="137" t="s">
        <v>335</v>
      </c>
      <c r="H3630" s="79">
        <f t="shared" si="512"/>
        <v>3.5878420672711867E-2</v>
      </c>
    </row>
    <row r="3631" spans="1:19" x14ac:dyDescent="0.25">
      <c r="A3631" s="137" t="s">
        <v>1469</v>
      </c>
      <c r="B3631" s="137" t="s">
        <v>333</v>
      </c>
      <c r="C3631" s="137">
        <v>25</v>
      </c>
      <c r="D3631" s="196">
        <v>411707.90653799998</v>
      </c>
      <c r="E3631" s="137">
        <v>1</v>
      </c>
      <c r="F3631" s="196">
        <v>13274.315414999999</v>
      </c>
      <c r="G3631" s="137" t="s">
        <v>335</v>
      </c>
      <c r="H3631" s="79">
        <f t="shared" si="512"/>
        <v>3.2242070662723117E-2</v>
      </c>
    </row>
    <row r="3632" spans="1:19" x14ac:dyDescent="0.25">
      <c r="A3632" s="137" t="s">
        <v>1470</v>
      </c>
      <c r="B3632" s="137" t="s">
        <v>333</v>
      </c>
      <c r="C3632" s="137">
        <v>25</v>
      </c>
      <c r="D3632" s="196">
        <v>444347.951757</v>
      </c>
      <c r="E3632" s="137">
        <v>1</v>
      </c>
      <c r="F3632" s="196">
        <v>16517.366481000001</v>
      </c>
      <c r="G3632" s="137" t="s">
        <v>335</v>
      </c>
      <c r="H3632" s="79">
        <f t="shared" si="512"/>
        <v>3.7172144972624589E-2</v>
      </c>
    </row>
    <row r="3633" spans="1:16" x14ac:dyDescent="0.25">
      <c r="A3633" s="137" t="s">
        <v>1471</v>
      </c>
      <c r="B3633" s="137" t="s">
        <v>333</v>
      </c>
      <c r="C3633" s="137">
        <v>25</v>
      </c>
      <c r="D3633" s="196">
        <v>397247.83571100002</v>
      </c>
      <c r="E3633" s="137">
        <v>1</v>
      </c>
      <c r="F3633" s="196">
        <v>23365.904376999999</v>
      </c>
      <c r="G3633" s="137" t="s">
        <v>335</v>
      </c>
      <c r="H3633" s="79">
        <f t="shared" si="512"/>
        <v>5.8819463006461341E-2</v>
      </c>
    </row>
    <row r="3634" spans="1:16" x14ac:dyDescent="0.25">
      <c r="A3634" s="137" t="s">
        <v>1472</v>
      </c>
      <c r="B3634" s="137" t="s">
        <v>333</v>
      </c>
      <c r="C3634" s="137">
        <v>25</v>
      </c>
      <c r="D3634" s="196">
        <v>439875.78599900001</v>
      </c>
      <c r="E3634" s="137">
        <v>1</v>
      </c>
      <c r="F3634" s="196">
        <v>9537.7780139999995</v>
      </c>
      <c r="G3634" s="137" t="s">
        <v>335</v>
      </c>
      <c r="H3634" s="79">
        <f t="shared" si="512"/>
        <v>2.1682889391919567E-2</v>
      </c>
    </row>
    <row r="3635" spans="1:16" x14ac:dyDescent="0.25">
      <c r="A3635" s="137" t="s">
        <v>1473</v>
      </c>
      <c r="B3635" s="137" t="s">
        <v>333</v>
      </c>
      <c r="C3635" s="137">
        <v>25</v>
      </c>
      <c r="D3635" s="196">
        <v>2699057.2975989999</v>
      </c>
      <c r="E3635" s="137">
        <v>1</v>
      </c>
      <c r="F3635" s="196">
        <v>113354.61910500001</v>
      </c>
      <c r="G3635" s="137" t="s">
        <v>335</v>
      </c>
      <c r="H3635" s="79">
        <f t="shared" si="512"/>
        <v>4.1997855772027096E-2</v>
      </c>
    </row>
    <row r="3636" spans="1:16" x14ac:dyDescent="0.25">
      <c r="A3636" s="137" t="s">
        <v>1474</v>
      </c>
      <c r="B3636" s="137" t="s">
        <v>333</v>
      </c>
      <c r="C3636" s="137">
        <v>25</v>
      </c>
      <c r="D3636" s="196">
        <v>3202342.7447879999</v>
      </c>
      <c r="E3636" s="137">
        <v>1</v>
      </c>
      <c r="F3636" s="196">
        <v>144091.74860600001</v>
      </c>
      <c r="G3636" s="137" t="s">
        <v>335</v>
      </c>
      <c r="H3636" s="79">
        <f t="shared" si="512"/>
        <v>4.4995729717100946E-2</v>
      </c>
    </row>
    <row r="3637" spans="1:16" x14ac:dyDescent="0.25">
      <c r="A3637" s="137" t="s">
        <v>1475</v>
      </c>
      <c r="B3637" s="137" t="s">
        <v>333</v>
      </c>
      <c r="C3637" s="137">
        <v>25</v>
      </c>
      <c r="D3637" s="196">
        <v>2786636.6792020001</v>
      </c>
      <c r="E3637" s="137">
        <v>1</v>
      </c>
      <c r="F3637" s="196">
        <v>181191.19071200001</v>
      </c>
      <c r="G3637" s="137" t="s">
        <v>335</v>
      </c>
      <c r="H3637" s="79">
        <f t="shared" si="512"/>
        <v>6.5021461916552087E-2</v>
      </c>
    </row>
    <row r="3638" spans="1:16" x14ac:dyDescent="0.25">
      <c r="A3638" s="137" t="s">
        <v>1476</v>
      </c>
      <c r="B3638" s="137" t="s">
        <v>333</v>
      </c>
      <c r="C3638" s="137">
        <v>25</v>
      </c>
      <c r="D3638" s="196">
        <v>3143350.41481</v>
      </c>
      <c r="E3638" s="137">
        <v>1</v>
      </c>
      <c r="F3638" s="196">
        <v>147090.85162100001</v>
      </c>
      <c r="G3638" s="137" t="s">
        <v>335</v>
      </c>
      <c r="H3638" s="79">
        <f t="shared" si="512"/>
        <v>4.6794290235023295E-2</v>
      </c>
    </row>
    <row r="3639" spans="1:16" x14ac:dyDescent="0.25">
      <c r="A3639" s="137" t="s">
        <v>1477</v>
      </c>
      <c r="B3639" s="137" t="s">
        <v>333</v>
      </c>
      <c r="C3639" s="137">
        <v>25</v>
      </c>
      <c r="D3639" s="196">
        <v>11359292.188517001</v>
      </c>
      <c r="E3639" s="137">
        <v>1</v>
      </c>
      <c r="F3639" s="196">
        <v>685738.24328399997</v>
      </c>
      <c r="G3639" s="137" t="s">
        <v>335</v>
      </c>
      <c r="H3639" s="79">
        <f t="shared" si="512"/>
        <v>6.0368043351962213E-2</v>
      </c>
    </row>
    <row r="3640" spans="1:16" x14ac:dyDescent="0.25">
      <c r="A3640" s="137" t="s">
        <v>1478</v>
      </c>
      <c r="B3640" s="137" t="s">
        <v>333</v>
      </c>
      <c r="C3640" s="137">
        <v>25</v>
      </c>
      <c r="D3640" s="196">
        <v>9025369.3103989996</v>
      </c>
      <c r="E3640" s="137">
        <v>1</v>
      </c>
      <c r="F3640" s="196">
        <v>515411.71166199999</v>
      </c>
      <c r="G3640" s="137" t="s">
        <v>335</v>
      </c>
      <c r="H3640" s="79">
        <f t="shared" si="512"/>
        <v>5.7106994067062093E-2</v>
      </c>
    </row>
    <row r="3641" spans="1:16" x14ac:dyDescent="0.25">
      <c r="A3641" s="137" t="s">
        <v>1479</v>
      </c>
      <c r="B3641" s="137" t="s">
        <v>333</v>
      </c>
      <c r="C3641" s="137">
        <v>25</v>
      </c>
      <c r="D3641" s="196">
        <v>6507303.2920890003</v>
      </c>
      <c r="E3641" s="137">
        <v>1</v>
      </c>
      <c r="F3641" s="196">
        <v>304478.476539</v>
      </c>
      <c r="G3641" s="137" t="s">
        <v>335</v>
      </c>
      <c r="H3641" s="79">
        <f t="shared" si="512"/>
        <v>4.6790269774140969E-2</v>
      </c>
    </row>
    <row r="3642" spans="1:16" x14ac:dyDescent="0.25">
      <c r="A3642" s="137" t="s">
        <v>1480</v>
      </c>
      <c r="B3642" s="137" t="s">
        <v>333</v>
      </c>
      <c r="C3642" s="137">
        <v>25</v>
      </c>
      <c r="D3642" s="196">
        <v>7134283.8866280001</v>
      </c>
      <c r="E3642" s="137">
        <v>1</v>
      </c>
      <c r="F3642" s="196">
        <v>291579.40465899999</v>
      </c>
      <c r="G3642" s="137" t="s">
        <v>335</v>
      </c>
      <c r="H3642" s="79">
        <f t="shared" si="512"/>
        <v>4.0870171315374189E-2</v>
      </c>
    </row>
    <row r="3644" spans="1:16" ht="20" thickBot="1" x14ac:dyDescent="0.3">
      <c r="A3644" s="137" t="s">
        <v>828</v>
      </c>
      <c r="B3644" s="137"/>
      <c r="C3644" s="137"/>
      <c r="D3644" s="196"/>
      <c r="E3644" s="137"/>
      <c r="F3644" s="196"/>
      <c r="G3644" s="137"/>
    </row>
    <row r="3645" spans="1:16" x14ac:dyDescent="0.25">
      <c r="A3645" s="137" t="s">
        <v>2</v>
      </c>
      <c r="B3645" s="137" t="s">
        <v>3</v>
      </c>
      <c r="C3645" s="137" t="s">
        <v>504</v>
      </c>
      <c r="D3645" s="196" t="s">
        <v>5</v>
      </c>
      <c r="E3645" s="137" t="s">
        <v>1247</v>
      </c>
      <c r="F3645" s="196" t="s">
        <v>505</v>
      </c>
      <c r="G3645" s="137" t="s">
        <v>506</v>
      </c>
      <c r="J3645" s="5" t="str">
        <f>A3644</f>
        <v>drop2_10</v>
      </c>
      <c r="K3645" s="72" t="s">
        <v>340</v>
      </c>
      <c r="L3645" s="72" t="s">
        <v>341</v>
      </c>
      <c r="M3645" s="17" t="s">
        <v>162</v>
      </c>
      <c r="N3645" s="72" t="s">
        <v>342</v>
      </c>
      <c r="O3645" s="21" t="s">
        <v>162</v>
      </c>
      <c r="P3645" s="150" t="s">
        <v>1245</v>
      </c>
    </row>
    <row r="3646" spans="1:16" x14ac:dyDescent="0.25">
      <c r="A3646" s="137" t="s">
        <v>1481</v>
      </c>
      <c r="B3646" s="137" t="s">
        <v>333</v>
      </c>
      <c r="C3646" s="137">
        <v>25</v>
      </c>
      <c r="D3646" s="196">
        <v>645.82806300000004</v>
      </c>
      <c r="E3646" s="137">
        <v>1</v>
      </c>
      <c r="F3646" s="196">
        <v>26.993932999999998</v>
      </c>
      <c r="G3646" s="137" t="s">
        <v>335</v>
      </c>
      <c r="H3646" s="79">
        <f t="shared" ref="H3646:H3660" si="518">F3646/D3646</f>
        <v>4.1797398636732819E-2</v>
      </c>
      <c r="J3646" s="6">
        <v>100</v>
      </c>
      <c r="K3646" s="119">
        <f>D3646</f>
        <v>645.82806300000004</v>
      </c>
      <c r="L3646" s="119">
        <f>D3647</f>
        <v>309.21360299999998</v>
      </c>
      <c r="M3646" s="18">
        <f>(K3646-L3646)/K3646</f>
        <v>0.5212137398247435</v>
      </c>
      <c r="N3646" s="73">
        <f>D3648</f>
        <v>226.830522</v>
      </c>
      <c r="O3646" s="22">
        <f>(K3646-N3646)/K3646</f>
        <v>0.64877568040892031</v>
      </c>
      <c r="P3646" s="151">
        <f>(L3646-N3646)/L3646</f>
        <v>0.2664277386270098</v>
      </c>
    </row>
    <row r="3647" spans="1:16" x14ac:dyDescent="0.25">
      <c r="A3647" s="137" t="s">
        <v>1482</v>
      </c>
      <c r="B3647" s="137" t="s">
        <v>333</v>
      </c>
      <c r="C3647" s="137">
        <v>25</v>
      </c>
      <c r="D3647" s="196">
        <v>309.21360299999998</v>
      </c>
      <c r="E3647" s="137">
        <v>1</v>
      </c>
      <c r="F3647" s="196">
        <v>18.560365000000001</v>
      </c>
      <c r="G3647" s="137" t="s">
        <v>335</v>
      </c>
      <c r="H3647" s="79">
        <f t="shared" si="518"/>
        <v>6.0024412962194303E-2</v>
      </c>
      <c r="J3647" s="6">
        <v>1000</v>
      </c>
      <c r="K3647" s="119">
        <f>D3649</f>
        <v>6557.8912529999998</v>
      </c>
      <c r="L3647" s="119">
        <f>D3650</f>
        <v>3134.3575940000001</v>
      </c>
      <c r="M3647" s="18">
        <f t="shared" ref="M3647:M3650" si="519">(K3647-L3647)/K3647</f>
        <v>0.52204794604269411</v>
      </c>
      <c r="N3647" s="73">
        <f>D3651</f>
        <v>1555.5385160000001</v>
      </c>
      <c r="O3647" s="22">
        <f t="shared" ref="O3647:O3650" si="520">(K3647-N3647)/K3647</f>
        <v>0.76279897668501329</v>
      </c>
      <c r="P3647" s="151">
        <f t="shared" ref="P3647:P3650" si="521">(L3647-N3647)/L3647</f>
        <v>0.50371376929750533</v>
      </c>
    </row>
    <row r="3648" spans="1:16" x14ac:dyDescent="0.25">
      <c r="A3648" s="137" t="s">
        <v>1483</v>
      </c>
      <c r="B3648" s="137" t="s">
        <v>333</v>
      </c>
      <c r="C3648" s="137">
        <v>25</v>
      </c>
      <c r="D3648" s="196">
        <v>226.830522</v>
      </c>
      <c r="E3648" s="137">
        <v>1</v>
      </c>
      <c r="F3648" s="196">
        <v>7.5490969999999997</v>
      </c>
      <c r="G3648" s="137" t="s">
        <v>335</v>
      </c>
      <c r="H3648" s="79">
        <f t="shared" si="518"/>
        <v>3.3280781322718112E-2</v>
      </c>
      <c r="J3648" s="6">
        <v>10000</v>
      </c>
      <c r="K3648" s="119">
        <f>D3652</f>
        <v>66253.070980000004</v>
      </c>
      <c r="L3648" s="119">
        <f>D3653</f>
        <v>31450.342207000002</v>
      </c>
      <c r="M3648" s="18">
        <f t="shared" si="519"/>
        <v>0.52529985792667633</v>
      </c>
      <c r="N3648" s="73">
        <f>D3654</f>
        <v>15290.119350999999</v>
      </c>
      <c r="O3648" s="22">
        <f t="shared" si="520"/>
        <v>0.76921644348205875</v>
      </c>
      <c r="P3648" s="151">
        <f t="shared" si="521"/>
        <v>0.51383297356946311</v>
      </c>
    </row>
    <row r="3649" spans="1:16" x14ac:dyDescent="0.25">
      <c r="A3649" s="137" t="s">
        <v>1484</v>
      </c>
      <c r="B3649" s="137" t="s">
        <v>333</v>
      </c>
      <c r="C3649" s="137">
        <v>25</v>
      </c>
      <c r="D3649" s="196">
        <v>6557.8912529999998</v>
      </c>
      <c r="E3649" s="137">
        <v>1</v>
      </c>
      <c r="F3649" s="196">
        <v>191.79163199999999</v>
      </c>
      <c r="G3649" s="137" t="s">
        <v>335</v>
      </c>
      <c r="H3649" s="79">
        <f t="shared" si="518"/>
        <v>2.9245930528698873E-2</v>
      </c>
      <c r="J3649" s="6">
        <v>50000</v>
      </c>
      <c r="K3649" s="119">
        <f>D3655</f>
        <v>262110.30815900001</v>
      </c>
      <c r="L3649" s="119">
        <f>D3656</f>
        <v>169187.06169599999</v>
      </c>
      <c r="M3649" s="18">
        <f t="shared" si="519"/>
        <v>0.35451961853644992</v>
      </c>
      <c r="N3649" s="73">
        <f>D3657</f>
        <v>81523.041767999995</v>
      </c>
      <c r="O3649" s="22">
        <f t="shared" si="520"/>
        <v>0.68897430116122371</v>
      </c>
      <c r="P3649" s="151">
        <f t="shared" si="521"/>
        <v>0.51814848635126209</v>
      </c>
    </row>
    <row r="3650" spans="1:16" x14ac:dyDescent="0.25">
      <c r="A3650" s="137" t="s">
        <v>1485</v>
      </c>
      <c r="B3650" s="137" t="s">
        <v>333</v>
      </c>
      <c r="C3650" s="137">
        <v>25</v>
      </c>
      <c r="D3650" s="196">
        <v>3134.3575940000001</v>
      </c>
      <c r="E3650" s="137">
        <v>1</v>
      </c>
      <c r="F3650" s="196">
        <v>110.343546</v>
      </c>
      <c r="G3650" s="137" t="s">
        <v>335</v>
      </c>
      <c r="H3650" s="79">
        <f t="shared" si="518"/>
        <v>3.5204517254581007E-2</v>
      </c>
      <c r="J3650" s="6">
        <v>100000</v>
      </c>
      <c r="K3650" s="119">
        <f>D3658</f>
        <v>650945.93012599996</v>
      </c>
      <c r="L3650" s="119">
        <f>D3659</f>
        <v>390282.002767</v>
      </c>
      <c r="M3650" s="18">
        <f t="shared" si="519"/>
        <v>0.40043867746211226</v>
      </c>
      <c r="N3650" s="73">
        <f>D3660</f>
        <v>184737.27409399999</v>
      </c>
      <c r="O3650" s="22">
        <f t="shared" si="520"/>
        <v>0.71620181409193018</v>
      </c>
      <c r="P3650" s="151">
        <f t="shared" si="521"/>
        <v>0.52665694860572665</v>
      </c>
    </row>
    <row r="3651" spans="1:16" x14ac:dyDescent="0.25">
      <c r="A3651" s="137" t="s">
        <v>1486</v>
      </c>
      <c r="B3651" s="137" t="s">
        <v>333</v>
      </c>
      <c r="C3651" s="137">
        <v>25</v>
      </c>
      <c r="D3651" s="196">
        <v>1555.5385160000001</v>
      </c>
      <c r="E3651" s="137">
        <v>1</v>
      </c>
      <c r="F3651" s="196">
        <v>67.248576999999997</v>
      </c>
      <c r="G3651" s="137" t="s">
        <v>335</v>
      </c>
      <c r="H3651" s="79">
        <f t="shared" si="518"/>
        <v>4.3231701631488241E-2</v>
      </c>
    </row>
    <row r="3652" spans="1:16" x14ac:dyDescent="0.25">
      <c r="A3652" s="137" t="s">
        <v>1487</v>
      </c>
      <c r="B3652" s="137" t="s">
        <v>333</v>
      </c>
      <c r="C3652" s="137">
        <v>25</v>
      </c>
      <c r="D3652" s="196">
        <v>66253.070980000004</v>
      </c>
      <c r="E3652" s="137">
        <v>1</v>
      </c>
      <c r="F3652" s="196">
        <v>1385.034811</v>
      </c>
      <c r="G3652" s="137" t="s">
        <v>335</v>
      </c>
      <c r="H3652" s="79">
        <f t="shared" si="518"/>
        <v>2.090521677731896E-2</v>
      </c>
    </row>
    <row r="3653" spans="1:16" x14ac:dyDescent="0.25">
      <c r="A3653" s="137" t="s">
        <v>1488</v>
      </c>
      <c r="B3653" s="137" t="s">
        <v>333</v>
      </c>
      <c r="C3653" s="137">
        <v>25</v>
      </c>
      <c r="D3653" s="196">
        <v>31450.342207000002</v>
      </c>
      <c r="E3653" s="137">
        <v>1</v>
      </c>
      <c r="F3653" s="196">
        <v>1090.996257</v>
      </c>
      <c r="G3653" s="137" t="s">
        <v>335</v>
      </c>
      <c r="H3653" s="79">
        <f t="shared" si="518"/>
        <v>3.4689487631621815E-2</v>
      </c>
    </row>
    <row r="3654" spans="1:16" x14ac:dyDescent="0.25">
      <c r="A3654" s="137" t="s">
        <v>1489</v>
      </c>
      <c r="B3654" s="137" t="s">
        <v>333</v>
      </c>
      <c r="C3654" s="137">
        <v>25</v>
      </c>
      <c r="D3654" s="196">
        <v>15290.119350999999</v>
      </c>
      <c r="E3654" s="137">
        <v>1</v>
      </c>
      <c r="F3654" s="196">
        <v>494.06667499999998</v>
      </c>
      <c r="G3654" s="137" t="s">
        <v>335</v>
      </c>
      <c r="H3654" s="79">
        <f t="shared" si="518"/>
        <v>3.2312806961031809E-2</v>
      </c>
    </row>
    <row r="3655" spans="1:16" x14ac:dyDescent="0.25">
      <c r="A3655" s="137" t="s">
        <v>1490</v>
      </c>
      <c r="B3655" s="137" t="s">
        <v>333</v>
      </c>
      <c r="C3655" s="137">
        <v>25</v>
      </c>
      <c r="D3655" s="196">
        <v>262110.30815900001</v>
      </c>
      <c r="E3655" s="137">
        <v>1</v>
      </c>
      <c r="F3655" s="196">
        <v>9244.880932</v>
      </c>
      <c r="G3655" s="137" t="s">
        <v>335</v>
      </c>
      <c r="H3655" s="79">
        <f t="shared" si="518"/>
        <v>3.5270955182700854E-2</v>
      </c>
    </row>
    <row r="3656" spans="1:16" x14ac:dyDescent="0.25">
      <c r="A3656" s="137" t="s">
        <v>1491</v>
      </c>
      <c r="B3656" s="137" t="s">
        <v>333</v>
      </c>
      <c r="C3656" s="137">
        <v>25</v>
      </c>
      <c r="D3656" s="196">
        <v>169187.06169599999</v>
      </c>
      <c r="E3656" s="137">
        <v>1</v>
      </c>
      <c r="F3656" s="196">
        <v>12073.0326</v>
      </c>
      <c r="G3656" s="137" t="s">
        <v>335</v>
      </c>
      <c r="H3656" s="79">
        <f t="shared" si="518"/>
        <v>7.1359077218878367E-2</v>
      </c>
    </row>
    <row r="3657" spans="1:16" x14ac:dyDescent="0.25">
      <c r="A3657" s="137" t="s">
        <v>1492</v>
      </c>
      <c r="B3657" s="137" t="s">
        <v>333</v>
      </c>
      <c r="C3657" s="137">
        <v>25</v>
      </c>
      <c r="D3657" s="196">
        <v>81523.041767999995</v>
      </c>
      <c r="E3657" s="137">
        <v>1</v>
      </c>
      <c r="F3657" s="196">
        <v>2270.6281650000001</v>
      </c>
      <c r="G3657" s="137" t="s">
        <v>335</v>
      </c>
      <c r="H3657" s="79">
        <f t="shared" si="518"/>
        <v>2.7852593766824869E-2</v>
      </c>
    </row>
    <row r="3658" spans="1:16" x14ac:dyDescent="0.25">
      <c r="A3658" s="137" t="s">
        <v>1493</v>
      </c>
      <c r="B3658" s="137" t="s">
        <v>333</v>
      </c>
      <c r="C3658" s="137">
        <v>25</v>
      </c>
      <c r="D3658" s="196">
        <v>650945.93012599996</v>
      </c>
      <c r="E3658" s="137">
        <v>1</v>
      </c>
      <c r="F3658" s="196">
        <v>47899.261532999997</v>
      </c>
      <c r="G3658" s="137" t="s">
        <v>335</v>
      </c>
      <c r="H3658" s="79">
        <f t="shared" si="518"/>
        <v>7.3584086352192726E-2</v>
      </c>
    </row>
    <row r="3659" spans="1:16" x14ac:dyDescent="0.25">
      <c r="A3659" s="137" t="s">
        <v>1494</v>
      </c>
      <c r="B3659" s="137" t="s">
        <v>333</v>
      </c>
      <c r="C3659" s="137">
        <v>25</v>
      </c>
      <c r="D3659" s="196">
        <v>390282.002767</v>
      </c>
      <c r="E3659" s="137">
        <v>1</v>
      </c>
      <c r="F3659" s="196">
        <v>24570.299976999999</v>
      </c>
      <c r="G3659" s="137" t="s">
        <v>335</v>
      </c>
      <c r="H3659" s="79">
        <f t="shared" si="518"/>
        <v>6.2955247238670575E-2</v>
      </c>
    </row>
    <row r="3660" spans="1:16" x14ac:dyDescent="0.25">
      <c r="A3660" s="137" t="s">
        <v>1495</v>
      </c>
      <c r="B3660" s="137" t="s">
        <v>333</v>
      </c>
      <c r="C3660" s="137">
        <v>25</v>
      </c>
      <c r="D3660" s="196">
        <v>184737.27409399999</v>
      </c>
      <c r="E3660" s="137">
        <v>1</v>
      </c>
      <c r="F3660" s="196">
        <v>7977.6574149999997</v>
      </c>
      <c r="G3660" s="137" t="s">
        <v>335</v>
      </c>
      <c r="H3660" s="79">
        <f t="shared" si="518"/>
        <v>4.3183799556015548E-2</v>
      </c>
    </row>
    <row r="3661" spans="1:16" x14ac:dyDescent="0.25">
      <c r="A3661" s="137"/>
      <c r="B3661" s="137"/>
      <c r="C3661" s="137"/>
      <c r="D3661" s="196"/>
      <c r="E3661" s="137"/>
      <c r="F3661" s="196"/>
      <c r="G3661" s="137"/>
      <c r="H3661" s="79"/>
    </row>
    <row r="3663" spans="1:16" ht="20" thickBot="1" x14ac:dyDescent="0.3">
      <c r="A3663" s="137" t="s">
        <v>740</v>
      </c>
      <c r="B3663" s="137"/>
      <c r="C3663" s="137"/>
      <c r="D3663" s="196"/>
      <c r="E3663" s="137"/>
      <c r="F3663" s="196"/>
      <c r="G3663" s="137"/>
    </row>
    <row r="3664" spans="1:16" x14ac:dyDescent="0.25">
      <c r="A3664" s="137" t="s">
        <v>2</v>
      </c>
      <c r="B3664" s="137" t="s">
        <v>3</v>
      </c>
      <c r="C3664" s="137" t="s">
        <v>504</v>
      </c>
      <c r="D3664" s="196" t="s">
        <v>5</v>
      </c>
      <c r="E3664" s="137" t="s">
        <v>1247</v>
      </c>
      <c r="F3664" s="196" t="s">
        <v>505</v>
      </c>
      <c r="G3664" s="137" t="s">
        <v>506</v>
      </c>
      <c r="J3664" s="5" t="str">
        <f>A3663</f>
        <v>filter2_90</v>
      </c>
      <c r="K3664" s="72" t="s">
        <v>340</v>
      </c>
      <c r="L3664" s="72" t="s">
        <v>341</v>
      </c>
      <c r="M3664" s="17" t="s">
        <v>162</v>
      </c>
      <c r="N3664" s="72" t="s">
        <v>342</v>
      </c>
      <c r="O3664" s="21" t="s">
        <v>162</v>
      </c>
      <c r="P3664" s="150" t="s">
        <v>1245</v>
      </c>
    </row>
    <row r="3665" spans="1:16" x14ac:dyDescent="0.25">
      <c r="A3665" s="137" t="s">
        <v>1496</v>
      </c>
      <c r="B3665" s="137" t="s">
        <v>333</v>
      </c>
      <c r="C3665" s="137">
        <v>25</v>
      </c>
      <c r="D3665" s="196">
        <v>823.05060700000001</v>
      </c>
      <c r="E3665" s="137">
        <v>1</v>
      </c>
      <c r="F3665" s="196">
        <v>19.242163000000001</v>
      </c>
      <c r="G3665" s="137" t="s">
        <v>335</v>
      </c>
      <c r="H3665" s="79">
        <f t="shared" ref="H3665:H3679" si="522">F3665/D3665</f>
        <v>2.3379076373125137E-2</v>
      </c>
      <c r="J3665" s="6">
        <v>100</v>
      </c>
      <c r="K3665" s="119">
        <f>D3665</f>
        <v>823.05060700000001</v>
      </c>
      <c r="L3665" s="119">
        <f>D3666</f>
        <v>265.43099599999999</v>
      </c>
      <c r="M3665" s="18">
        <f>(K3665-L3665)/K3665</f>
        <v>0.67750343205809704</v>
      </c>
      <c r="N3665" s="73">
        <f>D3667</f>
        <v>200.54138800000001</v>
      </c>
      <c r="O3665" s="22">
        <f>(K3665-N3665)/K3665</f>
        <v>0.75634379430085275</v>
      </c>
      <c r="P3665" s="151">
        <f>(L3665-N3665)/L3665</f>
        <v>0.24446884115975659</v>
      </c>
    </row>
    <row r="3666" spans="1:16" x14ac:dyDescent="0.25">
      <c r="A3666" s="137" t="s">
        <v>1497</v>
      </c>
      <c r="B3666" s="137" t="s">
        <v>333</v>
      </c>
      <c r="C3666" s="137">
        <v>25</v>
      </c>
      <c r="D3666" s="196">
        <v>265.43099599999999</v>
      </c>
      <c r="E3666" s="137">
        <v>1</v>
      </c>
      <c r="F3666" s="196">
        <v>7.3664909999999999</v>
      </c>
      <c r="G3666" s="137" t="s">
        <v>335</v>
      </c>
      <c r="H3666" s="79">
        <f t="shared" si="522"/>
        <v>2.7752941860640874E-2</v>
      </c>
      <c r="J3666" s="6">
        <v>1000</v>
      </c>
      <c r="K3666" s="119">
        <f>D3668</f>
        <v>7627.6982079999998</v>
      </c>
      <c r="L3666" s="119">
        <f>D3669</f>
        <v>2360.1149839999998</v>
      </c>
      <c r="M3666" s="18">
        <f t="shared" ref="M3666:M3669" si="523">(K3666-L3666)/K3666</f>
        <v>0.69058621360704997</v>
      </c>
      <c r="N3666" s="73">
        <f>D3670</f>
        <v>1602.7364809999999</v>
      </c>
      <c r="O3666" s="22">
        <f t="shared" ref="O3666:O3669" si="524">(K3666-N3666)/K3666</f>
        <v>0.7898794056483468</v>
      </c>
      <c r="P3666" s="151">
        <f t="shared" ref="P3666:P3669" si="525">(L3666-N3666)/L3666</f>
        <v>0.3209074592274187</v>
      </c>
    </row>
    <row r="3667" spans="1:16" x14ac:dyDescent="0.25">
      <c r="A3667" s="137" t="s">
        <v>1498</v>
      </c>
      <c r="B3667" s="137" t="s">
        <v>333</v>
      </c>
      <c r="C3667" s="137">
        <v>25</v>
      </c>
      <c r="D3667" s="196">
        <v>200.54138800000001</v>
      </c>
      <c r="E3667" s="137">
        <v>1</v>
      </c>
      <c r="F3667" s="196">
        <v>6.023803</v>
      </c>
      <c r="G3667" s="137" t="s">
        <v>335</v>
      </c>
      <c r="H3667" s="79">
        <f t="shared" si="522"/>
        <v>3.0037704735543166E-2</v>
      </c>
      <c r="J3667" s="6">
        <v>10000</v>
      </c>
      <c r="K3667" s="119">
        <f>D3671</f>
        <v>117983.01317599999</v>
      </c>
      <c r="L3667" s="119">
        <f>D3672</f>
        <v>28954.299891999999</v>
      </c>
      <c r="M3667" s="18">
        <f t="shared" si="523"/>
        <v>0.75458924880306533</v>
      </c>
      <c r="N3667" s="73">
        <f>D3673</f>
        <v>15645.82481</v>
      </c>
      <c r="O3667" s="22">
        <f t="shared" si="524"/>
        <v>0.86738917418001094</v>
      </c>
      <c r="P3667" s="151">
        <f t="shared" si="525"/>
        <v>0.4596372604981237</v>
      </c>
    </row>
    <row r="3668" spans="1:16" x14ac:dyDescent="0.25">
      <c r="A3668" s="137" t="s">
        <v>1499</v>
      </c>
      <c r="B3668" s="137" t="s">
        <v>333</v>
      </c>
      <c r="C3668" s="137">
        <v>25</v>
      </c>
      <c r="D3668" s="196">
        <v>7627.6982079999998</v>
      </c>
      <c r="E3668" s="137">
        <v>1</v>
      </c>
      <c r="F3668" s="196">
        <v>252.571091</v>
      </c>
      <c r="G3668" s="137" t="s">
        <v>335</v>
      </c>
      <c r="H3668" s="79">
        <f t="shared" si="522"/>
        <v>3.3112360257659526E-2</v>
      </c>
      <c r="J3668" s="6">
        <v>50000</v>
      </c>
      <c r="K3668" s="119">
        <f>D3674</f>
        <v>613271.27706200001</v>
      </c>
      <c r="L3668" s="119">
        <f>D3675</f>
        <v>172110.33684900001</v>
      </c>
      <c r="M3668" s="18">
        <f t="shared" si="523"/>
        <v>0.71935692525250916</v>
      </c>
      <c r="N3668" s="73">
        <f>D3676</f>
        <v>117460.3766</v>
      </c>
      <c r="O3668" s="22">
        <f t="shared" si="524"/>
        <v>0.80846913756874828</v>
      </c>
      <c r="P3668" s="151">
        <f t="shared" si="525"/>
        <v>0.31752863453487301</v>
      </c>
    </row>
    <row r="3669" spans="1:16" x14ac:dyDescent="0.25">
      <c r="A3669" s="137" t="s">
        <v>1500</v>
      </c>
      <c r="B3669" s="137" t="s">
        <v>333</v>
      </c>
      <c r="C3669" s="137">
        <v>25</v>
      </c>
      <c r="D3669" s="196">
        <v>2360.1149839999998</v>
      </c>
      <c r="E3669" s="137">
        <v>1</v>
      </c>
      <c r="F3669" s="196">
        <v>172.93126100000001</v>
      </c>
      <c r="G3669" s="137" t="s">
        <v>335</v>
      </c>
      <c r="H3669" s="79">
        <f t="shared" si="522"/>
        <v>7.3272388071072059E-2</v>
      </c>
      <c r="J3669" s="6">
        <v>100000</v>
      </c>
      <c r="K3669" s="119">
        <f>D3677</f>
        <v>1310672.8295239999</v>
      </c>
      <c r="L3669" s="119">
        <f>D3678</f>
        <v>457444.25385500002</v>
      </c>
      <c r="M3669" s="18">
        <f t="shared" si="523"/>
        <v>0.65098517070722284</v>
      </c>
      <c r="N3669" s="158">
        <f>D3679</f>
        <v>212784.43001400001</v>
      </c>
      <c r="O3669" s="22">
        <f t="shared" si="524"/>
        <v>0.83765252073526431</v>
      </c>
      <c r="P3669" s="151">
        <f t="shared" si="525"/>
        <v>0.53484074131260573</v>
      </c>
    </row>
    <row r="3670" spans="1:16" x14ac:dyDescent="0.25">
      <c r="A3670" s="137" t="s">
        <v>1501</v>
      </c>
      <c r="B3670" s="137" t="s">
        <v>333</v>
      </c>
      <c r="C3670" s="137">
        <v>25</v>
      </c>
      <c r="D3670" s="196">
        <v>1602.7364809999999</v>
      </c>
      <c r="E3670" s="137">
        <v>1</v>
      </c>
      <c r="F3670" s="196">
        <v>98.577081000000007</v>
      </c>
      <c r="G3670" s="137" t="s">
        <v>335</v>
      </c>
      <c r="H3670" s="79">
        <f t="shared" si="522"/>
        <v>6.1505482759395685E-2</v>
      </c>
    </row>
    <row r="3671" spans="1:16" x14ac:dyDescent="0.25">
      <c r="A3671" s="137" t="s">
        <v>1502</v>
      </c>
      <c r="B3671" s="137" t="s">
        <v>333</v>
      </c>
      <c r="C3671" s="137">
        <v>25</v>
      </c>
      <c r="D3671" s="196">
        <v>117983.01317599999</v>
      </c>
      <c r="E3671" s="137">
        <v>1</v>
      </c>
      <c r="F3671" s="196">
        <v>3125.6369970000001</v>
      </c>
      <c r="G3671" s="137" t="s">
        <v>335</v>
      </c>
      <c r="H3671" s="79">
        <f t="shared" si="522"/>
        <v>2.6492262850901782E-2</v>
      </c>
    </row>
    <row r="3672" spans="1:16" x14ac:dyDescent="0.25">
      <c r="A3672" s="137" t="s">
        <v>1503</v>
      </c>
      <c r="B3672" s="137" t="s">
        <v>333</v>
      </c>
      <c r="C3672" s="137">
        <v>25</v>
      </c>
      <c r="D3672" s="196">
        <v>28954.299891999999</v>
      </c>
      <c r="E3672" s="137">
        <v>1</v>
      </c>
      <c r="F3672" s="196">
        <v>865.63308900000004</v>
      </c>
      <c r="G3672" s="137" t="s">
        <v>335</v>
      </c>
      <c r="H3672" s="79">
        <f t="shared" si="522"/>
        <v>2.9896529780682843E-2</v>
      </c>
    </row>
    <row r="3673" spans="1:16" x14ac:dyDescent="0.25">
      <c r="A3673" s="137" t="s">
        <v>1504</v>
      </c>
      <c r="B3673" s="137" t="s">
        <v>333</v>
      </c>
      <c r="C3673" s="137">
        <v>25</v>
      </c>
      <c r="D3673" s="196">
        <v>15645.82481</v>
      </c>
      <c r="E3673" s="137">
        <v>1</v>
      </c>
      <c r="F3673" s="196">
        <v>496.44046900000001</v>
      </c>
      <c r="G3673" s="137" t="s">
        <v>335</v>
      </c>
      <c r="H3673" s="79">
        <f t="shared" si="522"/>
        <v>3.1729900790062597E-2</v>
      </c>
    </row>
    <row r="3674" spans="1:16" x14ac:dyDescent="0.25">
      <c r="A3674" s="137" t="s">
        <v>1505</v>
      </c>
      <c r="B3674" s="137" t="s">
        <v>333</v>
      </c>
      <c r="C3674" s="137">
        <v>25</v>
      </c>
      <c r="D3674" s="196">
        <v>613271.27706200001</v>
      </c>
      <c r="E3674" s="137">
        <v>1</v>
      </c>
      <c r="F3674" s="196">
        <v>28998.595224000001</v>
      </c>
      <c r="G3674" s="137" t="s">
        <v>335</v>
      </c>
      <c r="H3674" s="79">
        <f t="shared" si="522"/>
        <v>4.7285102545359094E-2</v>
      </c>
    </row>
    <row r="3675" spans="1:16" x14ac:dyDescent="0.25">
      <c r="A3675" s="137" t="s">
        <v>1506</v>
      </c>
      <c r="B3675" s="137" t="s">
        <v>333</v>
      </c>
      <c r="C3675" s="137">
        <v>25</v>
      </c>
      <c r="D3675" s="196">
        <v>172110.33684900001</v>
      </c>
      <c r="E3675" s="137">
        <v>1</v>
      </c>
      <c r="F3675" s="196">
        <v>5115.2771030000004</v>
      </c>
      <c r="G3675" s="137" t="s">
        <v>335</v>
      </c>
      <c r="H3675" s="79">
        <f t="shared" si="522"/>
        <v>2.9720917387360983E-2</v>
      </c>
    </row>
    <row r="3676" spans="1:16" x14ac:dyDescent="0.25">
      <c r="A3676" s="137" t="s">
        <v>1507</v>
      </c>
      <c r="B3676" s="137" t="s">
        <v>333</v>
      </c>
      <c r="C3676" s="137">
        <v>25</v>
      </c>
      <c r="D3676" s="196">
        <v>117460.3766</v>
      </c>
      <c r="E3676" s="137">
        <v>1</v>
      </c>
      <c r="F3676" s="196">
        <v>2548.782995</v>
      </c>
      <c r="G3676" s="137" t="s">
        <v>335</v>
      </c>
      <c r="H3676" s="79">
        <f t="shared" si="522"/>
        <v>2.1699087545748598E-2</v>
      </c>
    </row>
    <row r="3677" spans="1:16" x14ac:dyDescent="0.25">
      <c r="A3677" s="137" t="s">
        <v>1508</v>
      </c>
      <c r="B3677" s="137" t="s">
        <v>333</v>
      </c>
      <c r="C3677" s="137">
        <v>25</v>
      </c>
      <c r="D3677" s="196">
        <v>1310672.8295239999</v>
      </c>
      <c r="E3677" s="137">
        <v>1</v>
      </c>
      <c r="F3677" s="196">
        <v>109544.01981300001</v>
      </c>
      <c r="G3677" s="137" t="s">
        <v>335</v>
      </c>
      <c r="H3677" s="79">
        <f t="shared" si="522"/>
        <v>8.3578462409099732E-2</v>
      </c>
    </row>
    <row r="3678" spans="1:16" x14ac:dyDescent="0.25">
      <c r="A3678" s="137" t="s">
        <v>1509</v>
      </c>
      <c r="B3678" s="137" t="s">
        <v>333</v>
      </c>
      <c r="C3678" s="137">
        <v>25</v>
      </c>
      <c r="D3678" s="196">
        <v>457444.25385500002</v>
      </c>
      <c r="E3678" s="137">
        <v>1</v>
      </c>
      <c r="F3678" s="196">
        <v>26202.616419000002</v>
      </c>
      <c r="G3678" s="137" t="s">
        <v>335</v>
      </c>
      <c r="H3678" s="79">
        <f t="shared" si="522"/>
        <v>5.7280458106498955E-2</v>
      </c>
    </row>
    <row r="3679" spans="1:16" x14ac:dyDescent="0.25">
      <c r="A3679" s="137" t="s">
        <v>1510</v>
      </c>
      <c r="B3679" s="137" t="s">
        <v>333</v>
      </c>
      <c r="C3679" s="137">
        <v>10</v>
      </c>
      <c r="D3679" s="196">
        <v>212784.43001400001</v>
      </c>
      <c r="E3679" s="137">
        <v>1</v>
      </c>
      <c r="F3679" s="196">
        <v>9223.9830230000007</v>
      </c>
      <c r="G3679" s="137" t="s">
        <v>335</v>
      </c>
      <c r="H3679" s="183">
        <f t="shared" si="522"/>
        <v>4.3348956605486197E-2</v>
      </c>
    </row>
    <row r="3681" spans="1:19" x14ac:dyDescent="0.25">
      <c r="A3681" s="137" t="s">
        <v>168</v>
      </c>
      <c r="B3681" s="137"/>
      <c r="C3681" s="137"/>
      <c r="D3681" s="196"/>
      <c r="E3681" s="137"/>
      <c r="F3681" s="196"/>
      <c r="G3681" s="137"/>
    </row>
    <row r="3682" spans="1:19" ht="20" thickBot="1" x14ac:dyDescent="0.3">
      <c r="A3682" s="137" t="s">
        <v>2</v>
      </c>
      <c r="B3682" s="137" t="s">
        <v>3</v>
      </c>
      <c r="C3682" s="137" t="s">
        <v>504</v>
      </c>
      <c r="D3682" s="196" t="s">
        <v>5</v>
      </c>
      <c r="E3682" s="137" t="s">
        <v>1247</v>
      </c>
      <c r="F3682" s="196" t="s">
        <v>505</v>
      </c>
      <c r="G3682" s="137" t="s">
        <v>506</v>
      </c>
    </row>
    <row r="3683" spans="1:19" x14ac:dyDescent="0.25">
      <c r="A3683" s="137" t="s">
        <v>1511</v>
      </c>
      <c r="B3683" s="137" t="s">
        <v>333</v>
      </c>
      <c r="C3683" s="137">
        <v>25</v>
      </c>
      <c r="D3683" s="196">
        <v>6528.8187879999996</v>
      </c>
      <c r="E3683" s="137">
        <v>1</v>
      </c>
      <c r="F3683" s="196">
        <v>242.36175800000001</v>
      </c>
      <c r="G3683" s="137" t="s">
        <v>335</v>
      </c>
      <c r="H3683" s="79">
        <f t="shared" ref="H3683:H3702" si="526">F3683/D3683</f>
        <v>3.712183870770959E-2</v>
      </c>
      <c r="J3683" s="106" t="str">
        <f>A3681</f>
        <v>flatten</v>
      </c>
      <c r="K3683" s="72" t="s">
        <v>344</v>
      </c>
      <c r="L3683" s="72" t="s">
        <v>341</v>
      </c>
      <c r="M3683" s="17" t="s">
        <v>162</v>
      </c>
      <c r="N3683" s="72" t="s">
        <v>343</v>
      </c>
      <c r="O3683" s="17" t="s">
        <v>162</v>
      </c>
      <c r="P3683" s="72" t="s">
        <v>342</v>
      </c>
      <c r="Q3683" s="155" t="s">
        <v>162</v>
      </c>
      <c r="R3683" s="156" t="s">
        <v>1245</v>
      </c>
      <c r="S3683" s="156" t="s">
        <v>1684</v>
      </c>
    </row>
    <row r="3684" spans="1:19" x14ac:dyDescent="0.25">
      <c r="A3684" s="137" t="s">
        <v>1512</v>
      </c>
      <c r="B3684" s="137" t="s">
        <v>333</v>
      </c>
      <c r="C3684" s="137">
        <v>25</v>
      </c>
      <c r="D3684" s="196">
        <v>5017.2520690000001</v>
      </c>
      <c r="E3684" s="137">
        <v>1</v>
      </c>
      <c r="F3684" s="196">
        <v>120.318479</v>
      </c>
      <c r="G3684" s="137" t="s">
        <v>335</v>
      </c>
      <c r="H3684" s="79">
        <f t="shared" si="526"/>
        <v>2.3980951593684019E-2</v>
      </c>
      <c r="J3684" s="6">
        <v>100</v>
      </c>
      <c r="K3684" s="119">
        <f>D3683</f>
        <v>6528.8187879999996</v>
      </c>
      <c r="L3684" s="119">
        <f>D3684</f>
        <v>5017.2520690000001</v>
      </c>
      <c r="M3684" s="18">
        <f>(K3684-L3684)/K3684</f>
        <v>0.23152223519792989</v>
      </c>
      <c r="N3684" s="73">
        <f>D3685</f>
        <v>3476.5267800000001</v>
      </c>
      <c r="O3684" s="18">
        <f>(K3684-N3684)/K3684</f>
        <v>0.46751060293021562</v>
      </c>
      <c r="P3684" s="73">
        <f>D3686</f>
        <v>12009.810332999999</v>
      </c>
      <c r="Q3684" s="53">
        <f>(K3684-P3684)/K3684</f>
        <v>-0.83950737843637024</v>
      </c>
      <c r="R3684" s="22">
        <f>(L3684-P3684)/L3684</f>
        <v>-1.3937028014208785</v>
      </c>
      <c r="S3684" s="22">
        <f>(N3684-P3684)/N3684</f>
        <v>-2.4545427356092446</v>
      </c>
    </row>
    <row r="3685" spans="1:19" x14ac:dyDescent="0.25">
      <c r="A3685" s="137" t="s">
        <v>1513</v>
      </c>
      <c r="B3685" s="137" t="s">
        <v>333</v>
      </c>
      <c r="C3685" s="137">
        <v>25</v>
      </c>
      <c r="D3685" s="196">
        <v>3476.5267800000001</v>
      </c>
      <c r="E3685" s="137">
        <v>1</v>
      </c>
      <c r="F3685" s="196">
        <v>156.41122999999999</v>
      </c>
      <c r="G3685" s="137" t="s">
        <v>335</v>
      </c>
      <c r="H3685" s="79">
        <f t="shared" si="526"/>
        <v>4.499065875166363E-2</v>
      </c>
      <c r="J3685" s="6">
        <v>1000</v>
      </c>
      <c r="K3685" s="119">
        <f>D3687</f>
        <v>62408.383985</v>
      </c>
      <c r="L3685" s="119">
        <f>D3688</f>
        <v>48196.625131000001</v>
      </c>
      <c r="M3685" s="18">
        <f t="shared" ref="M3685:M3688" si="527">(K3685-L3685)/K3685</f>
        <v>0.22772194930437278</v>
      </c>
      <c r="N3685" s="73">
        <f>D3689</f>
        <v>33363.257517999999</v>
      </c>
      <c r="O3685" s="18">
        <f t="shared" ref="O3685:O3688" si="528">(K3685-N3685)/K3685</f>
        <v>0.46540423918012469</v>
      </c>
      <c r="P3685" s="73">
        <f>D3690</f>
        <v>119853.54235</v>
      </c>
      <c r="Q3685" s="53">
        <f t="shared" ref="Q3685:Q3688" si="529">(K3685-P3685)/K3685</f>
        <v>-0.92047181319111038</v>
      </c>
      <c r="R3685" s="22">
        <f t="shared" ref="R3685:R3688" si="530">(L3685-P3685)/L3685</f>
        <v>-1.486762133743476</v>
      </c>
      <c r="S3685" s="22">
        <f t="shared" ref="S3685:S3688" si="531">(N3685-P3685)/N3685</f>
        <v>-2.5923812980593142</v>
      </c>
    </row>
    <row r="3686" spans="1:19" x14ac:dyDescent="0.25">
      <c r="A3686" s="137" t="s">
        <v>1514</v>
      </c>
      <c r="B3686" s="137" t="s">
        <v>333</v>
      </c>
      <c r="C3686" s="137">
        <v>25</v>
      </c>
      <c r="D3686" s="196">
        <v>12009.810332999999</v>
      </c>
      <c r="E3686" s="137">
        <v>1</v>
      </c>
      <c r="F3686" s="196">
        <v>354.67090300000001</v>
      </c>
      <c r="G3686" s="137" t="s">
        <v>335</v>
      </c>
      <c r="H3686" s="79">
        <f t="shared" si="526"/>
        <v>2.9531765545493402E-2</v>
      </c>
      <c r="J3686" s="6">
        <v>10000</v>
      </c>
      <c r="K3686" s="119">
        <f>D3691</f>
        <v>862672.72124600003</v>
      </c>
      <c r="L3686" s="119">
        <f>D3692</f>
        <v>607038.67917400005</v>
      </c>
      <c r="M3686" s="18">
        <f t="shared" si="527"/>
        <v>0.29632795355204389</v>
      </c>
      <c r="N3686" s="73">
        <f>D3693</f>
        <v>357104.13602999999</v>
      </c>
      <c r="O3686" s="18">
        <f t="shared" si="528"/>
        <v>0.58604911545804161</v>
      </c>
      <c r="P3686" s="73">
        <f>D3694</f>
        <v>1165281.9151659999</v>
      </c>
      <c r="Q3686" s="53">
        <f t="shared" si="529"/>
        <v>-0.35078099314758293</v>
      </c>
      <c r="R3686" s="22">
        <f t="shared" si="530"/>
        <v>-0.91961724210326046</v>
      </c>
      <c r="S3686" s="22">
        <f t="shared" si="531"/>
        <v>-2.2631431495604568</v>
      </c>
    </row>
    <row r="3687" spans="1:19" x14ac:dyDescent="0.25">
      <c r="A3687" s="137" t="s">
        <v>1515</v>
      </c>
      <c r="B3687" s="137" t="s">
        <v>333</v>
      </c>
      <c r="C3687" s="137">
        <v>25</v>
      </c>
      <c r="D3687" s="196">
        <v>62408.383985</v>
      </c>
      <c r="E3687" s="137">
        <v>1</v>
      </c>
      <c r="F3687" s="196">
        <v>1843.422448</v>
      </c>
      <c r="G3687" s="137" t="s">
        <v>335</v>
      </c>
      <c r="H3687" s="79">
        <f t="shared" si="526"/>
        <v>2.9538057714217868E-2</v>
      </c>
      <c r="J3687" s="6">
        <v>50000</v>
      </c>
      <c r="K3687" s="119">
        <f>D3695</f>
        <v>12209889.029027</v>
      </c>
      <c r="L3687" s="119">
        <f>D3696</f>
        <v>5234268.2912860001</v>
      </c>
      <c r="M3687" s="18">
        <f t="shared" si="527"/>
        <v>0.57130910208582653</v>
      </c>
      <c r="N3687" s="73">
        <f>D3697</f>
        <v>4325584.2510219999</v>
      </c>
      <c r="O3687" s="18">
        <f t="shared" si="528"/>
        <v>0.64573107579121847</v>
      </c>
      <c r="P3687" s="73">
        <f>D3698</f>
        <v>13980190.019525999</v>
      </c>
      <c r="Q3687" s="53">
        <f t="shared" si="529"/>
        <v>-0.1449891138478327</v>
      </c>
      <c r="R3687" s="22">
        <f t="shared" si="530"/>
        <v>-1.6708967216678963</v>
      </c>
      <c r="S3687" s="22">
        <f t="shared" si="531"/>
        <v>-2.2319772794213679</v>
      </c>
    </row>
    <row r="3688" spans="1:19" ht="20" thickBot="1" x14ac:dyDescent="0.3">
      <c r="A3688" s="137" t="s">
        <v>1516</v>
      </c>
      <c r="B3688" s="137" t="s">
        <v>333</v>
      </c>
      <c r="C3688" s="137">
        <v>25</v>
      </c>
      <c r="D3688" s="196">
        <v>48196.625131000001</v>
      </c>
      <c r="E3688" s="137">
        <v>1</v>
      </c>
      <c r="F3688" s="196">
        <v>1076.200376</v>
      </c>
      <c r="G3688" s="137" t="s">
        <v>335</v>
      </c>
      <c r="H3688" s="79">
        <f t="shared" si="526"/>
        <v>2.2329372089328916E-2</v>
      </c>
      <c r="J3688" s="7">
        <v>100000</v>
      </c>
      <c r="K3688" s="120">
        <f>D3699</f>
        <v>18485905.513122</v>
      </c>
      <c r="L3688" s="120">
        <f>D3700</f>
        <v>6338693.8577939998</v>
      </c>
      <c r="M3688" s="19">
        <f t="shared" si="527"/>
        <v>0.65710666143486707</v>
      </c>
      <c r="N3688" s="74">
        <f>D3701</f>
        <v>5328153.8782400005</v>
      </c>
      <c r="O3688" s="19">
        <f t="shared" si="528"/>
        <v>0.71177209174536382</v>
      </c>
      <c r="P3688" s="74">
        <f>D3702</f>
        <v>41254425.610577002</v>
      </c>
      <c r="Q3688" s="54">
        <f t="shared" si="529"/>
        <v>-1.2316691806789253</v>
      </c>
      <c r="R3688" s="23">
        <f t="shared" si="530"/>
        <v>-5.5083480187090812</v>
      </c>
      <c r="S3688" s="23">
        <f t="shared" si="531"/>
        <v>-6.7427241317219968</v>
      </c>
    </row>
    <row r="3689" spans="1:19" x14ac:dyDescent="0.25">
      <c r="A3689" s="137" t="s">
        <v>1517</v>
      </c>
      <c r="B3689" s="137" t="s">
        <v>333</v>
      </c>
      <c r="C3689" s="137">
        <v>25</v>
      </c>
      <c r="D3689" s="196">
        <v>33363.257517999999</v>
      </c>
      <c r="E3689" s="137">
        <v>1</v>
      </c>
      <c r="F3689" s="196">
        <v>1332.5376229999999</v>
      </c>
      <c r="G3689" s="137" t="s">
        <v>335</v>
      </c>
      <c r="H3689" s="79">
        <f t="shared" si="526"/>
        <v>3.9940273286596044E-2</v>
      </c>
    </row>
    <row r="3690" spans="1:19" x14ac:dyDescent="0.25">
      <c r="A3690" s="137" t="s">
        <v>1518</v>
      </c>
      <c r="B3690" s="137" t="s">
        <v>333</v>
      </c>
      <c r="C3690" s="137">
        <v>25</v>
      </c>
      <c r="D3690" s="196">
        <v>119853.54235</v>
      </c>
      <c r="E3690" s="137">
        <v>1</v>
      </c>
      <c r="F3690" s="196">
        <v>3299.316249</v>
      </c>
      <c r="G3690" s="137" t="s">
        <v>335</v>
      </c>
      <c r="H3690" s="79">
        <f t="shared" si="526"/>
        <v>2.7527899337052842E-2</v>
      </c>
    </row>
    <row r="3691" spans="1:19" x14ac:dyDescent="0.25">
      <c r="A3691" s="137" t="s">
        <v>1519</v>
      </c>
      <c r="B3691" s="137" t="s">
        <v>333</v>
      </c>
      <c r="C3691" s="137">
        <v>25</v>
      </c>
      <c r="D3691" s="196">
        <v>862672.72124600003</v>
      </c>
      <c r="E3691" s="137">
        <v>1</v>
      </c>
      <c r="F3691" s="196">
        <v>54896.112097999998</v>
      </c>
      <c r="G3691" s="137" t="s">
        <v>335</v>
      </c>
      <c r="H3691" s="79">
        <f t="shared" si="526"/>
        <v>6.3634922892555221E-2</v>
      </c>
    </row>
    <row r="3692" spans="1:19" x14ac:dyDescent="0.25">
      <c r="A3692" s="137" t="s">
        <v>1520</v>
      </c>
      <c r="B3692" s="137" t="s">
        <v>333</v>
      </c>
      <c r="C3692" s="137">
        <v>25</v>
      </c>
      <c r="D3692" s="196">
        <v>607038.67917400005</v>
      </c>
      <c r="E3692" s="137">
        <v>1</v>
      </c>
      <c r="F3692" s="196">
        <v>19311.320162</v>
      </c>
      <c r="G3692" s="137" t="s">
        <v>335</v>
      </c>
      <c r="H3692" s="79">
        <f t="shared" si="526"/>
        <v>3.1812338858335995E-2</v>
      </c>
    </row>
    <row r="3693" spans="1:19" x14ac:dyDescent="0.25">
      <c r="A3693" s="137" t="s">
        <v>1521</v>
      </c>
      <c r="B3693" s="137" t="s">
        <v>333</v>
      </c>
      <c r="C3693" s="137">
        <v>25</v>
      </c>
      <c r="D3693" s="196">
        <v>357104.13602999999</v>
      </c>
      <c r="E3693" s="137">
        <v>1</v>
      </c>
      <c r="F3693" s="196">
        <v>13512.492091</v>
      </c>
      <c r="G3693" s="137" t="s">
        <v>335</v>
      </c>
      <c r="H3693" s="79">
        <f t="shared" si="526"/>
        <v>3.7839080334440112E-2</v>
      </c>
    </row>
    <row r="3694" spans="1:19" x14ac:dyDescent="0.25">
      <c r="A3694" s="137" t="s">
        <v>1522</v>
      </c>
      <c r="B3694" s="137" t="s">
        <v>333</v>
      </c>
      <c r="C3694" s="137">
        <v>25</v>
      </c>
      <c r="D3694" s="196">
        <v>1165281.9151659999</v>
      </c>
      <c r="E3694" s="137">
        <v>1</v>
      </c>
      <c r="F3694" s="196">
        <v>45487.913516000001</v>
      </c>
      <c r="G3694" s="137" t="s">
        <v>335</v>
      </c>
      <c r="H3694" s="79">
        <f t="shared" si="526"/>
        <v>3.9035973118590819E-2</v>
      </c>
    </row>
    <row r="3695" spans="1:19" x14ac:dyDescent="0.25">
      <c r="A3695" s="137" t="s">
        <v>1523</v>
      </c>
      <c r="B3695" s="137" t="s">
        <v>333</v>
      </c>
      <c r="C3695" s="137">
        <v>25</v>
      </c>
      <c r="D3695" s="196">
        <v>12209889.029027</v>
      </c>
      <c r="E3695" s="137">
        <v>1</v>
      </c>
      <c r="F3695" s="196">
        <v>706744.84178400005</v>
      </c>
      <c r="G3695" s="137" t="s">
        <v>335</v>
      </c>
      <c r="H3695" s="79">
        <f t="shared" si="526"/>
        <v>5.7882986495932161E-2</v>
      </c>
    </row>
    <row r="3696" spans="1:19" x14ac:dyDescent="0.25">
      <c r="A3696" s="137" t="s">
        <v>1524</v>
      </c>
      <c r="B3696" s="137" t="s">
        <v>333</v>
      </c>
      <c r="C3696" s="137">
        <v>25</v>
      </c>
      <c r="D3696" s="196">
        <v>5234268.2912860001</v>
      </c>
      <c r="E3696" s="137">
        <v>1</v>
      </c>
      <c r="F3696" s="196">
        <v>137240.85445000001</v>
      </c>
      <c r="G3696" s="137" t="s">
        <v>335</v>
      </c>
      <c r="H3696" s="79">
        <f t="shared" si="526"/>
        <v>2.6219682831023074E-2</v>
      </c>
    </row>
    <row r="3697" spans="1:16" x14ac:dyDescent="0.25">
      <c r="A3697" s="137" t="s">
        <v>1525</v>
      </c>
      <c r="B3697" s="137" t="s">
        <v>333</v>
      </c>
      <c r="C3697" s="137">
        <v>25</v>
      </c>
      <c r="D3697" s="196">
        <v>4325584.2510219999</v>
      </c>
      <c r="E3697" s="137">
        <v>1</v>
      </c>
      <c r="F3697" s="196">
        <v>293119.09691700002</v>
      </c>
      <c r="G3697" s="137" t="s">
        <v>335</v>
      </c>
      <c r="H3697" s="79">
        <f t="shared" si="526"/>
        <v>6.7764047561377438E-2</v>
      </c>
    </row>
    <row r="3698" spans="1:16" x14ac:dyDescent="0.25">
      <c r="A3698" s="137" t="s">
        <v>1526</v>
      </c>
      <c r="B3698" s="137" t="s">
        <v>333</v>
      </c>
      <c r="C3698" s="137">
        <v>25</v>
      </c>
      <c r="D3698" s="196">
        <v>13980190.019525999</v>
      </c>
      <c r="E3698" s="137">
        <v>1</v>
      </c>
      <c r="F3698" s="196">
        <v>356513.32708700001</v>
      </c>
      <c r="G3698" s="137" t="s">
        <v>335</v>
      </c>
      <c r="H3698" s="79">
        <f t="shared" si="526"/>
        <v>2.550132198411189E-2</v>
      </c>
    </row>
    <row r="3699" spans="1:16" x14ac:dyDescent="0.25">
      <c r="A3699" s="137" t="s">
        <v>1527</v>
      </c>
      <c r="B3699" s="137" t="s">
        <v>333</v>
      </c>
      <c r="C3699" s="137">
        <v>25</v>
      </c>
      <c r="D3699" s="196">
        <v>18485905.513122</v>
      </c>
      <c r="E3699" s="137">
        <v>1</v>
      </c>
      <c r="F3699" s="196">
        <v>3588382.6672740001</v>
      </c>
      <c r="G3699" s="137" t="s">
        <v>335</v>
      </c>
      <c r="H3699" s="157">
        <f t="shared" si="526"/>
        <v>0.19411451955798592</v>
      </c>
    </row>
    <row r="3700" spans="1:16" x14ac:dyDescent="0.25">
      <c r="A3700" s="137" t="s">
        <v>1528</v>
      </c>
      <c r="B3700" s="137" t="s">
        <v>333</v>
      </c>
      <c r="C3700" s="137">
        <v>25</v>
      </c>
      <c r="D3700" s="196">
        <v>6338693.8577939998</v>
      </c>
      <c r="E3700" s="137">
        <v>1</v>
      </c>
      <c r="F3700" s="196">
        <v>148619.10546399999</v>
      </c>
      <c r="G3700" s="137" t="s">
        <v>335</v>
      </c>
      <c r="H3700" s="79">
        <f t="shared" si="526"/>
        <v>2.3446329606415572E-2</v>
      </c>
    </row>
    <row r="3701" spans="1:16" x14ac:dyDescent="0.25">
      <c r="A3701" s="137" t="s">
        <v>1529</v>
      </c>
      <c r="B3701" s="137" t="s">
        <v>333</v>
      </c>
      <c r="C3701" s="137">
        <v>25</v>
      </c>
      <c r="D3701" s="196">
        <v>5328153.8782400005</v>
      </c>
      <c r="E3701" s="137">
        <v>1</v>
      </c>
      <c r="F3701" s="196">
        <v>200406.06899900001</v>
      </c>
      <c r="G3701" s="137" t="s">
        <v>335</v>
      </c>
      <c r="H3701" s="79">
        <f t="shared" si="526"/>
        <v>3.7612665395692038E-2</v>
      </c>
    </row>
    <row r="3702" spans="1:16" x14ac:dyDescent="0.25">
      <c r="A3702" s="137" t="s">
        <v>1530</v>
      </c>
      <c r="B3702" s="137" t="s">
        <v>333</v>
      </c>
      <c r="C3702" s="137">
        <v>25</v>
      </c>
      <c r="D3702" s="196">
        <v>41254425.610577002</v>
      </c>
      <c r="E3702" s="137">
        <v>1</v>
      </c>
      <c r="F3702" s="196">
        <v>3547033.923773</v>
      </c>
      <c r="G3702" s="137" t="s">
        <v>335</v>
      </c>
      <c r="H3702" s="157">
        <f t="shared" si="526"/>
        <v>8.5979476656768555E-2</v>
      </c>
    </row>
    <row r="3704" spans="1:16" ht="20" thickBot="1" x14ac:dyDescent="0.3">
      <c r="A3704" s="137" t="s">
        <v>881</v>
      </c>
      <c r="B3704" s="137"/>
      <c r="C3704" s="137"/>
      <c r="D3704" s="196"/>
      <c r="E3704" s="137"/>
      <c r="F3704" s="196"/>
      <c r="G3704" s="137"/>
    </row>
    <row r="3705" spans="1:16" x14ac:dyDescent="0.25">
      <c r="A3705" s="137" t="s">
        <v>2</v>
      </c>
      <c r="B3705" s="137" t="s">
        <v>3</v>
      </c>
      <c r="C3705" s="137" t="s">
        <v>504</v>
      </c>
      <c r="D3705" s="196" t="s">
        <v>5</v>
      </c>
      <c r="E3705" s="137" t="s">
        <v>1247</v>
      </c>
      <c r="F3705" s="196" t="s">
        <v>505</v>
      </c>
      <c r="G3705" s="137" t="s">
        <v>506</v>
      </c>
      <c r="J3705" s="5" t="str">
        <f>A3704</f>
        <v>groupBy2_10</v>
      </c>
      <c r="K3705" s="72" t="s">
        <v>340</v>
      </c>
      <c r="L3705" s="72" t="s">
        <v>341</v>
      </c>
      <c r="M3705" s="17" t="s">
        <v>162</v>
      </c>
      <c r="N3705" s="72" t="s">
        <v>342</v>
      </c>
      <c r="O3705" s="21" t="s">
        <v>162</v>
      </c>
      <c r="P3705" s="150" t="s">
        <v>1245</v>
      </c>
    </row>
    <row r="3706" spans="1:16" x14ac:dyDescent="0.25">
      <c r="A3706" s="137" t="s">
        <v>1540</v>
      </c>
      <c r="B3706" s="137" t="s">
        <v>333</v>
      </c>
      <c r="C3706" s="137">
        <v>25</v>
      </c>
      <c r="D3706" s="196">
        <v>1501.65365</v>
      </c>
      <c r="E3706" s="137">
        <v>1</v>
      </c>
      <c r="F3706" s="196">
        <v>118.592521</v>
      </c>
      <c r="G3706" s="137" t="s">
        <v>335</v>
      </c>
      <c r="H3706" s="79">
        <f t="shared" ref="H3706:H3720" si="532">F3706/D3706</f>
        <v>7.8974616417041316E-2</v>
      </c>
      <c r="J3706" s="6">
        <v>100</v>
      </c>
      <c r="K3706" s="119">
        <f>D3706</f>
        <v>1501.65365</v>
      </c>
      <c r="L3706" s="119">
        <f>D3707</f>
        <v>1462.9553410000001</v>
      </c>
      <c r="M3706" s="18">
        <f>(K3706-L3706)/K3706</f>
        <v>2.5770462449846463E-2</v>
      </c>
      <c r="N3706" s="73">
        <f>D3708</f>
        <v>2571.5817200000001</v>
      </c>
      <c r="O3706" s="22">
        <f>(K3706-N3706)/K3706</f>
        <v>-0.71249989636425159</v>
      </c>
      <c r="P3706" s="151">
        <f>(L3706-N3706)/L3706</f>
        <v>-0.75779919450049704</v>
      </c>
    </row>
    <row r="3707" spans="1:16" x14ac:dyDescent="0.25">
      <c r="A3707" s="137" t="s">
        <v>1541</v>
      </c>
      <c r="B3707" s="137" t="s">
        <v>333</v>
      </c>
      <c r="C3707" s="137">
        <v>25</v>
      </c>
      <c r="D3707" s="196">
        <v>1462.9553410000001</v>
      </c>
      <c r="E3707" s="137">
        <v>1</v>
      </c>
      <c r="F3707" s="196">
        <v>58.068199</v>
      </c>
      <c r="G3707" s="137" t="s">
        <v>335</v>
      </c>
      <c r="H3707" s="183">
        <f t="shared" si="532"/>
        <v>3.9692393453588E-2</v>
      </c>
      <c r="J3707" s="6">
        <v>1000</v>
      </c>
      <c r="K3707" s="119">
        <f>D3709</f>
        <v>18745.419453999999</v>
      </c>
      <c r="L3707" s="119">
        <f>D3710</f>
        <v>17213.344082</v>
      </c>
      <c r="M3707" s="18">
        <f t="shared" ref="M3707:M3710" si="533">(K3707-L3707)/K3707</f>
        <v>8.1730652960826475E-2</v>
      </c>
      <c r="N3707" s="73">
        <f>D3711</f>
        <v>29744.808346999998</v>
      </c>
      <c r="O3707" s="22">
        <f t="shared" ref="O3707:O3710" si="534">(K3707-N3707)/K3707</f>
        <v>-0.58677742154512791</v>
      </c>
      <c r="P3707" s="151">
        <f t="shared" ref="P3707:P3710" si="535">(L3707-N3707)/L3707</f>
        <v>-0.72800870099983395</v>
      </c>
    </row>
    <row r="3708" spans="1:16" x14ac:dyDescent="0.25">
      <c r="A3708" s="137" t="s">
        <v>1542</v>
      </c>
      <c r="B3708" s="137" t="s">
        <v>333</v>
      </c>
      <c r="C3708" s="137">
        <v>25</v>
      </c>
      <c r="D3708" s="196">
        <v>2571.5817200000001</v>
      </c>
      <c r="E3708" s="137">
        <v>1</v>
      </c>
      <c r="F3708" s="196">
        <v>156.577414</v>
      </c>
      <c r="G3708" s="137" t="s">
        <v>335</v>
      </c>
      <c r="H3708" s="79">
        <f t="shared" si="532"/>
        <v>6.0887590225987449E-2</v>
      </c>
      <c r="J3708" s="6">
        <v>10000</v>
      </c>
      <c r="K3708" s="119">
        <f>D3712</f>
        <v>258652.879377</v>
      </c>
      <c r="L3708" s="119">
        <f>D3713</f>
        <v>253632.725041</v>
      </c>
      <c r="M3708" s="18">
        <f t="shared" si="533"/>
        <v>1.940884767295736E-2</v>
      </c>
      <c r="N3708" s="73">
        <f>D3714</f>
        <v>396422.37014700001</v>
      </c>
      <c r="O3708" s="22">
        <f t="shared" si="534"/>
        <v>-0.53264240128250739</v>
      </c>
      <c r="P3708" s="151">
        <f t="shared" si="535"/>
        <v>-0.56297800326404224</v>
      </c>
    </row>
    <row r="3709" spans="1:16" x14ac:dyDescent="0.25">
      <c r="A3709" s="137" t="s">
        <v>1537</v>
      </c>
      <c r="B3709" s="137" t="s">
        <v>333</v>
      </c>
      <c r="C3709" s="137">
        <v>25</v>
      </c>
      <c r="D3709" s="196">
        <v>18745.419453999999</v>
      </c>
      <c r="E3709" s="137">
        <v>1</v>
      </c>
      <c r="F3709" s="196">
        <v>682.48107400000004</v>
      </c>
      <c r="G3709" s="137" t="s">
        <v>335</v>
      </c>
      <c r="H3709" s="79">
        <f t="shared" si="532"/>
        <v>3.6407884906217373E-2</v>
      </c>
      <c r="J3709" s="6">
        <v>50000</v>
      </c>
      <c r="K3709" s="119">
        <f>D3715</f>
        <v>1856687.79431</v>
      </c>
      <c r="L3709" s="119">
        <v>1756024</v>
      </c>
      <c r="M3709" s="18">
        <f t="shared" si="533"/>
        <v>5.4216866518158838E-2</v>
      </c>
      <c r="N3709" s="73">
        <f>D3717</f>
        <v>3237559.7560939998</v>
      </c>
      <c r="O3709" s="22">
        <f t="shared" si="534"/>
        <v>-0.74372867964975908</v>
      </c>
      <c r="P3709" s="151">
        <f t="shared" si="535"/>
        <v>-0.84368764669161689</v>
      </c>
    </row>
    <row r="3710" spans="1:16" x14ac:dyDescent="0.25">
      <c r="A3710" s="137" t="s">
        <v>1538</v>
      </c>
      <c r="B3710" s="137" t="s">
        <v>333</v>
      </c>
      <c r="C3710" s="137">
        <v>25</v>
      </c>
      <c r="D3710" s="196">
        <v>17213.344082</v>
      </c>
      <c r="E3710" s="137">
        <v>1</v>
      </c>
      <c r="F3710" s="196">
        <v>598.27176099999997</v>
      </c>
      <c r="G3710" s="137" t="s">
        <v>335</v>
      </c>
      <c r="H3710" s="79">
        <f t="shared" si="532"/>
        <v>3.4756277347968254E-2</v>
      </c>
      <c r="J3710" s="6">
        <v>100000</v>
      </c>
      <c r="K3710" s="119">
        <f>D3718</f>
        <v>6853927.7024579998</v>
      </c>
      <c r="L3710" s="119">
        <f>D3719</f>
        <v>5772453.5668959999</v>
      </c>
      <c r="M3710" s="18">
        <f t="shared" si="533"/>
        <v>0.15778896167436296</v>
      </c>
      <c r="N3710" s="158">
        <f>D3720</f>
        <v>9840582.2259010002</v>
      </c>
      <c r="O3710" s="22">
        <f t="shared" si="534"/>
        <v>-0.43575810150024008</v>
      </c>
      <c r="P3710" s="151">
        <f t="shared" si="535"/>
        <v>-0.70474861544751066</v>
      </c>
    </row>
    <row r="3711" spans="1:16" x14ac:dyDescent="0.25">
      <c r="A3711" s="137" t="s">
        <v>1539</v>
      </c>
      <c r="B3711" s="137" t="s">
        <v>333</v>
      </c>
      <c r="C3711" s="137">
        <v>25</v>
      </c>
      <c r="D3711" s="196">
        <v>29744.808346999998</v>
      </c>
      <c r="E3711" s="137">
        <v>1</v>
      </c>
      <c r="F3711" s="196">
        <v>1723.2953520000001</v>
      </c>
      <c r="G3711" s="137" t="s">
        <v>335</v>
      </c>
      <c r="H3711" s="79">
        <f t="shared" si="532"/>
        <v>5.7936004559054698E-2</v>
      </c>
    </row>
    <row r="3712" spans="1:16" x14ac:dyDescent="0.25">
      <c r="A3712" s="137" t="s">
        <v>1534</v>
      </c>
      <c r="B3712" s="137" t="s">
        <v>333</v>
      </c>
      <c r="C3712" s="137">
        <v>25</v>
      </c>
      <c r="D3712" s="196">
        <v>258652.879377</v>
      </c>
      <c r="E3712" s="137">
        <v>1</v>
      </c>
      <c r="F3712" s="196">
        <v>9517.9759410000006</v>
      </c>
      <c r="G3712" s="137" t="s">
        <v>335</v>
      </c>
      <c r="H3712" s="79">
        <f t="shared" si="532"/>
        <v>3.6798260138937236E-2</v>
      </c>
    </row>
    <row r="3713" spans="1:16" x14ac:dyDescent="0.25">
      <c r="A3713" s="137" t="s">
        <v>1535</v>
      </c>
      <c r="B3713" s="137" t="s">
        <v>333</v>
      </c>
      <c r="C3713" s="137">
        <v>25</v>
      </c>
      <c r="D3713" s="196">
        <v>253632.725041</v>
      </c>
      <c r="E3713" s="137">
        <v>1</v>
      </c>
      <c r="F3713" s="196">
        <v>9516.9147969999995</v>
      </c>
      <c r="G3713" s="137" t="s">
        <v>335</v>
      </c>
      <c r="H3713" s="79">
        <f t="shared" si="532"/>
        <v>3.752242458248075E-2</v>
      </c>
    </row>
    <row r="3714" spans="1:16" x14ac:dyDescent="0.25">
      <c r="A3714" s="137" t="s">
        <v>1536</v>
      </c>
      <c r="B3714" s="137" t="s">
        <v>333</v>
      </c>
      <c r="C3714" s="137">
        <v>25</v>
      </c>
      <c r="D3714" s="196">
        <v>396422.37014700001</v>
      </c>
      <c r="E3714" s="137">
        <v>1</v>
      </c>
      <c r="F3714" s="196">
        <v>17354.357868999999</v>
      </c>
      <c r="G3714" s="137" t="s">
        <v>335</v>
      </c>
      <c r="H3714" s="79">
        <f t="shared" si="532"/>
        <v>4.3777443393430884E-2</v>
      </c>
    </row>
    <row r="3715" spans="1:16" x14ac:dyDescent="0.25">
      <c r="A3715" s="137" t="s">
        <v>1543</v>
      </c>
      <c r="B3715" s="137" t="s">
        <v>333</v>
      </c>
      <c r="C3715" s="137">
        <v>25</v>
      </c>
      <c r="D3715" s="196">
        <v>1856687.79431</v>
      </c>
      <c r="E3715" s="137">
        <v>1</v>
      </c>
      <c r="F3715" s="196">
        <v>149893.391883</v>
      </c>
      <c r="G3715" s="137" t="s">
        <v>335</v>
      </c>
      <c r="H3715" s="79">
        <f t="shared" si="532"/>
        <v>8.0731608373988809E-2</v>
      </c>
    </row>
    <row r="3716" spans="1:16" x14ac:dyDescent="0.25">
      <c r="A3716" s="137" t="s">
        <v>1544</v>
      </c>
      <c r="B3716" s="137" t="s">
        <v>333</v>
      </c>
      <c r="C3716" s="137">
        <v>25</v>
      </c>
      <c r="D3716" s="196">
        <v>1991703.5027749999</v>
      </c>
      <c r="E3716" s="137">
        <v>1</v>
      </c>
      <c r="F3716" s="196">
        <v>113410.418687</v>
      </c>
      <c r="G3716" s="137" t="s">
        <v>335</v>
      </c>
      <c r="H3716" s="79">
        <f t="shared" si="532"/>
        <v>5.6941416495471124E-2</v>
      </c>
    </row>
    <row r="3717" spans="1:16" x14ac:dyDescent="0.25">
      <c r="A3717" s="137" t="s">
        <v>1545</v>
      </c>
      <c r="B3717" s="137" t="s">
        <v>333</v>
      </c>
      <c r="C3717" s="137">
        <v>25</v>
      </c>
      <c r="D3717" s="196">
        <v>3237559.7560939998</v>
      </c>
      <c r="E3717" s="137">
        <v>1</v>
      </c>
      <c r="F3717" s="196">
        <v>210831.37914800001</v>
      </c>
      <c r="G3717" s="137" t="s">
        <v>335</v>
      </c>
      <c r="H3717" s="79">
        <f t="shared" si="532"/>
        <v>6.5120459553265675E-2</v>
      </c>
    </row>
    <row r="3718" spans="1:16" x14ac:dyDescent="0.25">
      <c r="A3718" s="137" t="s">
        <v>1531</v>
      </c>
      <c r="B3718" s="137" t="s">
        <v>333</v>
      </c>
      <c r="C3718" s="137">
        <v>25</v>
      </c>
      <c r="D3718" s="196">
        <v>6853927.7024579998</v>
      </c>
      <c r="E3718" s="137">
        <v>1</v>
      </c>
      <c r="F3718" s="196">
        <v>459681.97448199999</v>
      </c>
      <c r="G3718" s="137" t="s">
        <v>335</v>
      </c>
      <c r="H3718" s="79">
        <f t="shared" si="532"/>
        <v>6.7068401424360796E-2</v>
      </c>
    </row>
    <row r="3719" spans="1:16" x14ac:dyDescent="0.25">
      <c r="A3719" s="137" t="s">
        <v>1532</v>
      </c>
      <c r="B3719" s="137" t="s">
        <v>333</v>
      </c>
      <c r="C3719" s="137">
        <v>25</v>
      </c>
      <c r="D3719" s="196">
        <v>5772453.5668959999</v>
      </c>
      <c r="E3719" s="137">
        <v>1</v>
      </c>
      <c r="F3719" s="196">
        <v>626319.80144700001</v>
      </c>
      <c r="G3719" s="137" t="s">
        <v>335</v>
      </c>
      <c r="H3719" s="157">
        <f t="shared" si="532"/>
        <v>0.10850148800482923</v>
      </c>
    </row>
    <row r="3720" spans="1:16" x14ac:dyDescent="0.25">
      <c r="A3720" s="137" t="s">
        <v>1533</v>
      </c>
      <c r="B3720" s="137" t="s">
        <v>333</v>
      </c>
      <c r="C3720" s="137">
        <v>25</v>
      </c>
      <c r="D3720" s="196">
        <v>9840582.2259010002</v>
      </c>
      <c r="E3720" s="137">
        <v>1</v>
      </c>
      <c r="F3720" s="196">
        <v>705554.46746199997</v>
      </c>
      <c r="G3720" s="137" t="s">
        <v>335</v>
      </c>
      <c r="H3720" s="79">
        <f t="shared" si="532"/>
        <v>7.1698447435857862E-2</v>
      </c>
    </row>
    <row r="3722" spans="1:16" ht="20" thickBot="1" x14ac:dyDescent="0.3">
      <c r="A3722" s="137" t="s">
        <v>759</v>
      </c>
      <c r="B3722" s="137"/>
      <c r="C3722" s="137"/>
      <c r="D3722" s="196"/>
      <c r="E3722" s="137"/>
      <c r="F3722" s="196"/>
      <c r="G3722" s="137"/>
    </row>
    <row r="3723" spans="1:16" x14ac:dyDescent="0.25">
      <c r="A3723" s="137" t="s">
        <v>2</v>
      </c>
      <c r="B3723" s="137" t="s">
        <v>3</v>
      </c>
      <c r="C3723" s="137" t="s">
        <v>504</v>
      </c>
      <c r="D3723" s="196" t="s">
        <v>5</v>
      </c>
      <c r="E3723" s="137" t="s">
        <v>1247</v>
      </c>
      <c r="F3723" s="196" t="s">
        <v>505</v>
      </c>
      <c r="G3723" s="137" t="s">
        <v>506</v>
      </c>
      <c r="J3723" s="5" t="str">
        <f>A3722</f>
        <v>map1</v>
      </c>
      <c r="K3723" s="72" t="s">
        <v>340</v>
      </c>
      <c r="L3723" s="72" t="s">
        <v>341</v>
      </c>
      <c r="M3723" s="17" t="s">
        <v>162</v>
      </c>
      <c r="N3723" s="72" t="s">
        <v>342</v>
      </c>
      <c r="O3723" s="17" t="s">
        <v>162</v>
      </c>
      <c r="P3723" s="87" t="s">
        <v>1245</v>
      </c>
    </row>
    <row r="3724" spans="1:16" x14ac:dyDescent="0.25">
      <c r="A3724" s="137" t="s">
        <v>1546</v>
      </c>
      <c r="B3724" s="137" t="s">
        <v>333</v>
      </c>
      <c r="C3724" s="137">
        <v>25</v>
      </c>
      <c r="D3724" s="196">
        <v>1425.9261309999999</v>
      </c>
      <c r="E3724" s="137">
        <v>1</v>
      </c>
      <c r="F3724" s="196">
        <v>85.815796000000006</v>
      </c>
      <c r="G3724" s="137" t="s">
        <v>335</v>
      </c>
      <c r="H3724" s="79">
        <f t="shared" ref="H3724:H3738" si="536">F3724/D3724</f>
        <v>6.0182497630376905E-2</v>
      </c>
      <c r="J3724" s="6">
        <v>100</v>
      </c>
      <c r="K3724" s="119">
        <f>D3724</f>
        <v>1425.9261309999999</v>
      </c>
      <c r="L3724" s="119">
        <f>D3725</f>
        <v>89.234611000000001</v>
      </c>
      <c r="M3724" s="18">
        <f>(K3724-L3724)/K3724</f>
        <v>0.93741989219496247</v>
      </c>
      <c r="N3724" s="73">
        <f>D3726</f>
        <v>567.14028900000005</v>
      </c>
      <c r="O3724" s="18">
        <f>(K3724-N3724)/K3724</f>
        <v>0.60226530907160991</v>
      </c>
      <c r="P3724" s="22">
        <f>(L3724-N3724)/L3724</f>
        <v>-5.3556089127793705</v>
      </c>
    </row>
    <row r="3725" spans="1:16" x14ac:dyDescent="0.25">
      <c r="A3725" s="137" t="s">
        <v>1547</v>
      </c>
      <c r="B3725" s="137" t="s">
        <v>333</v>
      </c>
      <c r="C3725" s="137">
        <v>25</v>
      </c>
      <c r="D3725" s="196">
        <v>89.234611000000001</v>
      </c>
      <c r="E3725" s="137">
        <v>1</v>
      </c>
      <c r="F3725" s="196">
        <v>3.655065</v>
      </c>
      <c r="G3725" s="137" t="s">
        <v>335</v>
      </c>
      <c r="H3725" s="79">
        <f t="shared" si="536"/>
        <v>4.0960171832877715E-2</v>
      </c>
      <c r="J3725" s="6">
        <v>1000</v>
      </c>
      <c r="K3725" s="119">
        <f>D3727</f>
        <v>17604.730670000001</v>
      </c>
      <c r="L3725" s="119">
        <f>D3728</f>
        <v>1035.2749670000001</v>
      </c>
      <c r="M3725" s="18">
        <f t="shared" ref="M3725:M3728" si="537">(K3725-L3725)/K3725</f>
        <v>0.9411933652149419</v>
      </c>
      <c r="N3725" s="73">
        <f>D3729</f>
        <v>5476.151914</v>
      </c>
      <c r="O3725" s="18">
        <f t="shared" ref="O3725:O3728" si="538">(K3725-N3725)/K3725</f>
        <v>0.68893861447526483</v>
      </c>
      <c r="P3725" s="22">
        <f t="shared" ref="P3725:P3728" si="539">(L3725-N3725)/L3725</f>
        <v>-4.2895627621217267</v>
      </c>
    </row>
    <row r="3726" spans="1:16" x14ac:dyDescent="0.25">
      <c r="A3726" s="137" t="s">
        <v>1548</v>
      </c>
      <c r="B3726" s="137" t="s">
        <v>333</v>
      </c>
      <c r="C3726" s="137">
        <v>25</v>
      </c>
      <c r="D3726" s="196">
        <v>567.14028900000005</v>
      </c>
      <c r="E3726" s="137">
        <v>1</v>
      </c>
      <c r="F3726" s="196">
        <v>14.618297</v>
      </c>
      <c r="G3726" s="137" t="s">
        <v>335</v>
      </c>
      <c r="H3726" s="79">
        <f t="shared" si="536"/>
        <v>2.5775451477403327E-2</v>
      </c>
      <c r="J3726" s="6">
        <v>10000</v>
      </c>
      <c r="K3726" s="119">
        <f>D3730</f>
        <v>155973.34830099999</v>
      </c>
      <c r="L3726" s="119">
        <f>D3731</f>
        <v>10593.468414999999</v>
      </c>
      <c r="M3726" s="18">
        <f t="shared" si="537"/>
        <v>0.93208154771059637</v>
      </c>
      <c r="N3726" s="73">
        <f>D3732</f>
        <v>59865.088612</v>
      </c>
      <c r="O3726" s="18">
        <f t="shared" si="538"/>
        <v>0.61618385920348817</v>
      </c>
      <c r="P3726" s="22">
        <f t="shared" si="539"/>
        <v>-4.6511320246382217</v>
      </c>
    </row>
    <row r="3727" spans="1:16" x14ac:dyDescent="0.25">
      <c r="A3727" s="137" t="s">
        <v>1549</v>
      </c>
      <c r="B3727" s="137" t="s">
        <v>333</v>
      </c>
      <c r="C3727" s="137">
        <v>25</v>
      </c>
      <c r="D3727" s="196">
        <v>17604.730670000001</v>
      </c>
      <c r="E3727" s="137">
        <v>1</v>
      </c>
      <c r="F3727" s="196">
        <v>489.52551499999998</v>
      </c>
      <c r="G3727" s="137" t="s">
        <v>335</v>
      </c>
      <c r="H3727" s="79">
        <f t="shared" si="536"/>
        <v>2.7806475667031604E-2</v>
      </c>
      <c r="J3727" s="6">
        <v>50000</v>
      </c>
      <c r="K3727" s="119">
        <f>D3733</f>
        <v>865922.20172500005</v>
      </c>
      <c r="L3727" s="119">
        <f>D3734</f>
        <v>55516.137091999997</v>
      </c>
      <c r="M3727" s="18">
        <f t="shared" si="537"/>
        <v>0.93588784652777524</v>
      </c>
      <c r="N3727" s="73">
        <f>D3735</f>
        <v>288035.98804999999</v>
      </c>
      <c r="O3727" s="18">
        <f t="shared" si="538"/>
        <v>0.66736505025947512</v>
      </c>
      <c r="P3727" s="22">
        <f t="shared" si="539"/>
        <v>-4.1883290721880329</v>
      </c>
    </row>
    <row r="3728" spans="1:16" ht="20" thickBot="1" x14ac:dyDescent="0.3">
      <c r="A3728" s="137" t="s">
        <v>1550</v>
      </c>
      <c r="B3728" s="137" t="s">
        <v>333</v>
      </c>
      <c r="C3728" s="137">
        <v>25</v>
      </c>
      <c r="D3728" s="196">
        <v>1035.2749670000001</v>
      </c>
      <c r="E3728" s="137">
        <v>1</v>
      </c>
      <c r="F3728" s="196">
        <v>39.755209000000001</v>
      </c>
      <c r="G3728" s="137" t="s">
        <v>335</v>
      </c>
      <c r="H3728" s="79">
        <f t="shared" si="536"/>
        <v>3.8400628110618652E-2</v>
      </c>
      <c r="J3728" s="7">
        <v>100000</v>
      </c>
      <c r="K3728" s="120">
        <f>D3736</f>
        <v>2153384.2204530002</v>
      </c>
      <c r="L3728" s="120">
        <f>D3737</f>
        <v>117974.26260099999</v>
      </c>
      <c r="M3728" s="19">
        <f t="shared" si="537"/>
        <v>0.9452144854223079</v>
      </c>
      <c r="N3728" s="162">
        <f>D3738</f>
        <v>656285.33930200001</v>
      </c>
      <c r="O3728" s="19">
        <f t="shared" si="538"/>
        <v>0.69523072888314397</v>
      </c>
      <c r="P3728" s="23">
        <f t="shared" si="539"/>
        <v>-4.5629535191215265</v>
      </c>
    </row>
    <row r="3729" spans="1:16" x14ac:dyDescent="0.25">
      <c r="A3729" s="137" t="s">
        <v>1551</v>
      </c>
      <c r="B3729" s="137" t="s">
        <v>333</v>
      </c>
      <c r="C3729" s="137">
        <v>25</v>
      </c>
      <c r="D3729" s="196">
        <v>5476.151914</v>
      </c>
      <c r="E3729" s="137">
        <v>1</v>
      </c>
      <c r="F3729" s="196">
        <v>236.40899999999999</v>
      </c>
      <c r="G3729" s="137" t="s">
        <v>335</v>
      </c>
      <c r="H3729" s="79">
        <f t="shared" si="536"/>
        <v>4.3170643129094168E-2</v>
      </c>
    </row>
    <row r="3730" spans="1:16" x14ac:dyDescent="0.25">
      <c r="A3730" s="137" t="s">
        <v>1552</v>
      </c>
      <c r="B3730" s="137" t="s">
        <v>333</v>
      </c>
      <c r="C3730" s="137">
        <v>25</v>
      </c>
      <c r="D3730" s="196">
        <v>155973.34830099999</v>
      </c>
      <c r="E3730" s="137">
        <v>1</v>
      </c>
      <c r="F3730" s="196">
        <v>9115.5043999999998</v>
      </c>
      <c r="G3730" s="137" t="s">
        <v>335</v>
      </c>
      <c r="H3730" s="79">
        <f t="shared" si="536"/>
        <v>5.8442705111444719E-2</v>
      </c>
    </row>
    <row r="3731" spans="1:16" x14ac:dyDescent="0.25">
      <c r="A3731" s="137" t="s">
        <v>1553</v>
      </c>
      <c r="B3731" s="137" t="s">
        <v>333</v>
      </c>
      <c r="C3731" s="137">
        <v>25</v>
      </c>
      <c r="D3731" s="196">
        <v>10593.468414999999</v>
      </c>
      <c r="E3731" s="137">
        <v>1</v>
      </c>
      <c r="F3731" s="196">
        <v>691.70584299999996</v>
      </c>
      <c r="G3731" s="137" t="s">
        <v>335</v>
      </c>
      <c r="H3731" s="79">
        <f t="shared" si="536"/>
        <v>6.5295502464572178E-2</v>
      </c>
    </row>
    <row r="3732" spans="1:16" x14ac:dyDescent="0.25">
      <c r="A3732" s="137" t="s">
        <v>1554</v>
      </c>
      <c r="B3732" s="137" t="s">
        <v>333</v>
      </c>
      <c r="C3732" s="137">
        <v>25</v>
      </c>
      <c r="D3732" s="196">
        <v>59865.088612</v>
      </c>
      <c r="E3732" s="137">
        <v>1</v>
      </c>
      <c r="F3732" s="196">
        <v>2232.4211949999999</v>
      </c>
      <c r="G3732" s="137" t="s">
        <v>335</v>
      </c>
      <c r="H3732" s="79">
        <f t="shared" si="536"/>
        <v>3.7290869298947461E-2</v>
      </c>
    </row>
    <row r="3733" spans="1:16" x14ac:dyDescent="0.25">
      <c r="A3733" s="137" t="s">
        <v>1555</v>
      </c>
      <c r="B3733" s="137" t="s">
        <v>333</v>
      </c>
      <c r="C3733" s="137">
        <v>25</v>
      </c>
      <c r="D3733" s="196">
        <v>865922.20172500005</v>
      </c>
      <c r="E3733" s="137">
        <v>1</v>
      </c>
      <c r="F3733" s="196">
        <v>45802.790790999999</v>
      </c>
      <c r="G3733" s="137" t="s">
        <v>335</v>
      </c>
      <c r="H3733" s="79">
        <f t="shared" si="536"/>
        <v>5.2894810526576692E-2</v>
      </c>
    </row>
    <row r="3734" spans="1:16" x14ac:dyDescent="0.25">
      <c r="A3734" s="137" t="s">
        <v>1556</v>
      </c>
      <c r="B3734" s="137" t="s">
        <v>333</v>
      </c>
      <c r="C3734" s="137">
        <v>25</v>
      </c>
      <c r="D3734" s="196">
        <v>55516.137091999997</v>
      </c>
      <c r="E3734" s="137">
        <v>1</v>
      </c>
      <c r="F3734" s="196">
        <v>2428.9167739999998</v>
      </c>
      <c r="G3734" s="137" t="s">
        <v>335</v>
      </c>
      <c r="H3734" s="79">
        <f t="shared" si="536"/>
        <v>4.3751545068325952E-2</v>
      </c>
    </row>
    <row r="3735" spans="1:16" x14ac:dyDescent="0.25">
      <c r="A3735" s="137" t="s">
        <v>1557</v>
      </c>
      <c r="B3735" s="137" t="s">
        <v>333</v>
      </c>
      <c r="C3735" s="137">
        <v>25</v>
      </c>
      <c r="D3735" s="196">
        <v>288035.98804999999</v>
      </c>
      <c r="E3735" s="137">
        <v>1</v>
      </c>
      <c r="F3735" s="196">
        <v>20464.660139</v>
      </c>
      <c r="G3735" s="137" t="s">
        <v>335</v>
      </c>
      <c r="H3735" s="79">
        <f t="shared" si="536"/>
        <v>7.1048969531708486E-2</v>
      </c>
    </row>
    <row r="3736" spans="1:16" x14ac:dyDescent="0.25">
      <c r="A3736" s="137" t="s">
        <v>1558</v>
      </c>
      <c r="B3736" s="137" t="s">
        <v>333</v>
      </c>
      <c r="C3736" s="137">
        <v>25</v>
      </c>
      <c r="D3736" s="196">
        <v>2153384.2204530002</v>
      </c>
      <c r="E3736" s="137">
        <v>1</v>
      </c>
      <c r="F3736" s="196">
        <v>100008.954432</v>
      </c>
      <c r="G3736" s="137" t="s">
        <v>335</v>
      </c>
      <c r="H3736" s="79">
        <f t="shared" si="536"/>
        <v>4.6442689364075238E-2</v>
      </c>
    </row>
    <row r="3737" spans="1:16" x14ac:dyDescent="0.25">
      <c r="A3737" s="137" t="s">
        <v>1559</v>
      </c>
      <c r="B3737" s="137" t="s">
        <v>333</v>
      </c>
      <c r="C3737" s="137">
        <v>25</v>
      </c>
      <c r="D3737" s="196">
        <v>117974.26260099999</v>
      </c>
      <c r="E3737" s="137">
        <v>1</v>
      </c>
      <c r="F3737" s="196">
        <v>5321.3831140000002</v>
      </c>
      <c r="G3737" s="137" t="s">
        <v>335</v>
      </c>
      <c r="H3737" s="79">
        <f t="shared" si="536"/>
        <v>4.5106305364225212E-2</v>
      </c>
    </row>
    <row r="3738" spans="1:16" x14ac:dyDescent="0.25">
      <c r="A3738" s="137" t="s">
        <v>1560</v>
      </c>
      <c r="B3738" s="137" t="s">
        <v>333</v>
      </c>
      <c r="C3738" s="137">
        <v>25</v>
      </c>
      <c r="D3738" s="196">
        <v>656285.33930200001</v>
      </c>
      <c r="E3738" s="137">
        <v>1</v>
      </c>
      <c r="F3738" s="196">
        <v>25726.147503</v>
      </c>
      <c r="G3738" s="137" t="s">
        <v>335</v>
      </c>
      <c r="H3738" s="79">
        <f t="shared" si="536"/>
        <v>3.919963766120594E-2</v>
      </c>
    </row>
    <row r="3740" spans="1:16" ht="20" thickBot="1" x14ac:dyDescent="0.3">
      <c r="A3740" s="137" t="s">
        <v>165</v>
      </c>
      <c r="B3740" s="137"/>
      <c r="C3740" s="137"/>
      <c r="D3740" s="196"/>
      <c r="E3740" s="137"/>
      <c r="F3740" s="196"/>
      <c r="G3740" s="137"/>
    </row>
    <row r="3741" spans="1:16" x14ac:dyDescent="0.25">
      <c r="A3741" s="137" t="s">
        <v>2</v>
      </c>
      <c r="B3741" s="137" t="s">
        <v>3</v>
      </c>
      <c r="C3741" s="137" t="s">
        <v>504</v>
      </c>
      <c r="D3741" s="196" t="s">
        <v>5</v>
      </c>
      <c r="E3741" s="137" t="s">
        <v>1247</v>
      </c>
      <c r="F3741" s="196" t="s">
        <v>505</v>
      </c>
      <c r="G3741" s="137" t="s">
        <v>506</v>
      </c>
      <c r="J3741" s="5" t="str">
        <f>A3740</f>
        <v>map2</v>
      </c>
      <c r="K3741" s="72" t="s">
        <v>340</v>
      </c>
      <c r="L3741" s="72" t="s">
        <v>341</v>
      </c>
      <c r="M3741" s="17" t="s">
        <v>162</v>
      </c>
      <c r="N3741" s="72" t="s">
        <v>342</v>
      </c>
      <c r="O3741" s="17" t="s">
        <v>162</v>
      </c>
      <c r="P3741" s="87" t="s">
        <v>1245</v>
      </c>
    </row>
    <row r="3742" spans="1:16" x14ac:dyDescent="0.25">
      <c r="A3742" s="137" t="s">
        <v>1561</v>
      </c>
      <c r="B3742" s="137" t="s">
        <v>333</v>
      </c>
      <c r="C3742" s="137">
        <v>25</v>
      </c>
      <c r="D3742" s="196">
        <v>1321.318487</v>
      </c>
      <c r="E3742" s="137">
        <v>1</v>
      </c>
      <c r="F3742" s="196">
        <v>81.179868999999997</v>
      </c>
      <c r="G3742" s="137" t="s">
        <v>335</v>
      </c>
      <c r="H3742" s="79">
        <f t="shared" ref="H3742:H3756" si="540">F3742/D3742</f>
        <v>6.1438532646520064E-2</v>
      </c>
      <c r="J3742" s="6">
        <v>100</v>
      </c>
      <c r="K3742" s="119">
        <f>D3742</f>
        <v>1321.318487</v>
      </c>
      <c r="L3742" s="119">
        <f>D3743</f>
        <v>665.98268499999995</v>
      </c>
      <c r="M3742" s="18">
        <f>(K3742-L3742)/K3742</f>
        <v>0.49597111404072869</v>
      </c>
      <c r="N3742" s="73">
        <f>D3744</f>
        <v>828.69000700000004</v>
      </c>
      <c r="O3742" s="18">
        <f>(K3742-N3742)/K3742</f>
        <v>0.37283099029250166</v>
      </c>
      <c r="P3742" s="22">
        <f>(L3742-N3742)/L3742</f>
        <v>-0.24431164002409478</v>
      </c>
    </row>
    <row r="3743" spans="1:16" x14ac:dyDescent="0.25">
      <c r="A3743" s="137" t="s">
        <v>1562</v>
      </c>
      <c r="B3743" s="137" t="s">
        <v>333</v>
      </c>
      <c r="C3743" s="137">
        <v>25</v>
      </c>
      <c r="D3743" s="196">
        <v>665.98268499999995</v>
      </c>
      <c r="E3743" s="137">
        <v>1</v>
      </c>
      <c r="F3743" s="196">
        <v>27.893068</v>
      </c>
      <c r="G3743" s="137" t="s">
        <v>335</v>
      </c>
      <c r="H3743" s="79">
        <f t="shared" si="540"/>
        <v>4.1882572367478298E-2</v>
      </c>
      <c r="J3743" s="6">
        <v>1000</v>
      </c>
      <c r="K3743" s="119">
        <f>D3745</f>
        <v>14055.63111</v>
      </c>
      <c r="L3743" s="119">
        <f>D3746</f>
        <v>7383.8546640000004</v>
      </c>
      <c r="M3743" s="18">
        <f t="shared" ref="M3743:M3746" si="541">(K3743-L3743)/K3743</f>
        <v>0.47466929046347173</v>
      </c>
      <c r="N3743" s="73">
        <f>D3747</f>
        <v>11717.387891</v>
      </c>
      <c r="O3743" s="18">
        <f t="shared" ref="O3743:O3746" si="542">(K3743-N3743)/K3743</f>
        <v>0.16635633083287427</v>
      </c>
      <c r="P3743" s="22">
        <f t="shared" ref="P3743:P3746" si="543">(L3743-N3743)/L3743</f>
        <v>-0.58689308284034225</v>
      </c>
    </row>
    <row r="3744" spans="1:16" x14ac:dyDescent="0.25">
      <c r="A3744" s="137" t="s">
        <v>1563</v>
      </c>
      <c r="B3744" s="137" t="s">
        <v>333</v>
      </c>
      <c r="C3744" s="137">
        <v>25</v>
      </c>
      <c r="D3744" s="196">
        <v>828.69000700000004</v>
      </c>
      <c r="E3744" s="137">
        <v>1</v>
      </c>
      <c r="F3744" s="196">
        <v>65.008212</v>
      </c>
      <c r="G3744" s="137" t="s">
        <v>335</v>
      </c>
      <c r="H3744" s="79">
        <f t="shared" si="540"/>
        <v>7.8446960203298305E-2</v>
      </c>
      <c r="J3744" s="6">
        <v>10000</v>
      </c>
      <c r="K3744" s="119">
        <f>D3748</f>
        <v>140482.187882</v>
      </c>
      <c r="L3744" s="119">
        <f>D3749</f>
        <v>65976.551344000007</v>
      </c>
      <c r="M3744" s="18">
        <f t="shared" si="541"/>
        <v>0.53035646483938625</v>
      </c>
      <c r="N3744" s="73">
        <f>D3750</f>
        <v>100287.626586</v>
      </c>
      <c r="O3744" s="18">
        <f t="shared" si="542"/>
        <v>0.28611855995410601</v>
      </c>
      <c r="P3744" s="22">
        <f t="shared" si="543"/>
        <v>-0.52004954098165801</v>
      </c>
    </row>
    <row r="3745" spans="1:16" x14ac:dyDescent="0.25">
      <c r="A3745" s="137" t="s">
        <v>1564</v>
      </c>
      <c r="B3745" s="137" t="s">
        <v>333</v>
      </c>
      <c r="C3745" s="137">
        <v>25</v>
      </c>
      <c r="D3745" s="196">
        <v>14055.63111</v>
      </c>
      <c r="E3745" s="137">
        <v>1</v>
      </c>
      <c r="F3745" s="196">
        <v>724.135535</v>
      </c>
      <c r="G3745" s="137" t="s">
        <v>335</v>
      </c>
      <c r="H3745" s="79">
        <f t="shared" si="540"/>
        <v>5.151924729191331E-2</v>
      </c>
      <c r="J3745" s="6">
        <v>50000</v>
      </c>
      <c r="K3745" s="119">
        <f>D3751</f>
        <v>895976.89073999994</v>
      </c>
      <c r="L3745" s="119">
        <f>D3752</f>
        <v>351567.90547499998</v>
      </c>
      <c r="M3745" s="18">
        <f t="shared" si="541"/>
        <v>0.6076149852652617</v>
      </c>
      <c r="N3745" s="73">
        <f>D3753</f>
        <v>592326.42277199996</v>
      </c>
      <c r="O3745" s="18">
        <f t="shared" si="542"/>
        <v>0.33890435245178119</v>
      </c>
      <c r="P3745" s="22">
        <f t="shared" si="543"/>
        <v>-0.68481369757490662</v>
      </c>
    </row>
    <row r="3746" spans="1:16" ht="20" thickBot="1" x14ac:dyDescent="0.3">
      <c r="A3746" s="137" t="s">
        <v>1565</v>
      </c>
      <c r="B3746" s="137" t="s">
        <v>333</v>
      </c>
      <c r="C3746" s="137">
        <v>25</v>
      </c>
      <c r="D3746" s="196">
        <v>7383.8546640000004</v>
      </c>
      <c r="E3746" s="137">
        <v>1</v>
      </c>
      <c r="F3746" s="196">
        <v>351.612663</v>
      </c>
      <c r="G3746" s="137" t="s">
        <v>335</v>
      </c>
      <c r="H3746" s="79">
        <f t="shared" si="540"/>
        <v>4.7619120229206072E-2</v>
      </c>
      <c r="J3746" s="7">
        <v>100000</v>
      </c>
      <c r="K3746" s="120">
        <f>D3754</f>
        <v>1681013.578854</v>
      </c>
      <c r="L3746" s="120">
        <f>D3755</f>
        <v>792064.89881100005</v>
      </c>
      <c r="M3746" s="19">
        <f t="shared" si="541"/>
        <v>0.52881707276215117</v>
      </c>
      <c r="N3746" s="162">
        <f>D3756</f>
        <v>1083026.1664120001</v>
      </c>
      <c r="O3746" s="19">
        <f t="shared" si="542"/>
        <v>0.35573026890696907</v>
      </c>
      <c r="P3746" s="23">
        <f t="shared" si="543"/>
        <v>-0.3673452365302054</v>
      </c>
    </row>
    <row r="3747" spans="1:16" x14ac:dyDescent="0.25">
      <c r="A3747" s="137" t="s">
        <v>1566</v>
      </c>
      <c r="B3747" s="137" t="s">
        <v>333</v>
      </c>
      <c r="C3747" s="137">
        <v>25</v>
      </c>
      <c r="D3747" s="196">
        <v>11717.387891</v>
      </c>
      <c r="E3747" s="137">
        <v>1</v>
      </c>
      <c r="F3747" s="196">
        <v>425.83163400000001</v>
      </c>
      <c r="G3747" s="137" t="s">
        <v>335</v>
      </c>
      <c r="H3747" s="79">
        <f t="shared" si="540"/>
        <v>3.6341856902004303E-2</v>
      </c>
    </row>
    <row r="3748" spans="1:16" x14ac:dyDescent="0.25">
      <c r="A3748" s="137" t="s">
        <v>1567</v>
      </c>
      <c r="B3748" s="137" t="s">
        <v>333</v>
      </c>
      <c r="C3748" s="137">
        <v>25</v>
      </c>
      <c r="D3748" s="196">
        <v>140482.187882</v>
      </c>
      <c r="E3748" s="137">
        <v>1</v>
      </c>
      <c r="F3748" s="196">
        <v>7129.7786489999999</v>
      </c>
      <c r="G3748" s="137" t="s">
        <v>335</v>
      </c>
      <c r="H3748" s="79">
        <f t="shared" si="540"/>
        <v>5.0752189701008629E-2</v>
      </c>
    </row>
    <row r="3749" spans="1:16" x14ac:dyDescent="0.25">
      <c r="A3749" s="137" t="s">
        <v>1568</v>
      </c>
      <c r="B3749" s="137" t="s">
        <v>333</v>
      </c>
      <c r="C3749" s="137">
        <v>25</v>
      </c>
      <c r="D3749" s="196">
        <v>65976.551344000007</v>
      </c>
      <c r="E3749" s="137">
        <v>1</v>
      </c>
      <c r="F3749" s="196">
        <v>3480.2493509999999</v>
      </c>
      <c r="G3749" s="137" t="s">
        <v>335</v>
      </c>
      <c r="H3749" s="79">
        <f t="shared" si="540"/>
        <v>5.27497918594452E-2</v>
      </c>
    </row>
    <row r="3750" spans="1:16" x14ac:dyDescent="0.25">
      <c r="A3750" s="137" t="s">
        <v>1569</v>
      </c>
      <c r="B3750" s="137" t="s">
        <v>333</v>
      </c>
      <c r="C3750" s="137">
        <v>25</v>
      </c>
      <c r="D3750" s="196">
        <v>100287.626586</v>
      </c>
      <c r="E3750" s="137">
        <v>1</v>
      </c>
      <c r="F3750" s="196">
        <v>5366.0047489999997</v>
      </c>
      <c r="G3750" s="137" t="s">
        <v>335</v>
      </c>
      <c r="H3750" s="79">
        <f t="shared" si="540"/>
        <v>5.3506149578666826E-2</v>
      </c>
    </row>
    <row r="3751" spans="1:16" x14ac:dyDescent="0.25">
      <c r="A3751" s="137" t="s">
        <v>1570</v>
      </c>
      <c r="B3751" s="137" t="s">
        <v>333</v>
      </c>
      <c r="C3751" s="137">
        <v>25</v>
      </c>
      <c r="D3751" s="196">
        <v>895976.89073999994</v>
      </c>
      <c r="E3751" s="137">
        <v>1</v>
      </c>
      <c r="F3751" s="196">
        <v>45665.046389000003</v>
      </c>
      <c r="G3751" s="137" t="s">
        <v>335</v>
      </c>
      <c r="H3751" s="79">
        <f t="shared" si="540"/>
        <v>5.0966768072873619E-2</v>
      </c>
    </row>
    <row r="3752" spans="1:16" x14ac:dyDescent="0.25">
      <c r="A3752" s="137" t="s">
        <v>1571</v>
      </c>
      <c r="B3752" s="137" t="s">
        <v>333</v>
      </c>
      <c r="C3752" s="137">
        <v>25</v>
      </c>
      <c r="D3752" s="196">
        <v>351567.90547499998</v>
      </c>
      <c r="E3752" s="137">
        <v>1</v>
      </c>
      <c r="F3752" s="196">
        <v>24516.694387</v>
      </c>
      <c r="G3752" s="137" t="s">
        <v>335</v>
      </c>
      <c r="H3752" s="79">
        <f t="shared" si="540"/>
        <v>6.9735302924980397E-2</v>
      </c>
    </row>
    <row r="3753" spans="1:16" x14ac:dyDescent="0.25">
      <c r="A3753" s="137" t="s">
        <v>1572</v>
      </c>
      <c r="B3753" s="137" t="s">
        <v>333</v>
      </c>
      <c r="C3753" s="137">
        <v>25</v>
      </c>
      <c r="D3753" s="196">
        <v>592326.42277199996</v>
      </c>
      <c r="E3753" s="137">
        <v>1</v>
      </c>
      <c r="F3753" s="196">
        <v>28535.04333</v>
      </c>
      <c r="G3753" s="137" t="s">
        <v>335</v>
      </c>
      <c r="H3753" s="79">
        <f t="shared" si="540"/>
        <v>4.817452376421133E-2</v>
      </c>
    </row>
    <row r="3754" spans="1:16" x14ac:dyDescent="0.25">
      <c r="A3754" s="137" t="s">
        <v>1573</v>
      </c>
      <c r="B3754" s="137" t="s">
        <v>333</v>
      </c>
      <c r="C3754" s="137">
        <v>25</v>
      </c>
      <c r="D3754" s="196">
        <v>1681013.578854</v>
      </c>
      <c r="E3754" s="137">
        <v>1</v>
      </c>
      <c r="F3754" s="196">
        <v>90699.917344000001</v>
      </c>
      <c r="G3754" s="137" t="s">
        <v>335</v>
      </c>
      <c r="H3754" s="79">
        <f t="shared" si="540"/>
        <v>5.3955493569441002E-2</v>
      </c>
    </row>
    <row r="3755" spans="1:16" x14ac:dyDescent="0.25">
      <c r="A3755" s="137" t="s">
        <v>1574</v>
      </c>
      <c r="B3755" s="137" t="s">
        <v>333</v>
      </c>
      <c r="C3755" s="137">
        <v>25</v>
      </c>
      <c r="D3755" s="196">
        <v>792064.89881100005</v>
      </c>
      <c r="E3755" s="137">
        <v>1</v>
      </c>
      <c r="F3755" s="196">
        <v>53134.007307</v>
      </c>
      <c r="G3755" s="137" t="s">
        <v>335</v>
      </c>
      <c r="H3755" s="79">
        <f t="shared" si="540"/>
        <v>6.7082896094450797E-2</v>
      </c>
    </row>
    <row r="3756" spans="1:16" x14ac:dyDescent="0.25">
      <c r="A3756" s="137" t="s">
        <v>1575</v>
      </c>
      <c r="B3756" s="137" t="s">
        <v>333</v>
      </c>
      <c r="C3756" s="137">
        <v>25</v>
      </c>
      <c r="D3756" s="196">
        <v>1083026.1664120001</v>
      </c>
      <c r="E3756" s="137">
        <v>1</v>
      </c>
      <c r="F3756" s="196">
        <v>57168.833766000003</v>
      </c>
      <c r="G3756" s="137" t="s">
        <v>335</v>
      </c>
      <c r="H3756" s="79">
        <f t="shared" si="540"/>
        <v>5.2786198098423491E-2</v>
      </c>
    </row>
    <row r="3758" spans="1:16" ht="20" thickBot="1" x14ac:dyDescent="0.3">
      <c r="A3758" s="137" t="s">
        <v>164</v>
      </c>
      <c r="B3758" s="137"/>
      <c r="C3758" s="137"/>
      <c r="D3758" s="196"/>
      <c r="E3758" s="137"/>
      <c r="F3758" s="196"/>
      <c r="G3758" s="137"/>
    </row>
    <row r="3759" spans="1:16" x14ac:dyDescent="0.25">
      <c r="A3759" s="137" t="s">
        <v>2</v>
      </c>
      <c r="B3759" s="137" t="s">
        <v>3</v>
      </c>
      <c r="C3759" s="137" t="s">
        <v>504</v>
      </c>
      <c r="D3759" s="196" t="s">
        <v>5</v>
      </c>
      <c r="E3759" s="137" t="s">
        <v>1247</v>
      </c>
      <c r="F3759" s="196" t="s">
        <v>505</v>
      </c>
      <c r="G3759" s="137" t="s">
        <v>506</v>
      </c>
      <c r="J3759" s="5" t="str">
        <f>A3758</f>
        <v>map3</v>
      </c>
      <c r="K3759" s="72" t="s">
        <v>340</v>
      </c>
      <c r="L3759" s="72" t="s">
        <v>341</v>
      </c>
      <c r="M3759" s="17" t="s">
        <v>162</v>
      </c>
      <c r="N3759" s="72" t="s">
        <v>342</v>
      </c>
      <c r="O3759" s="17" t="s">
        <v>162</v>
      </c>
      <c r="P3759" s="87" t="s">
        <v>1245</v>
      </c>
    </row>
    <row r="3760" spans="1:16" x14ac:dyDescent="0.25">
      <c r="A3760" s="137" t="s">
        <v>1576</v>
      </c>
      <c r="B3760" s="137" t="s">
        <v>333</v>
      </c>
      <c r="C3760" s="137">
        <v>25</v>
      </c>
      <c r="D3760" s="196">
        <v>1751.003052</v>
      </c>
      <c r="E3760" s="137">
        <v>1</v>
      </c>
      <c r="F3760" s="196">
        <v>67.324230999999997</v>
      </c>
      <c r="G3760" s="137" t="s">
        <v>335</v>
      </c>
      <c r="H3760" s="79">
        <f t="shared" ref="H3760:H3774" si="544">F3760/D3760</f>
        <v>3.8448951258595522E-2</v>
      </c>
      <c r="J3760" s="6">
        <v>100</v>
      </c>
      <c r="K3760" s="119">
        <f>D3760</f>
        <v>1751.003052</v>
      </c>
      <c r="L3760" s="119">
        <f>D3761</f>
        <v>2429.5840750000002</v>
      </c>
      <c r="M3760" s="18">
        <f>(K3760-L3760)/K3760</f>
        <v>-0.38753845815683946</v>
      </c>
      <c r="N3760" s="73">
        <f>D3762</f>
        <v>3166.5465020000001</v>
      </c>
      <c r="O3760" s="18">
        <f>(K3760-N3760)/K3760</f>
        <v>-0.80841860805620125</v>
      </c>
      <c r="P3760" s="22">
        <f>(L3760-N3760)/L3760</f>
        <v>-0.30332863743354915</v>
      </c>
    </row>
    <row r="3761" spans="1:16" x14ac:dyDescent="0.25">
      <c r="A3761" s="137" t="s">
        <v>1577</v>
      </c>
      <c r="B3761" s="137" t="s">
        <v>333</v>
      </c>
      <c r="C3761" s="137">
        <v>25</v>
      </c>
      <c r="D3761" s="196">
        <v>2429.5840750000002</v>
      </c>
      <c r="E3761" s="137">
        <v>1</v>
      </c>
      <c r="F3761" s="196">
        <v>97.487857000000005</v>
      </c>
      <c r="G3761" s="137" t="s">
        <v>335</v>
      </c>
      <c r="H3761" s="79">
        <f t="shared" si="544"/>
        <v>4.0125327624235436E-2</v>
      </c>
      <c r="J3761" s="6">
        <v>1000</v>
      </c>
      <c r="K3761" s="119">
        <f>D3763</f>
        <v>21963.053548</v>
      </c>
      <c r="L3761" s="119">
        <f>D3764</f>
        <v>25027.395864999999</v>
      </c>
      <c r="M3761" s="18">
        <f t="shared" ref="M3761:M3764" si="545">(K3761-L3761)/K3761</f>
        <v>-0.13952259918243673</v>
      </c>
      <c r="N3761" s="73">
        <f>D3765</f>
        <v>33042.861984000003</v>
      </c>
      <c r="O3761" s="18">
        <f t="shared" ref="O3761:O3764" si="546">(K3761-N3761)/K3761</f>
        <v>-0.50447486328734803</v>
      </c>
      <c r="P3761" s="22">
        <f t="shared" ref="P3761:P3764" si="547">(L3761-N3761)/L3761</f>
        <v>-0.32026768435022734</v>
      </c>
    </row>
    <row r="3762" spans="1:16" x14ac:dyDescent="0.25">
      <c r="A3762" s="137" t="s">
        <v>1578</v>
      </c>
      <c r="B3762" s="137" t="s">
        <v>333</v>
      </c>
      <c r="C3762" s="137">
        <v>25</v>
      </c>
      <c r="D3762" s="196">
        <v>3166.5465020000001</v>
      </c>
      <c r="E3762" s="137">
        <v>1</v>
      </c>
      <c r="F3762" s="196">
        <v>157.51430099999999</v>
      </c>
      <c r="G3762" s="137" t="s">
        <v>335</v>
      </c>
      <c r="H3762" s="79">
        <f t="shared" si="544"/>
        <v>4.9743245804384523E-2</v>
      </c>
      <c r="J3762" s="6">
        <v>10000</v>
      </c>
      <c r="K3762" s="119">
        <f>D3766</f>
        <v>204405.345145</v>
      </c>
      <c r="L3762" s="119">
        <f>D3767</f>
        <v>235032.219163</v>
      </c>
      <c r="M3762" s="18">
        <f t="shared" si="545"/>
        <v>-0.14983401728694556</v>
      </c>
      <c r="N3762" s="73">
        <f>D3768</f>
        <v>213769.44677899999</v>
      </c>
      <c r="O3762" s="18">
        <f t="shared" si="546"/>
        <v>-4.5811432315320984E-2</v>
      </c>
      <c r="P3762" s="22">
        <f t="shared" si="547"/>
        <v>9.0467479138482756E-2</v>
      </c>
    </row>
    <row r="3763" spans="1:16" x14ac:dyDescent="0.25">
      <c r="A3763" s="137" t="s">
        <v>1579</v>
      </c>
      <c r="B3763" s="137" t="s">
        <v>333</v>
      </c>
      <c r="C3763" s="137">
        <v>25</v>
      </c>
      <c r="D3763" s="196">
        <v>21963.053548</v>
      </c>
      <c r="E3763" s="137">
        <v>1</v>
      </c>
      <c r="F3763" s="196">
        <v>1050.2518480000001</v>
      </c>
      <c r="G3763" s="137" t="s">
        <v>335</v>
      </c>
      <c r="H3763" s="79">
        <f t="shared" si="544"/>
        <v>4.7819026880970207E-2</v>
      </c>
      <c r="J3763" s="6">
        <v>50000</v>
      </c>
      <c r="K3763" s="119">
        <f>D3769</f>
        <v>1096220.0983470001</v>
      </c>
      <c r="L3763" s="119">
        <f>D3770</f>
        <v>1203238.676647</v>
      </c>
      <c r="M3763" s="18">
        <f t="shared" si="545"/>
        <v>-9.7625083193944528E-2</v>
      </c>
      <c r="N3763" s="73">
        <f>D3771</f>
        <v>1695113.1683439999</v>
      </c>
      <c r="O3763" s="18">
        <f t="shared" si="546"/>
        <v>-0.54632556992895487</v>
      </c>
      <c r="P3763" s="22">
        <f t="shared" si="547"/>
        <v>-0.40879212183212049</v>
      </c>
    </row>
    <row r="3764" spans="1:16" ht="20" thickBot="1" x14ac:dyDescent="0.3">
      <c r="A3764" s="137" t="s">
        <v>1580</v>
      </c>
      <c r="B3764" s="137" t="s">
        <v>333</v>
      </c>
      <c r="C3764" s="137">
        <v>25</v>
      </c>
      <c r="D3764" s="196">
        <v>25027.395864999999</v>
      </c>
      <c r="E3764" s="137">
        <v>1</v>
      </c>
      <c r="F3764" s="196">
        <v>1407.9836989999999</v>
      </c>
      <c r="G3764" s="137" t="s">
        <v>335</v>
      </c>
      <c r="H3764" s="79">
        <f t="shared" si="544"/>
        <v>5.6257698827108876E-2</v>
      </c>
      <c r="J3764" s="7">
        <v>100000</v>
      </c>
      <c r="K3764" s="120">
        <f>D3772</f>
        <v>2514695.6077350001</v>
      </c>
      <c r="L3764" s="120">
        <f>D3773</f>
        <v>2644223.8690490001</v>
      </c>
      <c r="M3764" s="19">
        <f t="shared" si="545"/>
        <v>-5.150852489485469E-2</v>
      </c>
      <c r="N3764" s="162">
        <f>D3774</f>
        <v>3139258.9000499998</v>
      </c>
      <c r="O3764" s="19">
        <f t="shared" si="546"/>
        <v>-0.2483653649347832</v>
      </c>
      <c r="P3764" s="23">
        <f t="shared" si="547"/>
        <v>-0.18721373662625623</v>
      </c>
    </row>
    <row r="3765" spans="1:16" x14ac:dyDescent="0.25">
      <c r="A3765" s="137" t="s">
        <v>1581</v>
      </c>
      <c r="B3765" s="137" t="s">
        <v>333</v>
      </c>
      <c r="C3765" s="137">
        <v>25</v>
      </c>
      <c r="D3765" s="196">
        <v>33042.861984000003</v>
      </c>
      <c r="E3765" s="137">
        <v>1</v>
      </c>
      <c r="F3765" s="196">
        <v>1680.0989199999999</v>
      </c>
      <c r="G3765" s="137" t="s">
        <v>335</v>
      </c>
      <c r="H3765" s="79">
        <f t="shared" si="544"/>
        <v>5.0846047198137269E-2</v>
      </c>
    </row>
    <row r="3766" spans="1:16" x14ac:dyDescent="0.25">
      <c r="A3766" s="137" t="s">
        <v>1582</v>
      </c>
      <c r="B3766" s="137" t="s">
        <v>333</v>
      </c>
      <c r="C3766" s="137">
        <v>25</v>
      </c>
      <c r="D3766" s="196">
        <v>204405.345145</v>
      </c>
      <c r="E3766" s="137">
        <v>1</v>
      </c>
      <c r="F3766" s="196">
        <v>12043.967264999999</v>
      </c>
      <c r="G3766" s="137" t="s">
        <v>335</v>
      </c>
      <c r="H3766" s="79">
        <f t="shared" si="544"/>
        <v>5.8921978074772521E-2</v>
      </c>
    </row>
    <row r="3767" spans="1:16" x14ac:dyDescent="0.25">
      <c r="A3767" s="137" t="s">
        <v>1583</v>
      </c>
      <c r="B3767" s="137" t="s">
        <v>333</v>
      </c>
      <c r="C3767" s="137">
        <v>25</v>
      </c>
      <c r="D3767" s="196">
        <v>235032.219163</v>
      </c>
      <c r="E3767" s="137">
        <v>1</v>
      </c>
      <c r="F3767" s="196">
        <v>11930.540469</v>
      </c>
      <c r="G3767" s="137" t="s">
        <v>335</v>
      </c>
      <c r="H3767" s="79">
        <f t="shared" si="544"/>
        <v>5.0761297797753881E-2</v>
      </c>
    </row>
    <row r="3768" spans="1:16" x14ac:dyDescent="0.25">
      <c r="A3768" s="137" t="s">
        <v>1584</v>
      </c>
      <c r="B3768" s="137" t="s">
        <v>333</v>
      </c>
      <c r="C3768" s="137">
        <v>25</v>
      </c>
      <c r="D3768" s="196">
        <v>213769.44677899999</v>
      </c>
      <c r="E3768" s="137">
        <v>1</v>
      </c>
      <c r="F3768" s="196">
        <v>8042.9334040000003</v>
      </c>
      <c r="G3768" s="137" t="s">
        <v>335</v>
      </c>
      <c r="H3768" s="79">
        <f t="shared" si="544"/>
        <v>3.7624335587652893E-2</v>
      </c>
    </row>
    <row r="3769" spans="1:16" x14ac:dyDescent="0.25">
      <c r="A3769" s="137" t="s">
        <v>1585</v>
      </c>
      <c r="B3769" s="137" t="s">
        <v>333</v>
      </c>
      <c r="C3769" s="137">
        <v>25</v>
      </c>
      <c r="D3769" s="196">
        <v>1096220.0983470001</v>
      </c>
      <c r="E3769" s="137">
        <v>1</v>
      </c>
      <c r="F3769" s="196">
        <v>46592.553140999997</v>
      </c>
      <c r="G3769" s="137" t="s">
        <v>335</v>
      </c>
      <c r="H3769" s="79">
        <f t="shared" si="544"/>
        <v>4.2502918174240116E-2</v>
      </c>
    </row>
    <row r="3770" spans="1:16" x14ac:dyDescent="0.25">
      <c r="A3770" s="137" t="s">
        <v>1586</v>
      </c>
      <c r="B3770" s="137" t="s">
        <v>333</v>
      </c>
      <c r="C3770" s="137">
        <v>25</v>
      </c>
      <c r="D3770" s="196">
        <v>1203238.676647</v>
      </c>
      <c r="E3770" s="137">
        <v>1</v>
      </c>
      <c r="F3770" s="196">
        <v>69112.958562999993</v>
      </c>
      <c r="G3770" s="137" t="s">
        <v>335</v>
      </c>
      <c r="H3770" s="79">
        <f t="shared" si="544"/>
        <v>5.743910988266545E-2</v>
      </c>
    </row>
    <row r="3771" spans="1:16" x14ac:dyDescent="0.25">
      <c r="A3771" s="137" t="s">
        <v>1587</v>
      </c>
      <c r="B3771" s="137" t="s">
        <v>333</v>
      </c>
      <c r="C3771" s="137">
        <v>25</v>
      </c>
      <c r="D3771" s="196">
        <v>1695113.1683439999</v>
      </c>
      <c r="E3771" s="137">
        <v>1</v>
      </c>
      <c r="F3771" s="196">
        <v>76335.989906999996</v>
      </c>
      <c r="G3771" s="137" t="s">
        <v>335</v>
      </c>
      <c r="H3771" s="79">
        <f t="shared" si="544"/>
        <v>4.5032975575061224E-2</v>
      </c>
    </row>
    <row r="3772" spans="1:16" x14ac:dyDescent="0.25">
      <c r="A3772" s="137" t="s">
        <v>1588</v>
      </c>
      <c r="B3772" s="137" t="s">
        <v>333</v>
      </c>
      <c r="C3772" s="137">
        <v>25</v>
      </c>
      <c r="D3772" s="196">
        <v>2514695.6077350001</v>
      </c>
      <c r="E3772" s="137">
        <v>1</v>
      </c>
      <c r="F3772" s="196">
        <v>172550.47304400001</v>
      </c>
      <c r="G3772" s="137" t="s">
        <v>335</v>
      </c>
      <c r="H3772" s="79">
        <f t="shared" si="544"/>
        <v>6.8616842735657047E-2</v>
      </c>
    </row>
    <row r="3773" spans="1:16" x14ac:dyDescent="0.25">
      <c r="A3773" s="137" t="s">
        <v>1589</v>
      </c>
      <c r="B3773" s="137" t="s">
        <v>333</v>
      </c>
      <c r="C3773" s="137">
        <v>25</v>
      </c>
      <c r="D3773" s="196">
        <v>2644223.8690490001</v>
      </c>
      <c r="E3773" s="137">
        <v>1</v>
      </c>
      <c r="F3773" s="196">
        <v>148941.219083</v>
      </c>
      <c r="G3773" s="137" t="s">
        <v>335</v>
      </c>
      <c r="H3773" s="79">
        <f t="shared" si="544"/>
        <v>5.6327008021664592E-2</v>
      </c>
    </row>
    <row r="3774" spans="1:16" x14ac:dyDescent="0.25">
      <c r="A3774" s="137" t="s">
        <v>1590</v>
      </c>
      <c r="B3774" s="137" t="s">
        <v>333</v>
      </c>
      <c r="C3774" s="137">
        <v>25</v>
      </c>
      <c r="D3774" s="196">
        <v>3139258.9000499998</v>
      </c>
      <c r="E3774" s="137">
        <v>1</v>
      </c>
      <c r="F3774" s="196">
        <v>202678.135997</v>
      </c>
      <c r="G3774" s="137" t="s">
        <v>335</v>
      </c>
      <c r="H3774" s="79">
        <f t="shared" si="544"/>
        <v>6.4562415031704429E-2</v>
      </c>
    </row>
    <row r="3776" spans="1:16" ht="20" thickBot="1" x14ac:dyDescent="0.3">
      <c r="A3776" s="137" t="s">
        <v>163</v>
      </c>
      <c r="B3776" s="137"/>
      <c r="C3776" s="137"/>
      <c r="D3776" s="196"/>
      <c r="E3776" s="137"/>
      <c r="F3776" s="196"/>
      <c r="G3776" s="137"/>
    </row>
    <row r="3777" spans="1:16" x14ac:dyDescent="0.25">
      <c r="A3777" s="137" t="s">
        <v>2</v>
      </c>
      <c r="B3777" s="137" t="s">
        <v>3</v>
      </c>
      <c r="C3777" s="137" t="s">
        <v>504</v>
      </c>
      <c r="D3777" s="196" t="s">
        <v>5</v>
      </c>
      <c r="E3777" s="137" t="s">
        <v>1247</v>
      </c>
      <c r="F3777" s="196" t="s">
        <v>505</v>
      </c>
      <c r="G3777" s="137" t="s">
        <v>506</v>
      </c>
      <c r="J3777" s="5" t="str">
        <f>A3776</f>
        <v>map5</v>
      </c>
      <c r="K3777" s="72" t="s">
        <v>340</v>
      </c>
      <c r="L3777" s="72" t="s">
        <v>341</v>
      </c>
      <c r="M3777" s="17" t="s">
        <v>162</v>
      </c>
      <c r="N3777" s="72" t="s">
        <v>342</v>
      </c>
      <c r="O3777" s="17" t="s">
        <v>162</v>
      </c>
      <c r="P3777" s="87" t="s">
        <v>1245</v>
      </c>
    </row>
    <row r="3778" spans="1:16" x14ac:dyDescent="0.25">
      <c r="A3778" s="137" t="s">
        <v>1591</v>
      </c>
      <c r="B3778" s="137" t="s">
        <v>333</v>
      </c>
      <c r="C3778" s="137">
        <v>25</v>
      </c>
      <c r="D3778" s="196">
        <v>2905.0744930000001</v>
      </c>
      <c r="E3778" s="137">
        <v>1</v>
      </c>
      <c r="F3778" s="196">
        <v>72.477131999999997</v>
      </c>
      <c r="G3778" s="137" t="s">
        <v>335</v>
      </c>
      <c r="H3778" s="79">
        <f t="shared" ref="H3778:H3792" si="548">F3778/D3778</f>
        <v>2.4948459041115541E-2</v>
      </c>
      <c r="J3778" s="6">
        <v>100</v>
      </c>
      <c r="K3778" s="119">
        <f>D3778</f>
        <v>2905.0744930000001</v>
      </c>
      <c r="L3778" s="119">
        <f>D3779</f>
        <v>3809.6844289999999</v>
      </c>
      <c r="M3778" s="18">
        <f>(K3778-L3778)/K3778</f>
        <v>-0.31138958335826739</v>
      </c>
      <c r="N3778" s="73">
        <f>D3780</f>
        <v>4709.1243599999998</v>
      </c>
      <c r="O3778" s="18">
        <f>(K3778-N3778)/K3778</f>
        <v>-0.62099952044155715</v>
      </c>
      <c r="P3778" s="22">
        <f>(L3778-N3778)/L3778</f>
        <v>-0.2360930275886638</v>
      </c>
    </row>
    <row r="3779" spans="1:16" x14ac:dyDescent="0.25">
      <c r="A3779" s="137" t="s">
        <v>1592</v>
      </c>
      <c r="B3779" s="137" t="s">
        <v>333</v>
      </c>
      <c r="C3779" s="137">
        <v>25</v>
      </c>
      <c r="D3779" s="196">
        <v>3809.6844289999999</v>
      </c>
      <c r="E3779" s="137">
        <v>1</v>
      </c>
      <c r="F3779" s="196">
        <v>102.42377399999999</v>
      </c>
      <c r="G3779" s="137" t="s">
        <v>335</v>
      </c>
      <c r="H3779" s="79">
        <f t="shared" si="548"/>
        <v>2.6885107128646113E-2</v>
      </c>
      <c r="J3779" s="6">
        <v>1000</v>
      </c>
      <c r="K3779" s="119">
        <f>D3781</f>
        <v>34222.919470000001</v>
      </c>
      <c r="L3779" s="119">
        <f>D3782</f>
        <v>40587.910999</v>
      </c>
      <c r="M3779" s="18">
        <f t="shared" ref="M3779:M3782" si="549">(K3779-L3779)/K3779</f>
        <v>-0.18598622290478711</v>
      </c>
      <c r="N3779" s="73">
        <f>D3783</f>
        <v>49403.410735999998</v>
      </c>
      <c r="O3779" s="18">
        <f t="shared" ref="O3779:O3782" si="550">(K3779-N3779)/K3779</f>
        <v>-0.44357674625939786</v>
      </c>
      <c r="P3779" s="22">
        <f t="shared" ref="P3779:P3782" si="551">(L3779-N3779)/L3779</f>
        <v>-0.21719520714473808</v>
      </c>
    </row>
    <row r="3780" spans="1:16" x14ac:dyDescent="0.25">
      <c r="A3780" s="137" t="s">
        <v>1593</v>
      </c>
      <c r="B3780" s="137" t="s">
        <v>333</v>
      </c>
      <c r="C3780" s="137">
        <v>25</v>
      </c>
      <c r="D3780" s="196">
        <v>4709.1243599999998</v>
      </c>
      <c r="E3780" s="137">
        <v>1</v>
      </c>
      <c r="F3780" s="196">
        <v>288.37044300000002</v>
      </c>
      <c r="G3780" s="137" t="s">
        <v>335</v>
      </c>
      <c r="H3780" s="79">
        <f t="shared" si="548"/>
        <v>6.1236531668065787E-2</v>
      </c>
      <c r="J3780" s="6">
        <v>10000</v>
      </c>
      <c r="K3780" s="119">
        <f>D3784</f>
        <v>290541.51453500002</v>
      </c>
      <c r="L3780" s="119">
        <f>D3785</f>
        <v>375164.07777700003</v>
      </c>
      <c r="M3780" s="18">
        <f t="shared" si="549"/>
        <v>-0.29125807847954194</v>
      </c>
      <c r="N3780" s="73">
        <f>D3786</f>
        <v>534746.13440900005</v>
      </c>
      <c r="O3780" s="18">
        <f t="shared" si="550"/>
        <v>-0.84051540883869791</v>
      </c>
      <c r="P3780" s="22">
        <f t="shared" si="551"/>
        <v>-0.4253660360490501</v>
      </c>
    </row>
    <row r="3781" spans="1:16" x14ac:dyDescent="0.25">
      <c r="A3781" s="137" t="s">
        <v>1594</v>
      </c>
      <c r="B3781" s="137" t="s">
        <v>333</v>
      </c>
      <c r="C3781" s="137">
        <v>25</v>
      </c>
      <c r="D3781" s="196">
        <v>34222.919470000001</v>
      </c>
      <c r="E3781" s="137">
        <v>1</v>
      </c>
      <c r="F3781" s="196">
        <v>930.84790199999998</v>
      </c>
      <c r="G3781" s="137" t="s">
        <v>335</v>
      </c>
      <c r="H3781" s="79">
        <f t="shared" si="548"/>
        <v>2.7199546865543905E-2</v>
      </c>
      <c r="J3781" s="6">
        <v>50000</v>
      </c>
      <c r="K3781" s="119">
        <f>D3787</f>
        <v>1819715.418936</v>
      </c>
      <c r="L3781" s="119">
        <v>2103401</v>
      </c>
      <c r="M3781" s="18">
        <f t="shared" si="549"/>
        <v>-0.15589557472116872</v>
      </c>
      <c r="N3781" s="73">
        <f>D3789</f>
        <v>2499326.5775020001</v>
      </c>
      <c r="O3781" s="18">
        <f t="shared" si="550"/>
        <v>-0.37347112163470786</v>
      </c>
      <c r="P3781" s="22">
        <f t="shared" si="551"/>
        <v>-0.18823114446650932</v>
      </c>
    </row>
    <row r="3782" spans="1:16" ht="20" thickBot="1" x14ac:dyDescent="0.3">
      <c r="A3782" s="137" t="s">
        <v>1595</v>
      </c>
      <c r="B3782" s="137" t="s">
        <v>333</v>
      </c>
      <c r="C3782" s="137">
        <v>25</v>
      </c>
      <c r="D3782" s="196">
        <v>40587.910999</v>
      </c>
      <c r="E3782" s="137">
        <v>1</v>
      </c>
      <c r="F3782" s="196">
        <v>1268.115941</v>
      </c>
      <c r="G3782" s="137" t="s">
        <v>335</v>
      </c>
      <c r="H3782" s="79">
        <f t="shared" si="548"/>
        <v>3.1243685860827961E-2</v>
      </c>
      <c r="J3782" s="7">
        <v>100000</v>
      </c>
      <c r="K3782" s="120">
        <f>D3790</f>
        <v>3469183.5155270002</v>
      </c>
      <c r="L3782" s="120">
        <f>D3791</f>
        <v>3952660.065889</v>
      </c>
      <c r="M3782" s="19">
        <f t="shared" si="549"/>
        <v>-0.13936320987290157</v>
      </c>
      <c r="N3782" s="162">
        <f>D3792</f>
        <v>5135325.574887</v>
      </c>
      <c r="O3782" s="19">
        <f t="shared" si="550"/>
        <v>-0.48026921951602142</v>
      </c>
      <c r="P3782" s="23">
        <f t="shared" si="551"/>
        <v>-0.29920749300054078</v>
      </c>
    </row>
    <row r="3783" spans="1:16" x14ac:dyDescent="0.25">
      <c r="A3783" s="137" t="s">
        <v>1596</v>
      </c>
      <c r="B3783" s="137" t="s">
        <v>333</v>
      </c>
      <c r="C3783" s="137">
        <v>25</v>
      </c>
      <c r="D3783" s="196">
        <v>49403.410735999998</v>
      </c>
      <c r="E3783" s="137">
        <v>1</v>
      </c>
      <c r="F3783" s="196">
        <v>2401.0174550000002</v>
      </c>
      <c r="G3783" s="137" t="s">
        <v>335</v>
      </c>
      <c r="H3783" s="79">
        <f t="shared" si="548"/>
        <v>4.8600236688727073E-2</v>
      </c>
    </row>
    <row r="3784" spans="1:16" x14ac:dyDescent="0.25">
      <c r="A3784" s="137" t="s">
        <v>1597</v>
      </c>
      <c r="B3784" s="137" t="s">
        <v>333</v>
      </c>
      <c r="C3784" s="137">
        <v>25</v>
      </c>
      <c r="D3784" s="196">
        <v>290541.51453500002</v>
      </c>
      <c r="E3784" s="137">
        <v>1</v>
      </c>
      <c r="F3784" s="196">
        <v>8738.4163169999993</v>
      </c>
      <c r="G3784" s="137" t="s">
        <v>335</v>
      </c>
      <c r="H3784" s="79">
        <f t="shared" si="548"/>
        <v>3.0076308822804487E-2</v>
      </c>
    </row>
    <row r="3785" spans="1:16" x14ac:dyDescent="0.25">
      <c r="A3785" s="137" t="s">
        <v>1598</v>
      </c>
      <c r="B3785" s="137" t="s">
        <v>333</v>
      </c>
      <c r="C3785" s="137">
        <v>25</v>
      </c>
      <c r="D3785" s="196">
        <v>375164.07777700003</v>
      </c>
      <c r="E3785" s="137">
        <v>1</v>
      </c>
      <c r="F3785" s="196">
        <v>18549.687988999998</v>
      </c>
      <c r="G3785" s="137" t="s">
        <v>335</v>
      </c>
      <c r="H3785" s="79">
        <f t="shared" si="548"/>
        <v>4.9444200785198983E-2</v>
      </c>
    </row>
    <row r="3786" spans="1:16" x14ac:dyDescent="0.25">
      <c r="A3786" s="137" t="s">
        <v>1599</v>
      </c>
      <c r="B3786" s="137" t="s">
        <v>333</v>
      </c>
      <c r="C3786" s="137">
        <v>25</v>
      </c>
      <c r="D3786" s="196">
        <v>534746.13440900005</v>
      </c>
      <c r="E3786" s="137">
        <v>1</v>
      </c>
      <c r="F3786" s="196">
        <v>36943.852234999998</v>
      </c>
      <c r="G3786" s="137" t="s">
        <v>335</v>
      </c>
      <c r="H3786" s="79">
        <f t="shared" si="548"/>
        <v>6.908671210093037E-2</v>
      </c>
    </row>
    <row r="3787" spans="1:16" x14ac:dyDescent="0.25">
      <c r="A3787" s="137" t="s">
        <v>1600</v>
      </c>
      <c r="B3787" s="137" t="s">
        <v>333</v>
      </c>
      <c r="C3787" s="137">
        <v>25</v>
      </c>
      <c r="D3787" s="196">
        <v>1819715.418936</v>
      </c>
      <c r="E3787" s="137">
        <v>1</v>
      </c>
      <c r="F3787" s="196">
        <v>95834.158209000001</v>
      </c>
      <c r="G3787" s="137" t="s">
        <v>335</v>
      </c>
      <c r="H3787" s="79">
        <f t="shared" si="548"/>
        <v>5.266436565396302E-2</v>
      </c>
    </row>
    <row r="3788" spans="1:16" x14ac:dyDescent="0.25">
      <c r="A3788" s="137" t="s">
        <v>1601</v>
      </c>
      <c r="B3788" s="137" t="s">
        <v>333</v>
      </c>
      <c r="C3788" s="137">
        <v>25</v>
      </c>
      <c r="D3788" s="196">
        <v>1894837.7277480001</v>
      </c>
      <c r="E3788" s="137">
        <v>1</v>
      </c>
      <c r="F3788" s="196">
        <v>59050.337191999999</v>
      </c>
      <c r="G3788" s="137" t="s">
        <v>335</v>
      </c>
      <c r="H3788" s="79">
        <f t="shared" si="548"/>
        <v>3.1163796417638816E-2</v>
      </c>
    </row>
    <row r="3789" spans="1:16" x14ac:dyDescent="0.25">
      <c r="A3789" s="137" t="s">
        <v>1602</v>
      </c>
      <c r="B3789" s="137" t="s">
        <v>333</v>
      </c>
      <c r="C3789" s="137">
        <v>25</v>
      </c>
      <c r="D3789" s="196">
        <v>2499326.5775020001</v>
      </c>
      <c r="E3789" s="137">
        <v>1</v>
      </c>
      <c r="F3789" s="196">
        <v>102927.68428099999</v>
      </c>
      <c r="G3789" s="137" t="s">
        <v>335</v>
      </c>
      <c r="H3789" s="79">
        <f t="shared" si="548"/>
        <v>4.118216691148583E-2</v>
      </c>
    </row>
    <row r="3790" spans="1:16" x14ac:dyDescent="0.25">
      <c r="A3790" s="137" t="s">
        <v>1603</v>
      </c>
      <c r="B3790" s="137" t="s">
        <v>333</v>
      </c>
      <c r="C3790" s="137">
        <v>25</v>
      </c>
      <c r="D3790" s="196">
        <v>3469183.5155270002</v>
      </c>
      <c r="E3790" s="137">
        <v>1</v>
      </c>
      <c r="F3790" s="196">
        <v>156742.42079199999</v>
      </c>
      <c r="G3790" s="137" t="s">
        <v>335</v>
      </c>
      <c r="H3790" s="79">
        <f t="shared" si="548"/>
        <v>4.5181357541470214E-2</v>
      </c>
    </row>
    <row r="3791" spans="1:16" x14ac:dyDescent="0.25">
      <c r="A3791" s="137" t="s">
        <v>1604</v>
      </c>
      <c r="B3791" s="137" t="s">
        <v>333</v>
      </c>
      <c r="C3791" s="137">
        <v>25</v>
      </c>
      <c r="D3791" s="196">
        <v>3952660.065889</v>
      </c>
      <c r="E3791" s="137">
        <v>1</v>
      </c>
      <c r="F3791" s="196">
        <v>118321.603066</v>
      </c>
      <c r="G3791" s="137" t="s">
        <v>335</v>
      </c>
      <c r="H3791" s="79">
        <f t="shared" si="548"/>
        <v>2.9934677177807869E-2</v>
      </c>
    </row>
    <row r="3792" spans="1:16" x14ac:dyDescent="0.25">
      <c r="A3792" s="137" t="s">
        <v>1605</v>
      </c>
      <c r="B3792" s="137" t="s">
        <v>333</v>
      </c>
      <c r="C3792" s="137">
        <v>25</v>
      </c>
      <c r="D3792" s="196">
        <v>5135325.574887</v>
      </c>
      <c r="E3792" s="137">
        <v>1</v>
      </c>
      <c r="F3792" s="196">
        <v>266502.781755</v>
      </c>
      <c r="G3792" s="137" t="s">
        <v>335</v>
      </c>
      <c r="H3792" s="79">
        <f t="shared" si="548"/>
        <v>5.1895985535613143E-2</v>
      </c>
    </row>
    <row r="3794" spans="1:16" ht="20" thickBot="1" x14ac:dyDescent="0.3">
      <c r="A3794" s="137" t="s">
        <v>161</v>
      </c>
      <c r="B3794" s="137"/>
      <c r="C3794" s="137"/>
      <c r="D3794" s="196"/>
      <c r="E3794" s="137"/>
      <c r="F3794" s="196"/>
      <c r="G3794" s="137"/>
    </row>
    <row r="3795" spans="1:16" x14ac:dyDescent="0.25">
      <c r="A3795" s="137" t="s">
        <v>2</v>
      </c>
      <c r="B3795" s="137" t="s">
        <v>3</v>
      </c>
      <c r="C3795" s="137" t="s">
        <v>504</v>
      </c>
      <c r="D3795" s="196" t="s">
        <v>5</v>
      </c>
      <c r="E3795" s="137" t="s">
        <v>1247</v>
      </c>
      <c r="F3795" s="196" t="s">
        <v>505</v>
      </c>
      <c r="G3795" s="137" t="s">
        <v>506</v>
      </c>
      <c r="J3795" s="5" t="str">
        <f>A3794</f>
        <v>map10</v>
      </c>
      <c r="K3795" s="72" t="s">
        <v>340</v>
      </c>
      <c r="L3795" s="72" t="s">
        <v>341</v>
      </c>
      <c r="M3795" s="17" t="s">
        <v>162</v>
      </c>
      <c r="N3795" s="72" t="s">
        <v>342</v>
      </c>
      <c r="O3795" s="17" t="s">
        <v>162</v>
      </c>
      <c r="P3795" s="87" t="s">
        <v>1245</v>
      </c>
    </row>
    <row r="3796" spans="1:16" x14ac:dyDescent="0.25">
      <c r="A3796" s="137" t="s">
        <v>1606</v>
      </c>
      <c r="B3796" s="137" t="s">
        <v>333</v>
      </c>
      <c r="C3796" s="137">
        <v>25</v>
      </c>
      <c r="D3796" s="196">
        <v>6192.0283840000002</v>
      </c>
      <c r="E3796" s="137">
        <v>1</v>
      </c>
      <c r="F3796" s="196">
        <v>319.24181199999998</v>
      </c>
      <c r="G3796" s="137" t="s">
        <v>335</v>
      </c>
      <c r="H3796" s="79">
        <f t="shared" ref="H3796:H3810" si="552">F3796/D3796</f>
        <v>5.1556903845097098E-2</v>
      </c>
      <c r="J3796" s="6">
        <v>100</v>
      </c>
      <c r="K3796" s="119">
        <f>D3796</f>
        <v>6192.0283840000002</v>
      </c>
      <c r="L3796" s="119">
        <f>D3797</f>
        <v>8480.1689139999999</v>
      </c>
      <c r="M3796" s="18">
        <f>(K3796-L3796)/K3796</f>
        <v>-0.36953004542299583</v>
      </c>
      <c r="N3796" s="73">
        <f>D3798</f>
        <v>11011.357156</v>
      </c>
      <c r="O3796" s="18">
        <f>(K3796-N3796)/K3796</f>
        <v>-0.77831180238982567</v>
      </c>
      <c r="P3796" s="22">
        <f>(L3796-N3796)/L3796</f>
        <v>-0.29848323396262011</v>
      </c>
    </row>
    <row r="3797" spans="1:16" x14ac:dyDescent="0.25">
      <c r="A3797" s="137" t="s">
        <v>1607</v>
      </c>
      <c r="B3797" s="137" t="s">
        <v>333</v>
      </c>
      <c r="C3797" s="137">
        <v>25</v>
      </c>
      <c r="D3797" s="196">
        <v>8480.1689139999999</v>
      </c>
      <c r="E3797" s="137">
        <v>1</v>
      </c>
      <c r="F3797" s="196">
        <v>231.83674099999999</v>
      </c>
      <c r="G3797" s="137" t="s">
        <v>335</v>
      </c>
      <c r="H3797" s="79">
        <f t="shared" si="552"/>
        <v>2.7338693763193592E-2</v>
      </c>
      <c r="J3797" s="6">
        <v>1000</v>
      </c>
      <c r="K3797" s="119">
        <f>D3799</f>
        <v>75301.622749999995</v>
      </c>
      <c r="L3797" s="119">
        <f>D3800</f>
        <v>91473.917398000005</v>
      </c>
      <c r="M3797" s="18">
        <f t="shared" ref="M3797:M3800" si="553">(K3797-L3797)/K3797</f>
        <v>-0.2147668809434789</v>
      </c>
      <c r="N3797" s="73">
        <f>D3801</f>
        <v>107022.039983</v>
      </c>
      <c r="O3797" s="18">
        <f t="shared" ref="O3797:O3800" si="554">(K3797-N3797)/K3797</f>
        <v>-0.42124480289503458</v>
      </c>
      <c r="P3797" s="22">
        <f t="shared" ref="P3797:P3800" si="555">(L3797-N3797)/L3797</f>
        <v>-0.16997328885949664</v>
      </c>
    </row>
    <row r="3798" spans="1:16" x14ac:dyDescent="0.25">
      <c r="A3798" s="137" t="s">
        <v>1608</v>
      </c>
      <c r="B3798" s="137" t="s">
        <v>333</v>
      </c>
      <c r="C3798" s="137">
        <v>25</v>
      </c>
      <c r="D3798" s="196">
        <v>11011.357156</v>
      </c>
      <c r="E3798" s="137">
        <v>1</v>
      </c>
      <c r="F3798" s="196">
        <v>479.69233500000001</v>
      </c>
      <c r="G3798" s="137" t="s">
        <v>335</v>
      </c>
      <c r="H3798" s="79">
        <f t="shared" si="552"/>
        <v>4.3563416226002578E-2</v>
      </c>
      <c r="J3798" s="6">
        <v>10000</v>
      </c>
      <c r="K3798" s="119">
        <f>D3802</f>
        <v>614537.97322199994</v>
      </c>
      <c r="L3798" s="119">
        <f>D3803</f>
        <v>843245.79326399998</v>
      </c>
      <c r="M3798" s="18">
        <f t="shared" si="553"/>
        <v>-0.37216222594495402</v>
      </c>
      <c r="N3798" s="73">
        <f>D3804</f>
        <v>1151171.2771330001</v>
      </c>
      <c r="O3798" s="18">
        <f t="shared" si="554"/>
        <v>-0.87323050371883693</v>
      </c>
      <c r="P3798" s="22">
        <f t="shared" si="555"/>
        <v>-0.36516693747987194</v>
      </c>
    </row>
    <row r="3799" spans="1:16" x14ac:dyDescent="0.25">
      <c r="A3799" s="137" t="s">
        <v>1609</v>
      </c>
      <c r="B3799" s="137" t="s">
        <v>333</v>
      </c>
      <c r="C3799" s="137">
        <v>25</v>
      </c>
      <c r="D3799" s="196">
        <v>75301.622749999995</v>
      </c>
      <c r="E3799" s="137">
        <v>1</v>
      </c>
      <c r="F3799" s="196">
        <v>2520.626299</v>
      </c>
      <c r="G3799" s="137" t="s">
        <v>335</v>
      </c>
      <c r="H3799" s="79">
        <f t="shared" si="552"/>
        <v>3.3473731467493509E-2</v>
      </c>
      <c r="J3799" s="6">
        <v>50000</v>
      </c>
      <c r="K3799" s="119">
        <f>D3805</f>
        <v>3427219.0556919998</v>
      </c>
      <c r="L3799" s="119">
        <f>D3806</f>
        <v>4403514.697811</v>
      </c>
      <c r="M3799" s="18">
        <f t="shared" si="553"/>
        <v>-0.28486525846591193</v>
      </c>
      <c r="N3799" s="73">
        <f>D3807</f>
        <v>5887389.5657019997</v>
      </c>
      <c r="O3799" s="18">
        <f t="shared" si="554"/>
        <v>-0.71783287558584719</v>
      </c>
      <c r="P3799" s="22">
        <f t="shared" si="555"/>
        <v>-0.33697511413522435</v>
      </c>
    </row>
    <row r="3800" spans="1:16" ht="20" thickBot="1" x14ac:dyDescent="0.3">
      <c r="A3800" s="137" t="s">
        <v>1610</v>
      </c>
      <c r="B3800" s="137" t="s">
        <v>333</v>
      </c>
      <c r="C3800" s="137">
        <v>25</v>
      </c>
      <c r="D3800" s="196">
        <v>91473.917398000005</v>
      </c>
      <c r="E3800" s="137">
        <v>1</v>
      </c>
      <c r="F3800" s="196">
        <v>3031.8762929999998</v>
      </c>
      <c r="G3800" s="137" t="s">
        <v>335</v>
      </c>
      <c r="H3800" s="79">
        <f t="shared" si="552"/>
        <v>3.3144708122736295E-2</v>
      </c>
      <c r="J3800" s="7">
        <v>100000</v>
      </c>
      <c r="K3800" s="120">
        <f>D3808</f>
        <v>7465281.105126</v>
      </c>
      <c r="L3800" s="120">
        <f>D3809</f>
        <v>9815934.9042220004</v>
      </c>
      <c r="M3800" s="19">
        <f t="shared" si="553"/>
        <v>-0.31487813599971942</v>
      </c>
      <c r="N3800" s="162">
        <f>D3810</f>
        <v>11558141.320506999</v>
      </c>
      <c r="O3800" s="19">
        <f t="shared" si="554"/>
        <v>-0.54825265890800234</v>
      </c>
      <c r="P3800" s="23">
        <f t="shared" si="555"/>
        <v>-0.17748756825349832</v>
      </c>
    </row>
    <row r="3801" spans="1:16" x14ac:dyDescent="0.25">
      <c r="A3801" s="137" t="s">
        <v>1611</v>
      </c>
      <c r="B3801" s="137" t="s">
        <v>333</v>
      </c>
      <c r="C3801" s="137">
        <v>25</v>
      </c>
      <c r="D3801" s="196">
        <v>107022.039983</v>
      </c>
      <c r="E3801" s="137">
        <v>1</v>
      </c>
      <c r="F3801" s="196">
        <v>7239.7781430000005</v>
      </c>
      <c r="G3801" s="137" t="s">
        <v>335</v>
      </c>
      <c r="H3801" s="79">
        <f t="shared" si="552"/>
        <v>6.7647543853116693E-2</v>
      </c>
    </row>
    <row r="3802" spans="1:16" x14ac:dyDescent="0.25">
      <c r="A3802" s="137" t="s">
        <v>1612</v>
      </c>
      <c r="B3802" s="137" t="s">
        <v>333</v>
      </c>
      <c r="C3802" s="137">
        <v>25</v>
      </c>
      <c r="D3802" s="196">
        <v>614537.97322199994</v>
      </c>
      <c r="E3802" s="137">
        <v>1</v>
      </c>
      <c r="F3802" s="196">
        <v>20037.882795000001</v>
      </c>
      <c r="G3802" s="137" t="s">
        <v>335</v>
      </c>
      <c r="H3802" s="79">
        <f t="shared" si="552"/>
        <v>3.260641924199105E-2</v>
      </c>
    </row>
    <row r="3803" spans="1:16" x14ac:dyDescent="0.25">
      <c r="A3803" s="137" t="s">
        <v>1613</v>
      </c>
      <c r="B3803" s="137" t="s">
        <v>333</v>
      </c>
      <c r="C3803" s="137">
        <v>25</v>
      </c>
      <c r="D3803" s="196">
        <v>843245.79326399998</v>
      </c>
      <c r="E3803" s="137">
        <v>1</v>
      </c>
      <c r="F3803" s="196">
        <v>37847.305272999998</v>
      </c>
      <c r="G3803" s="137" t="s">
        <v>335</v>
      </c>
      <c r="H3803" s="79">
        <f t="shared" si="552"/>
        <v>4.4882886550198203E-2</v>
      </c>
    </row>
    <row r="3804" spans="1:16" x14ac:dyDescent="0.25">
      <c r="A3804" s="137" t="s">
        <v>1614</v>
      </c>
      <c r="B3804" s="137" t="s">
        <v>333</v>
      </c>
      <c r="C3804" s="137">
        <v>25</v>
      </c>
      <c r="D3804" s="196">
        <v>1151171.2771330001</v>
      </c>
      <c r="E3804" s="137">
        <v>1</v>
      </c>
      <c r="F3804" s="196">
        <v>64139.272319999996</v>
      </c>
      <c r="G3804" s="137" t="s">
        <v>335</v>
      </c>
      <c r="H3804" s="79">
        <f t="shared" si="552"/>
        <v>5.5716532886174237E-2</v>
      </c>
    </row>
    <row r="3805" spans="1:16" x14ac:dyDescent="0.25">
      <c r="A3805" s="137" t="s">
        <v>1615</v>
      </c>
      <c r="B3805" s="137" t="s">
        <v>333</v>
      </c>
      <c r="C3805" s="137">
        <v>25</v>
      </c>
      <c r="D3805" s="196">
        <v>3427219.0556919998</v>
      </c>
      <c r="E3805" s="137">
        <v>1</v>
      </c>
      <c r="F3805" s="196">
        <v>113290.933473</v>
      </c>
      <c r="G3805" s="137" t="s">
        <v>335</v>
      </c>
      <c r="H3805" s="79">
        <f t="shared" si="552"/>
        <v>3.3056227697159872E-2</v>
      </c>
    </row>
    <row r="3806" spans="1:16" x14ac:dyDescent="0.25">
      <c r="A3806" s="137" t="s">
        <v>1616</v>
      </c>
      <c r="B3806" s="137" t="s">
        <v>333</v>
      </c>
      <c r="C3806" s="137">
        <v>25</v>
      </c>
      <c r="D3806" s="196">
        <v>4403514.697811</v>
      </c>
      <c r="E3806" s="137">
        <v>1</v>
      </c>
      <c r="F3806" s="196">
        <v>169675.65856800001</v>
      </c>
      <c r="G3806" s="137" t="s">
        <v>335</v>
      </c>
      <c r="H3806" s="79">
        <f t="shared" si="552"/>
        <v>3.8531870610616172E-2</v>
      </c>
    </row>
    <row r="3807" spans="1:16" x14ac:dyDescent="0.25">
      <c r="A3807" s="137" t="s">
        <v>1617</v>
      </c>
      <c r="B3807" s="137" t="s">
        <v>333</v>
      </c>
      <c r="C3807" s="137">
        <v>25</v>
      </c>
      <c r="D3807" s="196">
        <v>5887389.5657019997</v>
      </c>
      <c r="E3807" s="137">
        <v>1</v>
      </c>
      <c r="F3807" s="196">
        <v>450953.13955600001</v>
      </c>
      <c r="G3807" s="137" t="s">
        <v>335</v>
      </c>
      <c r="H3807" s="79">
        <f t="shared" si="552"/>
        <v>7.6596449839688732E-2</v>
      </c>
    </row>
    <row r="3808" spans="1:16" x14ac:dyDescent="0.25">
      <c r="A3808" s="137" t="s">
        <v>1618</v>
      </c>
      <c r="B3808" s="137" t="s">
        <v>333</v>
      </c>
      <c r="C3808" s="137">
        <v>25</v>
      </c>
      <c r="D3808" s="196">
        <v>7465281.105126</v>
      </c>
      <c r="E3808" s="137">
        <v>1</v>
      </c>
      <c r="F3808" s="196">
        <v>273678.10507300001</v>
      </c>
      <c r="G3808" s="137" t="s">
        <v>335</v>
      </c>
      <c r="H3808" s="79">
        <f t="shared" si="552"/>
        <v>3.6660120525813855E-2</v>
      </c>
    </row>
    <row r="3809" spans="1:16" x14ac:dyDescent="0.25">
      <c r="A3809" s="137" t="s">
        <v>1619</v>
      </c>
      <c r="B3809" s="137" t="s">
        <v>333</v>
      </c>
      <c r="C3809" s="137">
        <v>25</v>
      </c>
      <c r="D3809" s="196">
        <v>9815934.9042220004</v>
      </c>
      <c r="E3809" s="137">
        <v>1</v>
      </c>
      <c r="F3809" s="196">
        <v>432123.41867899999</v>
      </c>
      <c r="G3809" s="137" t="s">
        <v>335</v>
      </c>
      <c r="H3809" s="79">
        <f t="shared" si="552"/>
        <v>4.4022645106696498E-2</v>
      </c>
    </row>
    <row r="3810" spans="1:16" x14ac:dyDescent="0.25">
      <c r="A3810" s="137" t="s">
        <v>1620</v>
      </c>
      <c r="B3810" s="137" t="s">
        <v>333</v>
      </c>
      <c r="C3810" s="137">
        <v>25</v>
      </c>
      <c r="D3810" s="196">
        <v>11558141.320506999</v>
      </c>
      <c r="E3810" s="137">
        <v>1</v>
      </c>
      <c r="F3810" s="196">
        <v>703050.60202300001</v>
      </c>
      <c r="G3810" s="137" t="s">
        <v>335</v>
      </c>
      <c r="H3810" s="79">
        <f t="shared" si="552"/>
        <v>6.0827306270742204E-2</v>
      </c>
    </row>
    <row r="3812" spans="1:16" ht="20" thickBot="1" x14ac:dyDescent="0.3">
      <c r="A3812" s="137" t="s">
        <v>1621</v>
      </c>
      <c r="B3812" s="137"/>
      <c r="C3812" s="137"/>
      <c r="D3812" s="196"/>
      <c r="E3812" s="137"/>
      <c r="F3812" s="196"/>
      <c r="G3812" s="137"/>
    </row>
    <row r="3813" spans="1:16" x14ac:dyDescent="0.25">
      <c r="A3813" s="137" t="s">
        <v>2</v>
      </c>
      <c r="B3813" s="137" t="s">
        <v>3</v>
      </c>
      <c r="C3813" s="137" t="s">
        <v>504</v>
      </c>
      <c r="D3813" s="196" t="s">
        <v>5</v>
      </c>
      <c r="E3813" s="137" t="s">
        <v>1247</v>
      </c>
      <c r="F3813" s="196" t="s">
        <v>505</v>
      </c>
      <c r="G3813" s="137" t="s">
        <v>506</v>
      </c>
      <c r="J3813" s="5" t="str">
        <f>A3812</f>
        <v>middle2</v>
      </c>
      <c r="K3813" s="72" t="s">
        <v>340</v>
      </c>
      <c r="L3813" s="72" t="s">
        <v>341</v>
      </c>
      <c r="M3813" s="17" t="s">
        <v>162</v>
      </c>
      <c r="N3813" s="72" t="s">
        <v>342</v>
      </c>
      <c r="O3813" s="21" t="s">
        <v>162</v>
      </c>
      <c r="P3813" s="150" t="s">
        <v>1245</v>
      </c>
    </row>
    <row r="3814" spans="1:16" x14ac:dyDescent="0.25">
      <c r="A3814" s="137" t="s">
        <v>1622</v>
      </c>
      <c r="B3814" s="137" t="s">
        <v>333</v>
      </c>
      <c r="C3814" s="137">
        <v>25</v>
      </c>
      <c r="D3814" s="196">
        <v>4583.7006709999996</v>
      </c>
      <c r="E3814" s="137">
        <v>1</v>
      </c>
      <c r="F3814" s="196">
        <v>145.142842</v>
      </c>
      <c r="G3814" s="137" t="s">
        <v>335</v>
      </c>
      <c r="H3814" s="79">
        <f t="shared" ref="H3814:H3828" si="556">F3814/D3814</f>
        <v>3.1664991328575351E-2</v>
      </c>
      <c r="J3814" s="6">
        <v>100</v>
      </c>
      <c r="K3814" s="119">
        <f>D3814</f>
        <v>4583.7006709999996</v>
      </c>
      <c r="L3814" s="119">
        <f>D3815</f>
        <v>4704.0060320000002</v>
      </c>
      <c r="M3814" s="18">
        <f>(K3814-L3814)/K3814</f>
        <v>-2.6246338850428097E-2</v>
      </c>
      <c r="N3814" s="73">
        <f>D3816</f>
        <v>5665.4480249999997</v>
      </c>
      <c r="O3814" s="22">
        <f>(K3814-N3814)/K3814</f>
        <v>-0.23599869006367763</v>
      </c>
      <c r="P3814" s="151">
        <f>(L3814-N3814)/L3814</f>
        <v>-0.20438791669474615</v>
      </c>
    </row>
    <row r="3815" spans="1:16" x14ac:dyDescent="0.25">
      <c r="A3815" s="137" t="s">
        <v>1623</v>
      </c>
      <c r="B3815" s="137" t="s">
        <v>333</v>
      </c>
      <c r="C3815" s="137">
        <v>25</v>
      </c>
      <c r="D3815" s="196">
        <v>4704.0060320000002</v>
      </c>
      <c r="E3815" s="137">
        <v>1</v>
      </c>
      <c r="F3815" s="196">
        <v>166.073859</v>
      </c>
      <c r="G3815" s="137" t="s">
        <v>335</v>
      </c>
      <c r="H3815" s="79">
        <f t="shared" si="556"/>
        <v>3.5304771692520651E-2</v>
      </c>
      <c r="J3815" s="6">
        <v>1000</v>
      </c>
      <c r="K3815" s="119">
        <f>D3817</f>
        <v>60481.153313000003</v>
      </c>
      <c r="L3815" s="119">
        <f>D3818</f>
        <v>63604.614225999998</v>
      </c>
      <c r="M3815" s="18">
        <f t="shared" ref="M3815:M3818" si="557">(K3815-L3815)/K3815</f>
        <v>-5.1643540870253697E-2</v>
      </c>
      <c r="N3815" s="73">
        <f>D3819</f>
        <v>76145.455593000006</v>
      </c>
      <c r="O3815" s="22">
        <f t="shared" ref="O3815:O3818" si="558">(K3815-N3815)/K3815</f>
        <v>-0.25899476815421557</v>
      </c>
      <c r="P3815" s="151">
        <f t="shared" ref="P3815:P3818" si="559">(L3815-N3815)/L3815</f>
        <v>-0.19716873562725928</v>
      </c>
    </row>
    <row r="3816" spans="1:16" x14ac:dyDescent="0.25">
      <c r="A3816" s="137" t="s">
        <v>1624</v>
      </c>
      <c r="B3816" s="137" t="s">
        <v>333</v>
      </c>
      <c r="C3816" s="137">
        <v>25</v>
      </c>
      <c r="D3816" s="196">
        <v>5665.4480249999997</v>
      </c>
      <c r="E3816" s="137">
        <v>1</v>
      </c>
      <c r="F3816" s="196">
        <v>240.80195000000001</v>
      </c>
      <c r="G3816" s="137" t="s">
        <v>335</v>
      </c>
      <c r="H3816" s="79">
        <f t="shared" si="556"/>
        <v>4.2503602351907553E-2</v>
      </c>
      <c r="J3816" s="6">
        <v>10000</v>
      </c>
      <c r="K3816" s="119">
        <f>D3820</f>
        <v>683430.14150799997</v>
      </c>
      <c r="L3816" s="119">
        <f>D3821</f>
        <v>709308.18256900006</v>
      </c>
      <c r="M3816" s="18">
        <f t="shared" si="557"/>
        <v>-3.7864939646793681E-2</v>
      </c>
      <c r="N3816" s="73">
        <f>D3822</f>
        <v>798942.05297700001</v>
      </c>
      <c r="O3816" s="22">
        <f t="shared" si="558"/>
        <v>-0.16901787681491642</v>
      </c>
      <c r="P3816" s="151">
        <f t="shared" si="559"/>
        <v>-0.12636801972784314</v>
      </c>
    </row>
    <row r="3817" spans="1:16" x14ac:dyDescent="0.25">
      <c r="A3817" s="137" t="s">
        <v>1625</v>
      </c>
      <c r="B3817" s="137" t="s">
        <v>333</v>
      </c>
      <c r="C3817" s="137">
        <v>25</v>
      </c>
      <c r="D3817" s="196">
        <v>60481.153313000003</v>
      </c>
      <c r="E3817" s="137">
        <v>1</v>
      </c>
      <c r="F3817" s="196">
        <v>2054.2571619999999</v>
      </c>
      <c r="G3817" s="137" t="s">
        <v>335</v>
      </c>
      <c r="H3817" s="79">
        <f t="shared" si="556"/>
        <v>3.3965244534423449E-2</v>
      </c>
      <c r="J3817" s="6">
        <v>50000</v>
      </c>
      <c r="K3817" s="119">
        <f>D3823</f>
        <v>3752294.9114930001</v>
      </c>
      <c r="L3817" s="119">
        <f>D3824</f>
        <v>3663141.4205789999</v>
      </c>
      <c r="M3817" s="18">
        <f t="shared" si="557"/>
        <v>2.3759723853508871E-2</v>
      </c>
      <c r="N3817" s="73">
        <f>D3825</f>
        <v>4190252.49492</v>
      </c>
      <c r="O3817" s="22">
        <f t="shared" si="558"/>
        <v>-0.11671726070506036</v>
      </c>
      <c r="P3817" s="151">
        <f t="shared" si="559"/>
        <v>-0.14389591168382582</v>
      </c>
    </row>
    <row r="3818" spans="1:16" x14ac:dyDescent="0.25">
      <c r="A3818" s="137" t="s">
        <v>1626</v>
      </c>
      <c r="B3818" s="137" t="s">
        <v>333</v>
      </c>
      <c r="C3818" s="137">
        <v>25</v>
      </c>
      <c r="D3818" s="196">
        <v>63604.614225999998</v>
      </c>
      <c r="E3818" s="137">
        <v>1</v>
      </c>
      <c r="F3818" s="196">
        <v>2494.5031920000001</v>
      </c>
      <c r="G3818" s="137" t="s">
        <v>335</v>
      </c>
      <c r="H3818" s="79">
        <f t="shared" si="556"/>
        <v>3.9218902942112471E-2</v>
      </c>
      <c r="J3818" s="6">
        <v>100000</v>
      </c>
      <c r="K3818" s="119">
        <f>D3826</f>
        <v>7073775.7116360003</v>
      </c>
      <c r="L3818" s="119">
        <f>D3827</f>
        <v>6941934.0204469999</v>
      </c>
      <c r="M3818" s="18">
        <f t="shared" si="557"/>
        <v>1.8638093228221461E-2</v>
      </c>
      <c r="N3818" s="158">
        <f>D3828</f>
        <v>7963089.7926350003</v>
      </c>
      <c r="O3818" s="22">
        <f t="shared" si="558"/>
        <v>-0.1257198584252712</v>
      </c>
      <c r="P3818" s="151">
        <f t="shared" si="559"/>
        <v>-0.14709960785859599</v>
      </c>
    </row>
    <row r="3819" spans="1:16" x14ac:dyDescent="0.25">
      <c r="A3819" s="137" t="s">
        <v>1627</v>
      </c>
      <c r="B3819" s="137" t="s">
        <v>333</v>
      </c>
      <c r="C3819" s="137">
        <v>25</v>
      </c>
      <c r="D3819" s="196">
        <v>76145.455593000006</v>
      </c>
      <c r="E3819" s="137">
        <v>1</v>
      </c>
      <c r="F3819" s="196">
        <v>4279.8435710000003</v>
      </c>
      <c r="G3819" s="137" t="s">
        <v>335</v>
      </c>
      <c r="H3819" s="79">
        <f t="shared" si="556"/>
        <v>5.6206158826810446E-2</v>
      </c>
    </row>
    <row r="3820" spans="1:16" x14ac:dyDescent="0.25">
      <c r="A3820" s="137" t="s">
        <v>1628</v>
      </c>
      <c r="B3820" s="137" t="s">
        <v>333</v>
      </c>
      <c r="C3820" s="137">
        <v>25</v>
      </c>
      <c r="D3820" s="196">
        <v>683430.14150799997</v>
      </c>
      <c r="E3820" s="137">
        <v>1</v>
      </c>
      <c r="F3820" s="196">
        <v>15159.141158</v>
      </c>
      <c r="G3820" s="137" t="s">
        <v>335</v>
      </c>
      <c r="H3820" s="79">
        <f t="shared" si="556"/>
        <v>2.2180966623086162E-2</v>
      </c>
    </row>
    <row r="3821" spans="1:16" x14ac:dyDescent="0.25">
      <c r="A3821" s="137" t="s">
        <v>1629</v>
      </c>
      <c r="B3821" s="137" t="s">
        <v>333</v>
      </c>
      <c r="C3821" s="137">
        <v>25</v>
      </c>
      <c r="D3821" s="196">
        <v>709308.18256900006</v>
      </c>
      <c r="E3821" s="137">
        <v>1</v>
      </c>
      <c r="F3821" s="196">
        <v>12201.653214</v>
      </c>
      <c r="G3821" s="137" t="s">
        <v>335</v>
      </c>
      <c r="H3821" s="79">
        <f t="shared" si="556"/>
        <v>1.7202188715499625E-2</v>
      </c>
    </row>
    <row r="3822" spans="1:16" x14ac:dyDescent="0.25">
      <c r="A3822" s="137" t="s">
        <v>1630</v>
      </c>
      <c r="B3822" s="137" t="s">
        <v>333</v>
      </c>
      <c r="C3822" s="137">
        <v>25</v>
      </c>
      <c r="D3822" s="196">
        <v>798942.05297700001</v>
      </c>
      <c r="E3822" s="137">
        <v>1</v>
      </c>
      <c r="F3822" s="196">
        <v>24736.11505</v>
      </c>
      <c r="G3822" s="137" t="s">
        <v>335</v>
      </c>
      <c r="H3822" s="79">
        <f t="shared" si="556"/>
        <v>3.0961087800834668E-2</v>
      </c>
    </row>
    <row r="3823" spans="1:16" x14ac:dyDescent="0.25">
      <c r="A3823" s="137" t="s">
        <v>1631</v>
      </c>
      <c r="B3823" s="137" t="s">
        <v>333</v>
      </c>
      <c r="C3823" s="137">
        <v>25</v>
      </c>
      <c r="D3823" s="196">
        <v>3752294.9114930001</v>
      </c>
      <c r="E3823" s="137">
        <v>1</v>
      </c>
      <c r="F3823" s="196">
        <v>86612.644050999996</v>
      </c>
      <c r="G3823" s="137" t="s">
        <v>335</v>
      </c>
      <c r="H3823" s="79">
        <f t="shared" si="556"/>
        <v>2.3082579086657583E-2</v>
      </c>
    </row>
    <row r="3824" spans="1:16" x14ac:dyDescent="0.25">
      <c r="A3824" s="137" t="s">
        <v>1632</v>
      </c>
      <c r="B3824" s="137" t="s">
        <v>333</v>
      </c>
      <c r="C3824" s="137">
        <v>25</v>
      </c>
      <c r="D3824" s="196">
        <v>3663141.4205789999</v>
      </c>
      <c r="E3824" s="137">
        <v>1</v>
      </c>
      <c r="F3824" s="196">
        <v>128833.455373</v>
      </c>
      <c r="G3824" s="137" t="s">
        <v>335</v>
      </c>
      <c r="H3824" s="79">
        <f t="shared" si="556"/>
        <v>3.5170210641945802E-2</v>
      </c>
    </row>
    <row r="3825" spans="1:16" x14ac:dyDescent="0.25">
      <c r="A3825" s="137" t="s">
        <v>1633</v>
      </c>
      <c r="B3825" s="137" t="s">
        <v>333</v>
      </c>
      <c r="C3825" s="137">
        <v>25</v>
      </c>
      <c r="D3825" s="196">
        <v>4190252.49492</v>
      </c>
      <c r="E3825" s="137">
        <v>1</v>
      </c>
      <c r="F3825" s="196">
        <v>228320.704562</v>
      </c>
      <c r="G3825" s="137" t="s">
        <v>335</v>
      </c>
      <c r="H3825" s="79">
        <f t="shared" si="556"/>
        <v>5.4488531380579512E-2</v>
      </c>
    </row>
    <row r="3826" spans="1:16" x14ac:dyDescent="0.25">
      <c r="A3826" s="137" t="s">
        <v>1634</v>
      </c>
      <c r="B3826" s="137" t="s">
        <v>333</v>
      </c>
      <c r="C3826" s="137">
        <v>25</v>
      </c>
      <c r="D3826" s="196">
        <v>7073775.7116360003</v>
      </c>
      <c r="E3826" s="137">
        <v>1</v>
      </c>
      <c r="F3826" s="196">
        <v>219808.94323199999</v>
      </c>
      <c r="G3826" s="137" t="s">
        <v>335</v>
      </c>
      <c r="H3826" s="79">
        <f t="shared" si="556"/>
        <v>3.107377901032761E-2</v>
      </c>
    </row>
    <row r="3827" spans="1:16" x14ac:dyDescent="0.25">
      <c r="A3827" s="137" t="s">
        <v>1635</v>
      </c>
      <c r="B3827" s="137" t="s">
        <v>333</v>
      </c>
      <c r="C3827" s="137">
        <v>25</v>
      </c>
      <c r="D3827" s="196">
        <v>6941934.0204469999</v>
      </c>
      <c r="E3827" s="137">
        <v>1</v>
      </c>
      <c r="F3827" s="196">
        <v>145306.45366200001</v>
      </c>
      <c r="G3827" s="137" t="s">
        <v>335</v>
      </c>
      <c r="H3827" s="79">
        <f t="shared" si="556"/>
        <v>2.0931696157585139E-2</v>
      </c>
    </row>
    <row r="3828" spans="1:16" x14ac:dyDescent="0.25">
      <c r="A3828" s="137" t="s">
        <v>1636</v>
      </c>
      <c r="B3828" s="137" t="s">
        <v>333</v>
      </c>
      <c r="C3828" s="137">
        <v>25</v>
      </c>
      <c r="D3828" s="196">
        <v>7963089.7926350003</v>
      </c>
      <c r="E3828" s="137">
        <v>1</v>
      </c>
      <c r="F3828" s="196">
        <v>315525.29300100001</v>
      </c>
      <c r="G3828" s="137" t="s">
        <v>335</v>
      </c>
      <c r="H3828" s="79">
        <f t="shared" si="556"/>
        <v>3.9623475462103527E-2</v>
      </c>
    </row>
    <row r="3830" spans="1:16" ht="20" thickBot="1" x14ac:dyDescent="0.3">
      <c r="A3830" s="137" t="s">
        <v>1243</v>
      </c>
      <c r="B3830" s="137"/>
      <c r="C3830" s="137"/>
      <c r="D3830" s="196"/>
      <c r="E3830" s="137"/>
      <c r="F3830" s="196"/>
      <c r="G3830" s="137"/>
    </row>
    <row r="3831" spans="1:16" x14ac:dyDescent="0.25">
      <c r="A3831" s="137" t="s">
        <v>2</v>
      </c>
      <c r="B3831" s="137" t="s">
        <v>3</v>
      </c>
      <c r="C3831" s="137" t="s">
        <v>504</v>
      </c>
      <c r="D3831" s="196" t="s">
        <v>5</v>
      </c>
      <c r="E3831" s="137" t="s">
        <v>1247</v>
      </c>
      <c r="F3831" s="196" t="s">
        <v>505</v>
      </c>
      <c r="G3831" s="137" t="s">
        <v>506</v>
      </c>
      <c r="J3831" s="5" t="str">
        <f>A3830</f>
        <v>reality2</v>
      </c>
      <c r="K3831" s="72" t="s">
        <v>340</v>
      </c>
      <c r="L3831" s="72" t="s">
        <v>341</v>
      </c>
      <c r="M3831" s="17" t="s">
        <v>162</v>
      </c>
      <c r="N3831" s="72" t="s">
        <v>342</v>
      </c>
      <c r="O3831" s="21" t="s">
        <v>162</v>
      </c>
      <c r="P3831" s="150" t="s">
        <v>1245</v>
      </c>
    </row>
    <row r="3832" spans="1:16" x14ac:dyDescent="0.25">
      <c r="A3832" s="137" t="s">
        <v>1637</v>
      </c>
      <c r="B3832" s="137" t="s">
        <v>333</v>
      </c>
      <c r="C3832" s="137">
        <v>25</v>
      </c>
      <c r="D3832" s="196">
        <v>36528.462598999999</v>
      </c>
      <c r="E3832" s="137">
        <v>1</v>
      </c>
      <c r="F3832" s="196">
        <v>1802.9123750000001</v>
      </c>
      <c r="G3832" s="137" t="s">
        <v>335</v>
      </c>
      <c r="H3832" s="79">
        <f t="shared" ref="H3832:H3846" si="560">F3832/D3832</f>
        <v>4.9356371627021514E-2</v>
      </c>
      <c r="J3832" s="6">
        <v>100</v>
      </c>
      <c r="K3832" s="119">
        <f>D3832</f>
        <v>36528.462598999999</v>
      </c>
      <c r="L3832" s="119">
        <f>D3833</f>
        <v>42645.785055</v>
      </c>
      <c r="M3832" s="18">
        <f>(K3832-L3832)/K3832</f>
        <v>-0.16746728498142346</v>
      </c>
      <c r="N3832" s="73">
        <f>D3834</f>
        <v>51804.300864999997</v>
      </c>
      <c r="O3832" s="22">
        <f>(K3832-N3832)/K3832</f>
        <v>-0.41819001346139845</v>
      </c>
      <c r="P3832" s="151">
        <f>(L3832-N3832)/L3832</f>
        <v>-0.21475781951694212</v>
      </c>
    </row>
    <row r="3833" spans="1:16" x14ac:dyDescent="0.25">
      <c r="A3833" s="137" t="s">
        <v>1638</v>
      </c>
      <c r="B3833" s="137" t="s">
        <v>333</v>
      </c>
      <c r="C3833" s="137">
        <v>25</v>
      </c>
      <c r="D3833" s="196">
        <v>42645.785055</v>
      </c>
      <c r="E3833" s="137">
        <v>1</v>
      </c>
      <c r="F3833" s="196">
        <v>2284.8420820000001</v>
      </c>
      <c r="G3833" s="137" t="s">
        <v>335</v>
      </c>
      <c r="H3833" s="79">
        <f t="shared" si="560"/>
        <v>5.3577207666672184E-2</v>
      </c>
      <c r="J3833" s="6">
        <v>1000</v>
      </c>
      <c r="K3833" s="119">
        <f>D3835</f>
        <v>315156.47585400002</v>
      </c>
      <c r="L3833" s="119">
        <f>D3836</f>
        <v>339107.89250700001</v>
      </c>
      <c r="M3833" s="18">
        <f t="shared" ref="M3833:M3836" si="561">(K3833-L3833)/K3833</f>
        <v>-7.5998491187900488E-2</v>
      </c>
      <c r="N3833" s="73">
        <f>D3837</f>
        <v>482648.93680700002</v>
      </c>
      <c r="O3833" s="22">
        <f t="shared" ref="O3833:O3836" si="562">(K3833-N3833)/K3833</f>
        <v>-0.53145809712186554</v>
      </c>
      <c r="P3833" s="151">
        <f t="shared" ref="P3833:P3836" si="563">(L3833-N3833)/L3833</f>
        <v>-0.42329019014807207</v>
      </c>
    </row>
    <row r="3834" spans="1:16" x14ac:dyDescent="0.25">
      <c r="A3834" s="137" t="s">
        <v>1639</v>
      </c>
      <c r="B3834" s="137" t="s">
        <v>333</v>
      </c>
      <c r="C3834" s="137">
        <v>25</v>
      </c>
      <c r="D3834" s="196">
        <v>51804.300864999997</v>
      </c>
      <c r="E3834" s="137">
        <v>1</v>
      </c>
      <c r="F3834" s="196">
        <v>2233.2468060000001</v>
      </c>
      <c r="G3834" s="137" t="s">
        <v>335</v>
      </c>
      <c r="H3834" s="79">
        <f t="shared" si="560"/>
        <v>4.3109293412138788E-2</v>
      </c>
      <c r="J3834" s="6">
        <v>10000</v>
      </c>
      <c r="K3834" s="119">
        <f>D3838</f>
        <v>2301404.6139110001</v>
      </c>
      <c r="L3834" s="119">
        <v>2603214</v>
      </c>
      <c r="M3834" s="18">
        <f t="shared" si="561"/>
        <v>-0.13114138394643521</v>
      </c>
      <c r="N3834" s="73">
        <v>3206723</v>
      </c>
      <c r="O3834" s="22">
        <f t="shared" si="562"/>
        <v>-0.39337645393458415</v>
      </c>
      <c r="P3834" s="151">
        <f t="shared" si="563"/>
        <v>-0.23183226580680652</v>
      </c>
    </row>
    <row r="3835" spans="1:16" x14ac:dyDescent="0.25">
      <c r="A3835" s="137" t="s">
        <v>1640</v>
      </c>
      <c r="B3835" s="137" t="s">
        <v>333</v>
      </c>
      <c r="C3835" s="137">
        <v>25</v>
      </c>
      <c r="D3835" s="196">
        <v>315156.47585400002</v>
      </c>
      <c r="E3835" s="137">
        <v>1</v>
      </c>
      <c r="F3835" s="196">
        <v>18580.874193</v>
      </c>
      <c r="G3835" s="137" t="s">
        <v>335</v>
      </c>
      <c r="H3835" s="79">
        <f t="shared" si="560"/>
        <v>5.8957615078827734E-2</v>
      </c>
      <c r="J3835" s="6">
        <v>50000</v>
      </c>
      <c r="K3835" s="119">
        <f>D3841</f>
        <v>13968326.159274001</v>
      </c>
      <c r="L3835" s="119">
        <f>D3842</f>
        <v>14524237.144562</v>
      </c>
      <c r="M3835" s="18">
        <f t="shared" si="561"/>
        <v>-3.9797967125711292E-2</v>
      </c>
      <c r="N3835" s="73">
        <f>D3843</f>
        <v>19876539.762272</v>
      </c>
      <c r="O3835" s="22">
        <f t="shared" si="562"/>
        <v>-0.42297219692821642</v>
      </c>
      <c r="P3835" s="151">
        <f t="shared" si="563"/>
        <v>-0.36850834673364913</v>
      </c>
    </row>
    <row r="3836" spans="1:16" x14ac:dyDescent="0.25">
      <c r="A3836" s="137" t="s">
        <v>1641</v>
      </c>
      <c r="B3836" s="137" t="s">
        <v>333</v>
      </c>
      <c r="C3836" s="137">
        <v>25</v>
      </c>
      <c r="D3836" s="196">
        <v>339107.89250700001</v>
      </c>
      <c r="E3836" s="137">
        <v>1</v>
      </c>
      <c r="F3836" s="196">
        <v>9920.4744879999998</v>
      </c>
      <c r="G3836" s="137" t="s">
        <v>335</v>
      </c>
      <c r="H3836" s="79">
        <f t="shared" si="560"/>
        <v>2.9254625761313467E-2</v>
      </c>
      <c r="J3836" s="6">
        <v>100000</v>
      </c>
      <c r="K3836" s="119">
        <f>D3844</f>
        <v>34631256.343249999</v>
      </c>
      <c r="L3836" s="119">
        <f>D3845</f>
        <v>28660046.979554001</v>
      </c>
      <c r="M3836" s="18">
        <f t="shared" si="561"/>
        <v>0.17242254524386755</v>
      </c>
      <c r="N3836" s="158">
        <f>D3846</f>
        <v>41507354.523346998</v>
      </c>
      <c r="O3836" s="22">
        <f t="shared" si="562"/>
        <v>-0.19855179702243819</v>
      </c>
      <c r="P3836" s="151">
        <f t="shared" si="563"/>
        <v>-0.44826540420391603</v>
      </c>
    </row>
    <row r="3837" spans="1:16" x14ac:dyDescent="0.25">
      <c r="A3837" s="137" t="s">
        <v>1642</v>
      </c>
      <c r="B3837" s="137" t="s">
        <v>333</v>
      </c>
      <c r="C3837" s="137">
        <v>25</v>
      </c>
      <c r="D3837" s="196">
        <v>482648.93680700002</v>
      </c>
      <c r="E3837" s="137">
        <v>1</v>
      </c>
      <c r="F3837" s="196">
        <v>25507.988599</v>
      </c>
      <c r="G3837" s="137" t="s">
        <v>335</v>
      </c>
      <c r="H3837" s="79">
        <f t="shared" si="560"/>
        <v>5.2849984023066537E-2</v>
      </c>
    </row>
    <row r="3838" spans="1:16" x14ac:dyDescent="0.25">
      <c r="A3838" s="137" t="s">
        <v>1643</v>
      </c>
      <c r="B3838" s="137" t="s">
        <v>333</v>
      </c>
      <c r="C3838" s="137">
        <v>25</v>
      </c>
      <c r="D3838" s="196">
        <v>2301404.6139110001</v>
      </c>
      <c r="E3838" s="137">
        <v>1</v>
      </c>
      <c r="F3838" s="196">
        <v>119530.163732</v>
      </c>
      <c r="G3838" s="137" t="s">
        <v>335</v>
      </c>
      <c r="H3838" s="79">
        <f t="shared" si="560"/>
        <v>5.1937917830481274E-2</v>
      </c>
    </row>
    <row r="3839" spans="1:16" x14ac:dyDescent="0.25">
      <c r="A3839" s="137" t="s">
        <v>1644</v>
      </c>
      <c r="B3839" s="137" t="s">
        <v>333</v>
      </c>
      <c r="C3839" s="137">
        <v>25</v>
      </c>
      <c r="D3839" s="196">
        <v>3216278.3678830001</v>
      </c>
      <c r="E3839" s="137">
        <v>1</v>
      </c>
      <c r="F3839" s="196">
        <v>154770.904064</v>
      </c>
      <c r="G3839" s="137" t="s">
        <v>335</v>
      </c>
      <c r="H3839" s="79">
        <f t="shared" si="560"/>
        <v>4.8121115886456185E-2</v>
      </c>
    </row>
    <row r="3840" spans="1:16" x14ac:dyDescent="0.25">
      <c r="A3840" s="137" t="s">
        <v>1645</v>
      </c>
      <c r="B3840" s="137" t="s">
        <v>333</v>
      </c>
      <c r="C3840" s="137">
        <v>25</v>
      </c>
      <c r="D3840" s="196">
        <v>4375825.610878</v>
      </c>
      <c r="E3840" s="137">
        <v>1</v>
      </c>
      <c r="F3840" s="196">
        <v>195920.21854</v>
      </c>
      <c r="G3840" s="137" t="s">
        <v>335</v>
      </c>
      <c r="H3840" s="79">
        <f t="shared" si="560"/>
        <v>4.477331501807473E-2</v>
      </c>
    </row>
    <row r="3841" spans="1:16" x14ac:dyDescent="0.25">
      <c r="A3841" s="137" t="s">
        <v>1646</v>
      </c>
      <c r="B3841" s="137" t="s">
        <v>333</v>
      </c>
      <c r="C3841" s="137">
        <v>25</v>
      </c>
      <c r="D3841" s="196">
        <v>13968326.159274001</v>
      </c>
      <c r="E3841" s="137">
        <v>1</v>
      </c>
      <c r="F3841" s="196">
        <v>452519.62545300002</v>
      </c>
      <c r="G3841" s="137" t="s">
        <v>335</v>
      </c>
      <c r="H3841" s="79">
        <f t="shared" si="560"/>
        <v>3.2396123937337928E-2</v>
      </c>
    </row>
    <row r="3842" spans="1:16" x14ac:dyDescent="0.25">
      <c r="A3842" s="137" t="s">
        <v>1647</v>
      </c>
      <c r="B3842" s="137" t="s">
        <v>333</v>
      </c>
      <c r="C3842" s="137">
        <v>25</v>
      </c>
      <c r="D3842" s="196">
        <v>14524237.144562</v>
      </c>
      <c r="E3842" s="137">
        <v>1</v>
      </c>
      <c r="F3842" s="196">
        <v>669210.53402200004</v>
      </c>
      <c r="G3842" s="137" t="s">
        <v>335</v>
      </c>
      <c r="H3842" s="79">
        <f t="shared" si="560"/>
        <v>4.6075434280041225E-2</v>
      </c>
    </row>
    <row r="3843" spans="1:16" x14ac:dyDescent="0.25">
      <c r="A3843" s="137" t="s">
        <v>1648</v>
      </c>
      <c r="B3843" s="137" t="s">
        <v>333</v>
      </c>
      <c r="C3843" s="137">
        <v>25</v>
      </c>
      <c r="D3843" s="196">
        <v>19876539.762272</v>
      </c>
      <c r="E3843" s="137">
        <v>1</v>
      </c>
      <c r="F3843" s="196">
        <v>721885.76928500005</v>
      </c>
      <c r="G3843" s="137" t="s">
        <v>335</v>
      </c>
      <c r="H3843" s="79">
        <f t="shared" si="560"/>
        <v>3.6318482890831116E-2</v>
      </c>
    </row>
    <row r="3844" spans="1:16" x14ac:dyDescent="0.25">
      <c r="A3844" s="137" t="s">
        <v>1649</v>
      </c>
      <c r="B3844" s="137" t="s">
        <v>333</v>
      </c>
      <c r="C3844" s="137">
        <v>25</v>
      </c>
      <c r="D3844" s="196">
        <v>34631256.343249999</v>
      </c>
      <c r="E3844" s="137">
        <v>1</v>
      </c>
      <c r="F3844" s="196">
        <v>1536048.7855509999</v>
      </c>
      <c r="G3844" s="137" t="s">
        <v>335</v>
      </c>
      <c r="H3844" s="79">
        <f t="shared" si="560"/>
        <v>4.4354405463271393E-2</v>
      </c>
    </row>
    <row r="3845" spans="1:16" x14ac:dyDescent="0.25">
      <c r="A3845" s="137" t="s">
        <v>1650</v>
      </c>
      <c r="B3845" s="137" t="s">
        <v>333</v>
      </c>
      <c r="C3845" s="137">
        <v>25</v>
      </c>
      <c r="D3845" s="196">
        <v>28660046.979554001</v>
      </c>
      <c r="E3845" s="137">
        <v>1</v>
      </c>
      <c r="F3845" s="196">
        <v>1246684.64708</v>
      </c>
      <c r="G3845" s="137" t="s">
        <v>335</v>
      </c>
      <c r="H3845" s="79">
        <f t="shared" si="560"/>
        <v>4.3499044086333198E-2</v>
      </c>
    </row>
    <row r="3846" spans="1:16" x14ac:dyDescent="0.25">
      <c r="A3846" s="137" t="s">
        <v>1651</v>
      </c>
      <c r="B3846" s="137" t="s">
        <v>333</v>
      </c>
      <c r="C3846" s="137">
        <v>25</v>
      </c>
      <c r="D3846" s="196">
        <v>41507354.523346998</v>
      </c>
      <c r="E3846" s="137">
        <v>1</v>
      </c>
      <c r="F3846" s="196">
        <v>1614464.4419209999</v>
      </c>
      <c r="G3846" s="137" t="s">
        <v>335</v>
      </c>
      <c r="H3846" s="79">
        <f t="shared" si="560"/>
        <v>3.889586461148465E-2</v>
      </c>
    </row>
    <row r="3848" spans="1:16" ht="20" thickBot="1" x14ac:dyDescent="0.3">
      <c r="A3848" s="137" t="s">
        <v>964</v>
      </c>
      <c r="B3848" s="137"/>
      <c r="C3848" s="137"/>
      <c r="D3848" s="196"/>
      <c r="E3848" s="137"/>
      <c r="F3848" s="196"/>
      <c r="G3848" s="137"/>
    </row>
    <row r="3849" spans="1:16" x14ac:dyDescent="0.25">
      <c r="A3849" s="137" t="s">
        <v>2</v>
      </c>
      <c r="B3849" s="137" t="s">
        <v>3</v>
      </c>
      <c r="C3849" s="137" t="s">
        <v>504</v>
      </c>
      <c r="D3849" s="196" t="s">
        <v>5</v>
      </c>
      <c r="E3849" s="137" t="s">
        <v>1247</v>
      </c>
      <c r="F3849" s="196" t="s">
        <v>505</v>
      </c>
      <c r="G3849" s="137" t="s">
        <v>506</v>
      </c>
      <c r="J3849" s="5" t="str">
        <f>A3848</f>
        <v>sort2</v>
      </c>
      <c r="K3849" s="72" t="s">
        <v>340</v>
      </c>
      <c r="L3849" s="72" t="s">
        <v>341</v>
      </c>
      <c r="M3849" s="17" t="s">
        <v>162</v>
      </c>
      <c r="N3849" s="72" t="s">
        <v>342</v>
      </c>
      <c r="O3849" s="21" t="s">
        <v>162</v>
      </c>
      <c r="P3849" s="150" t="s">
        <v>1245</v>
      </c>
    </row>
    <row r="3850" spans="1:16" x14ac:dyDescent="0.25">
      <c r="A3850" s="137" t="s">
        <v>1652</v>
      </c>
      <c r="B3850" s="137" t="s">
        <v>333</v>
      </c>
      <c r="C3850" s="137">
        <v>25</v>
      </c>
      <c r="D3850" s="196">
        <v>3587.3546299999998</v>
      </c>
      <c r="E3850" s="137">
        <v>1</v>
      </c>
      <c r="F3850" s="196">
        <v>84.059768000000005</v>
      </c>
      <c r="G3850" s="137" t="s">
        <v>335</v>
      </c>
      <c r="H3850" s="79">
        <f t="shared" ref="H3850:H3864" si="564">F3850/D3850</f>
        <v>2.3432243719935769E-2</v>
      </c>
      <c r="J3850" s="6">
        <v>100</v>
      </c>
      <c r="K3850" s="119">
        <f>D3850</f>
        <v>3587.3546299999998</v>
      </c>
      <c r="L3850" s="119">
        <f>D3851</f>
        <v>4435.8320439999998</v>
      </c>
      <c r="M3850" s="18">
        <f>(K3850-L3850)/K3850</f>
        <v>-0.2365189677386314</v>
      </c>
      <c r="N3850" s="73">
        <f>D3852</f>
        <v>4192.9931420000003</v>
      </c>
      <c r="O3850" s="22">
        <f>(K3850-N3850)/K3850</f>
        <v>-0.16882593846039706</v>
      </c>
      <c r="P3850" s="151">
        <f>(L3850-N3850)/L3850</f>
        <v>5.4744836953073674E-2</v>
      </c>
    </row>
    <row r="3851" spans="1:16" x14ac:dyDescent="0.25">
      <c r="A3851" s="137" t="s">
        <v>1653</v>
      </c>
      <c r="B3851" s="137" t="s">
        <v>333</v>
      </c>
      <c r="C3851" s="137">
        <v>25</v>
      </c>
      <c r="D3851" s="196">
        <v>4435.8320439999998</v>
      </c>
      <c r="E3851" s="137">
        <v>1</v>
      </c>
      <c r="F3851" s="196">
        <v>126.176666</v>
      </c>
      <c r="G3851" s="137" t="s">
        <v>335</v>
      </c>
      <c r="H3851" s="79">
        <f t="shared" si="564"/>
        <v>2.8444870037554561E-2</v>
      </c>
      <c r="J3851" s="6">
        <v>1000</v>
      </c>
      <c r="K3851" s="119">
        <f>D3853</f>
        <v>99869.503502000007</v>
      </c>
      <c r="L3851" s="119">
        <f>D3854</f>
        <v>107220.26710899999</v>
      </c>
      <c r="M3851" s="18">
        <f t="shared" ref="M3851:M3854" si="565">(K3851-L3851)/K3851</f>
        <v>-7.3603686303024204E-2</v>
      </c>
      <c r="N3851" s="73">
        <f>D3855</f>
        <v>105528.140273</v>
      </c>
      <c r="O3851" s="22">
        <f t="shared" ref="O3851:O3854" si="566">(K3851-N3851)/K3851</f>
        <v>-5.6660307426948102E-2</v>
      </c>
      <c r="P3851" s="151">
        <f t="shared" ref="P3851:P3854" si="567">(L3851-N3851)/L3851</f>
        <v>1.5781781575677122E-2</v>
      </c>
    </row>
    <row r="3852" spans="1:16" x14ac:dyDescent="0.25">
      <c r="A3852" s="137" t="s">
        <v>1654</v>
      </c>
      <c r="B3852" s="137" t="s">
        <v>333</v>
      </c>
      <c r="C3852" s="137">
        <v>25</v>
      </c>
      <c r="D3852" s="196">
        <v>4192.9931420000003</v>
      </c>
      <c r="E3852" s="137">
        <v>1</v>
      </c>
      <c r="F3852" s="196">
        <v>204.40169499999999</v>
      </c>
      <c r="G3852" s="137" t="s">
        <v>335</v>
      </c>
      <c r="H3852" s="79">
        <f t="shared" si="564"/>
        <v>4.8748397165873536E-2</v>
      </c>
      <c r="J3852" s="6">
        <v>10000</v>
      </c>
      <c r="K3852" s="119">
        <f>D3856</f>
        <v>1426413.2983880001</v>
      </c>
      <c r="L3852" s="119">
        <f>D3857</f>
        <v>1475388.6059910001</v>
      </c>
      <c r="M3852" s="18">
        <f t="shared" si="565"/>
        <v>-3.4334584273959946E-2</v>
      </c>
      <c r="N3852" s="73">
        <f>D3858</f>
        <v>1465024.188445</v>
      </c>
      <c r="O3852" s="22">
        <f t="shared" si="566"/>
        <v>-2.7068515205680085E-2</v>
      </c>
      <c r="P3852" s="151">
        <f t="shared" si="567"/>
        <v>7.0248729751023458E-3</v>
      </c>
    </row>
    <row r="3853" spans="1:16" x14ac:dyDescent="0.25">
      <c r="A3853" s="137" t="s">
        <v>1655</v>
      </c>
      <c r="B3853" s="137" t="s">
        <v>333</v>
      </c>
      <c r="C3853" s="137">
        <v>25</v>
      </c>
      <c r="D3853" s="196">
        <v>99869.503502000007</v>
      </c>
      <c r="E3853" s="137">
        <v>1</v>
      </c>
      <c r="F3853" s="196">
        <v>2050.4135879999999</v>
      </c>
      <c r="G3853" s="137" t="s">
        <v>335</v>
      </c>
      <c r="H3853" s="79">
        <f t="shared" si="564"/>
        <v>2.0530928022075706E-2</v>
      </c>
      <c r="J3853" s="6">
        <v>50000</v>
      </c>
      <c r="K3853" s="119">
        <f>D3859</f>
        <v>8930319.4974990003</v>
      </c>
      <c r="L3853" s="119">
        <f>D3860</f>
        <v>9252358.1879019998</v>
      </c>
      <c r="M3853" s="18">
        <f t="shared" si="565"/>
        <v>-3.6061273114941603E-2</v>
      </c>
      <c r="N3853" s="73">
        <f>D3861</f>
        <v>9079943.5233009998</v>
      </c>
      <c r="O3853" s="22">
        <f t="shared" si="566"/>
        <v>-1.6754610609833475E-2</v>
      </c>
      <c r="P3853" s="151">
        <f t="shared" si="567"/>
        <v>1.8634672491002598E-2</v>
      </c>
    </row>
    <row r="3854" spans="1:16" x14ac:dyDescent="0.25">
      <c r="A3854" s="137" t="s">
        <v>1656</v>
      </c>
      <c r="B3854" s="137" t="s">
        <v>333</v>
      </c>
      <c r="C3854" s="137">
        <v>25</v>
      </c>
      <c r="D3854" s="196">
        <v>107220.26710899999</v>
      </c>
      <c r="E3854" s="137">
        <v>1</v>
      </c>
      <c r="F3854" s="196">
        <v>2238.6516459999998</v>
      </c>
      <c r="G3854" s="137" t="s">
        <v>335</v>
      </c>
      <c r="H3854" s="79">
        <f t="shared" si="564"/>
        <v>2.0878997099719861E-2</v>
      </c>
      <c r="J3854" s="6">
        <v>100000</v>
      </c>
      <c r="K3854" s="119">
        <f>D3862</f>
        <v>19779983.017597999</v>
      </c>
      <c r="L3854" s="119">
        <f>D3863</f>
        <v>20143320.993795</v>
      </c>
      <c r="M3854" s="18">
        <f t="shared" si="565"/>
        <v>-1.836897311154127E-2</v>
      </c>
      <c r="N3854" s="158">
        <f>D3864</f>
        <v>21534010.718940999</v>
      </c>
      <c r="O3854" s="22">
        <f t="shared" si="566"/>
        <v>-8.8676906334169442E-2</v>
      </c>
      <c r="P3854" s="151">
        <f t="shared" si="567"/>
        <v>-6.9039744021077307E-2</v>
      </c>
    </row>
    <row r="3855" spans="1:16" x14ac:dyDescent="0.25">
      <c r="A3855" s="137" t="s">
        <v>1657</v>
      </c>
      <c r="B3855" s="137" t="s">
        <v>333</v>
      </c>
      <c r="C3855" s="137">
        <v>25</v>
      </c>
      <c r="D3855" s="196">
        <v>105528.140273</v>
      </c>
      <c r="E3855" s="137">
        <v>1</v>
      </c>
      <c r="F3855" s="196">
        <v>3867.595828</v>
      </c>
      <c r="G3855" s="137" t="s">
        <v>335</v>
      </c>
      <c r="H3855" s="79">
        <f t="shared" si="564"/>
        <v>3.664990037723187E-2</v>
      </c>
    </row>
    <row r="3856" spans="1:16" x14ac:dyDescent="0.25">
      <c r="A3856" s="137" t="s">
        <v>1658</v>
      </c>
      <c r="B3856" s="137" t="s">
        <v>333</v>
      </c>
      <c r="C3856" s="137">
        <v>25</v>
      </c>
      <c r="D3856" s="196">
        <v>1426413.2983880001</v>
      </c>
      <c r="E3856" s="137">
        <v>1</v>
      </c>
      <c r="F3856" s="196">
        <v>22985.165185999998</v>
      </c>
      <c r="G3856" s="137" t="s">
        <v>335</v>
      </c>
      <c r="H3856" s="79">
        <f t="shared" si="564"/>
        <v>1.6113958844870345E-2</v>
      </c>
    </row>
    <row r="3857" spans="1:16" x14ac:dyDescent="0.25">
      <c r="A3857" s="137" t="s">
        <v>1659</v>
      </c>
      <c r="B3857" s="137" t="s">
        <v>333</v>
      </c>
      <c r="C3857" s="137">
        <v>25</v>
      </c>
      <c r="D3857" s="196">
        <v>1475388.6059910001</v>
      </c>
      <c r="E3857" s="137">
        <v>1</v>
      </c>
      <c r="F3857" s="196">
        <v>32130.876527</v>
      </c>
      <c r="G3857" s="137" t="s">
        <v>335</v>
      </c>
      <c r="H3857" s="79">
        <f t="shared" si="564"/>
        <v>2.1777907458772932E-2</v>
      </c>
    </row>
    <row r="3858" spans="1:16" x14ac:dyDescent="0.25">
      <c r="A3858" s="137" t="s">
        <v>1660</v>
      </c>
      <c r="B3858" s="137" t="s">
        <v>333</v>
      </c>
      <c r="C3858" s="137">
        <v>25</v>
      </c>
      <c r="D3858" s="196">
        <v>1465024.188445</v>
      </c>
      <c r="E3858" s="137">
        <v>1</v>
      </c>
      <c r="F3858" s="196">
        <v>45425.392746999998</v>
      </c>
      <c r="G3858" s="137" t="s">
        <v>335</v>
      </c>
      <c r="H3858" s="79">
        <f t="shared" si="564"/>
        <v>3.1006582079177294E-2</v>
      </c>
    </row>
    <row r="3859" spans="1:16" x14ac:dyDescent="0.25">
      <c r="A3859" s="137" t="s">
        <v>1661</v>
      </c>
      <c r="B3859" s="137" t="s">
        <v>333</v>
      </c>
      <c r="C3859" s="137">
        <v>25</v>
      </c>
      <c r="D3859" s="196">
        <v>8930319.4974990003</v>
      </c>
      <c r="E3859" s="137">
        <v>1</v>
      </c>
      <c r="F3859" s="196">
        <v>305523.49387499999</v>
      </c>
      <c r="G3859" s="137" t="s">
        <v>335</v>
      </c>
      <c r="H3859" s="79">
        <f t="shared" si="564"/>
        <v>3.4211933174458545E-2</v>
      </c>
    </row>
    <row r="3860" spans="1:16" x14ac:dyDescent="0.25">
      <c r="A3860" s="137" t="s">
        <v>1662</v>
      </c>
      <c r="B3860" s="137" t="s">
        <v>333</v>
      </c>
      <c r="C3860" s="137">
        <v>25</v>
      </c>
      <c r="D3860" s="196">
        <v>9252358.1879019998</v>
      </c>
      <c r="E3860" s="137">
        <v>1</v>
      </c>
      <c r="F3860" s="196">
        <v>255089.541463</v>
      </c>
      <c r="G3860" s="137" t="s">
        <v>335</v>
      </c>
      <c r="H3860" s="79">
        <f t="shared" si="564"/>
        <v>2.7570218995255125E-2</v>
      </c>
    </row>
    <row r="3861" spans="1:16" x14ac:dyDescent="0.25">
      <c r="A3861" s="137" t="s">
        <v>1663</v>
      </c>
      <c r="B3861" s="137" t="s">
        <v>333</v>
      </c>
      <c r="C3861" s="137">
        <v>25</v>
      </c>
      <c r="D3861" s="196">
        <v>9079943.5233009998</v>
      </c>
      <c r="E3861" s="137">
        <v>1</v>
      </c>
      <c r="F3861" s="196">
        <v>231279.2335</v>
      </c>
      <c r="G3861" s="137" t="s">
        <v>335</v>
      </c>
      <c r="H3861" s="79">
        <f t="shared" si="564"/>
        <v>2.5471439652294092E-2</v>
      </c>
    </row>
    <row r="3862" spans="1:16" x14ac:dyDescent="0.25">
      <c r="A3862" s="137" t="s">
        <v>1664</v>
      </c>
      <c r="B3862" s="137" t="s">
        <v>333</v>
      </c>
      <c r="C3862" s="137">
        <v>25</v>
      </c>
      <c r="D3862" s="196">
        <v>19779983.017597999</v>
      </c>
      <c r="E3862" s="137">
        <v>1</v>
      </c>
      <c r="F3862" s="196">
        <v>448433.93275600002</v>
      </c>
      <c r="G3862" s="137" t="s">
        <v>335</v>
      </c>
      <c r="H3862" s="79">
        <f t="shared" si="564"/>
        <v>2.2671097965909985E-2</v>
      </c>
    </row>
    <row r="3863" spans="1:16" x14ac:dyDescent="0.25">
      <c r="A3863" s="137" t="s">
        <v>1665</v>
      </c>
      <c r="B3863" s="137" t="s">
        <v>333</v>
      </c>
      <c r="C3863" s="137">
        <v>25</v>
      </c>
      <c r="D3863" s="196">
        <v>20143320.993795</v>
      </c>
      <c r="E3863" s="137">
        <v>1</v>
      </c>
      <c r="F3863" s="196">
        <v>520621.288007</v>
      </c>
      <c r="G3863" s="137" t="s">
        <v>335</v>
      </c>
      <c r="H3863" s="79">
        <f t="shared" si="564"/>
        <v>2.584585174248941E-2</v>
      </c>
    </row>
    <row r="3864" spans="1:16" x14ac:dyDescent="0.25">
      <c r="A3864" s="137" t="s">
        <v>1666</v>
      </c>
      <c r="B3864" s="137" t="s">
        <v>333</v>
      </c>
      <c r="C3864" s="137">
        <v>25</v>
      </c>
      <c r="D3864" s="196">
        <v>21534010.718940999</v>
      </c>
      <c r="E3864" s="137">
        <v>1</v>
      </c>
      <c r="F3864" s="196">
        <v>979292.18402599997</v>
      </c>
      <c r="G3864" s="137" t="s">
        <v>335</v>
      </c>
      <c r="H3864" s="79">
        <f t="shared" si="564"/>
        <v>4.5476534622722602E-2</v>
      </c>
    </row>
    <row r="3866" spans="1:16" ht="20" thickBot="1" x14ac:dyDescent="0.3">
      <c r="A3866" s="137" t="s">
        <v>980</v>
      </c>
      <c r="B3866" s="137"/>
      <c r="C3866" s="137"/>
      <c r="D3866" s="196"/>
      <c r="E3866" s="137"/>
      <c r="F3866" s="196"/>
      <c r="G3866" s="137"/>
    </row>
    <row r="3867" spans="1:16" x14ac:dyDescent="0.25">
      <c r="A3867" s="137" t="s">
        <v>2</v>
      </c>
      <c r="B3867" s="137" t="s">
        <v>3</v>
      </c>
      <c r="C3867" s="137" t="s">
        <v>504</v>
      </c>
      <c r="D3867" s="196" t="s">
        <v>5</v>
      </c>
      <c r="E3867" s="137" t="s">
        <v>1247</v>
      </c>
      <c r="F3867" s="196" t="s">
        <v>505</v>
      </c>
      <c r="G3867" s="137" t="s">
        <v>506</v>
      </c>
      <c r="J3867" s="5" t="str">
        <f>A3866</f>
        <v>take2_10</v>
      </c>
      <c r="K3867" s="72" t="s">
        <v>340</v>
      </c>
      <c r="L3867" s="72" t="s">
        <v>341</v>
      </c>
      <c r="M3867" s="17" t="s">
        <v>162</v>
      </c>
      <c r="N3867" s="72" t="s">
        <v>342</v>
      </c>
      <c r="O3867" s="21" t="s">
        <v>162</v>
      </c>
      <c r="P3867" s="150" t="s">
        <v>1245</v>
      </c>
    </row>
    <row r="3868" spans="1:16" x14ac:dyDescent="0.25">
      <c r="A3868" s="137" t="s">
        <v>1667</v>
      </c>
      <c r="B3868" s="137" t="s">
        <v>333</v>
      </c>
      <c r="C3868" s="137">
        <v>25</v>
      </c>
      <c r="D3868" s="196">
        <v>94.691739999999996</v>
      </c>
      <c r="E3868" s="137">
        <v>1</v>
      </c>
      <c r="F3868" s="196">
        <v>4.8964109999999996</v>
      </c>
      <c r="G3868" s="137" t="s">
        <v>335</v>
      </c>
      <c r="H3868" s="79">
        <f t="shared" ref="H3868:H3882" si="568">F3868/D3868</f>
        <v>5.1708955818110428E-2</v>
      </c>
      <c r="J3868" s="6">
        <v>100</v>
      </c>
      <c r="K3868" s="119">
        <f>D3868</f>
        <v>94.691739999999996</v>
      </c>
      <c r="L3868" s="119">
        <f>D3869</f>
        <v>26.39415</v>
      </c>
      <c r="M3868" s="18">
        <f>(K3868-L3868)/K3868</f>
        <v>0.7212623825478337</v>
      </c>
      <c r="N3868" s="73">
        <f>D3870</f>
        <v>78.557895000000002</v>
      </c>
      <c r="O3868" s="22">
        <f>(K3868-N3868)/K3868</f>
        <v>0.1703828126930606</v>
      </c>
      <c r="P3868" s="151">
        <f>(L3868-N3868)/L3868</f>
        <v>-1.9763373702127178</v>
      </c>
    </row>
    <row r="3869" spans="1:16" x14ac:dyDescent="0.25">
      <c r="A3869" s="137" t="s">
        <v>1668</v>
      </c>
      <c r="B3869" s="137" t="s">
        <v>333</v>
      </c>
      <c r="C3869" s="137">
        <v>25</v>
      </c>
      <c r="D3869" s="196">
        <v>26.39415</v>
      </c>
      <c r="E3869" s="137">
        <v>1</v>
      </c>
      <c r="F3869" s="196">
        <v>1.0191049999999999</v>
      </c>
      <c r="G3869" s="137" t="s">
        <v>335</v>
      </c>
      <c r="H3869" s="79">
        <f t="shared" si="568"/>
        <v>3.8611017971785414E-2</v>
      </c>
      <c r="J3869" s="6">
        <v>1000</v>
      </c>
      <c r="K3869" s="119">
        <f>D3871</f>
        <v>750.27970400000004</v>
      </c>
      <c r="L3869" s="119">
        <f>D3872</f>
        <v>120.90795300000001</v>
      </c>
      <c r="M3869" s="18">
        <f t="shared" ref="M3869:M3872" si="569">(K3869-L3869)/K3869</f>
        <v>0.83884949525437247</v>
      </c>
      <c r="N3869" s="73">
        <f>D3873</f>
        <v>299.57829099999998</v>
      </c>
      <c r="O3869" s="22">
        <f t="shared" ref="O3869:O3872" si="570">(K3869-N3869)/K3869</f>
        <v>0.60071118890349195</v>
      </c>
      <c r="P3869" s="151">
        <f>(L3869-N3869)/L3869</f>
        <v>-1.477738507408193</v>
      </c>
    </row>
    <row r="3870" spans="1:16" x14ac:dyDescent="0.25">
      <c r="A3870" s="137" t="s">
        <v>1669</v>
      </c>
      <c r="B3870" s="137" t="s">
        <v>333</v>
      </c>
      <c r="C3870" s="137">
        <v>25</v>
      </c>
      <c r="D3870" s="196">
        <v>78.557895000000002</v>
      </c>
      <c r="E3870" s="137">
        <v>1</v>
      </c>
      <c r="F3870" s="196">
        <v>2.0661339999999999</v>
      </c>
      <c r="G3870" s="137" t="s">
        <v>335</v>
      </c>
      <c r="H3870" s="79">
        <f t="shared" si="568"/>
        <v>2.6300781099086221E-2</v>
      </c>
      <c r="J3870" s="6">
        <v>10000</v>
      </c>
      <c r="K3870" s="119">
        <f>D3874</f>
        <v>8014.1822279999997</v>
      </c>
      <c r="L3870" s="119">
        <f>D3875</f>
        <v>1822.9973199999999</v>
      </c>
      <c r="M3870" s="18">
        <f t="shared" si="569"/>
        <v>0.77252859142249086</v>
      </c>
      <c r="N3870" s="73">
        <f>D3876</f>
        <v>2847.8743030000001</v>
      </c>
      <c r="O3870" s="22">
        <f t="shared" si="570"/>
        <v>0.64464567662935346</v>
      </c>
      <c r="P3870" s="151">
        <f t="shared" ref="P3869:P3872" si="571">(L3870-N3870)/L3870</f>
        <v>-0.56219335692715122</v>
      </c>
    </row>
    <row r="3871" spans="1:16" x14ac:dyDescent="0.25">
      <c r="A3871" s="137" t="s">
        <v>1670</v>
      </c>
      <c r="B3871" s="137" t="s">
        <v>333</v>
      </c>
      <c r="C3871" s="137">
        <v>25</v>
      </c>
      <c r="D3871" s="196">
        <v>750.27970400000004</v>
      </c>
      <c r="E3871" s="137">
        <v>1</v>
      </c>
      <c r="F3871" s="196">
        <v>31.651865999999998</v>
      </c>
      <c r="G3871" s="137" t="s">
        <v>335</v>
      </c>
      <c r="H3871" s="79">
        <f t="shared" si="568"/>
        <v>4.21867549278662E-2</v>
      </c>
      <c r="J3871" s="6">
        <v>50000</v>
      </c>
      <c r="K3871" s="119">
        <f>D3877</f>
        <v>40953.883496000002</v>
      </c>
      <c r="L3871" s="119">
        <f>D3878</f>
        <v>9518.1816579999995</v>
      </c>
      <c r="M3871" s="18">
        <f t="shared" si="569"/>
        <v>0.76758781230283935</v>
      </c>
      <c r="N3871" s="73">
        <f>D3879</f>
        <v>13470.414881999999</v>
      </c>
      <c r="O3871" s="22">
        <f t="shared" si="570"/>
        <v>0.67108333246795349</v>
      </c>
      <c r="P3871" s="151">
        <f t="shared" si="571"/>
        <v>-0.41522985860205358</v>
      </c>
    </row>
    <row r="3872" spans="1:16" x14ac:dyDescent="0.25">
      <c r="A3872" s="137" t="s">
        <v>1671</v>
      </c>
      <c r="B3872" s="137" t="s">
        <v>333</v>
      </c>
      <c r="C3872" s="137">
        <v>25</v>
      </c>
      <c r="D3872" s="196">
        <v>120.90795300000001</v>
      </c>
      <c r="E3872" s="137">
        <v>1</v>
      </c>
      <c r="F3872" s="196">
        <v>5.1506790000000002</v>
      </c>
      <c r="G3872" s="137" t="s">
        <v>335</v>
      </c>
      <c r="H3872" s="79">
        <f t="shared" si="568"/>
        <v>4.2600001672346566E-2</v>
      </c>
      <c r="J3872" s="6">
        <v>100000</v>
      </c>
      <c r="K3872" s="119">
        <f>D3880</f>
        <v>72697.060511999996</v>
      </c>
      <c r="L3872" s="119">
        <f>D3881</f>
        <v>20985.081290999999</v>
      </c>
      <c r="M3872" s="18">
        <f t="shared" si="569"/>
        <v>0.71133521571293767</v>
      </c>
      <c r="N3872" s="158">
        <f>D3882</f>
        <v>26486.835672000001</v>
      </c>
      <c r="O3872" s="22">
        <f t="shared" si="570"/>
        <v>0.63565465390959164</v>
      </c>
      <c r="P3872" s="151">
        <f t="shared" si="571"/>
        <v>-0.26217455651980598</v>
      </c>
    </row>
    <row r="3873" spans="1:16" x14ac:dyDescent="0.25">
      <c r="A3873" s="137" t="s">
        <v>1672</v>
      </c>
      <c r="B3873" s="137" t="s">
        <v>333</v>
      </c>
      <c r="C3873" s="137">
        <v>25</v>
      </c>
      <c r="D3873" s="196">
        <v>299.57829099999998</v>
      </c>
      <c r="E3873" s="137">
        <v>1</v>
      </c>
      <c r="F3873" s="196">
        <v>8.6506989999999995</v>
      </c>
      <c r="G3873" s="137" t="s">
        <v>335</v>
      </c>
      <c r="H3873" s="79">
        <f t="shared" si="568"/>
        <v>2.8876254588153721E-2</v>
      </c>
    </row>
    <row r="3874" spans="1:16" x14ac:dyDescent="0.25">
      <c r="A3874" s="137" t="s">
        <v>1673</v>
      </c>
      <c r="B3874" s="137" t="s">
        <v>333</v>
      </c>
      <c r="C3874" s="137">
        <v>25</v>
      </c>
      <c r="D3874" s="196">
        <v>8014.1822279999997</v>
      </c>
      <c r="E3874" s="137">
        <v>1</v>
      </c>
      <c r="F3874" s="196">
        <v>392.63815199999999</v>
      </c>
      <c r="G3874" s="137" t="s">
        <v>335</v>
      </c>
      <c r="H3874" s="79">
        <f t="shared" si="568"/>
        <v>4.8992915412903688E-2</v>
      </c>
    </row>
    <row r="3875" spans="1:16" x14ac:dyDescent="0.25">
      <c r="A3875" s="137" t="s">
        <v>1674</v>
      </c>
      <c r="B3875" s="137" t="s">
        <v>333</v>
      </c>
      <c r="C3875" s="137">
        <v>25</v>
      </c>
      <c r="D3875" s="196">
        <v>1822.9973199999999</v>
      </c>
      <c r="E3875" s="137">
        <v>1</v>
      </c>
      <c r="F3875" s="196">
        <v>53.457692000000002</v>
      </c>
      <c r="G3875" s="137" t="s">
        <v>335</v>
      </c>
      <c r="H3875" s="79">
        <f t="shared" si="568"/>
        <v>2.9324065051285979E-2</v>
      </c>
    </row>
    <row r="3876" spans="1:16" x14ac:dyDescent="0.25">
      <c r="A3876" s="137" t="s">
        <v>1675</v>
      </c>
      <c r="B3876" s="137" t="s">
        <v>333</v>
      </c>
      <c r="C3876" s="137">
        <v>25</v>
      </c>
      <c r="D3876" s="196">
        <v>2847.8743030000001</v>
      </c>
      <c r="E3876" s="137">
        <v>1</v>
      </c>
      <c r="F3876" s="196">
        <v>163.28711200000001</v>
      </c>
      <c r="G3876" s="137" t="s">
        <v>335</v>
      </c>
      <c r="H3876" s="79">
        <f t="shared" si="568"/>
        <v>5.7336488421553769E-2</v>
      </c>
    </row>
    <row r="3877" spans="1:16" x14ac:dyDescent="0.25">
      <c r="A3877" s="137" t="s">
        <v>1676</v>
      </c>
      <c r="B3877" s="137" t="s">
        <v>333</v>
      </c>
      <c r="C3877" s="137">
        <v>25</v>
      </c>
      <c r="D3877" s="196">
        <v>40953.883496000002</v>
      </c>
      <c r="E3877" s="137">
        <v>1</v>
      </c>
      <c r="F3877" s="196">
        <v>2059.9867389999999</v>
      </c>
      <c r="G3877" s="137" t="s">
        <v>335</v>
      </c>
      <c r="H3877" s="79">
        <f t="shared" si="568"/>
        <v>5.0300156252610341E-2</v>
      </c>
    </row>
    <row r="3878" spans="1:16" x14ac:dyDescent="0.25">
      <c r="A3878" s="137" t="s">
        <v>1677</v>
      </c>
      <c r="B3878" s="137" t="s">
        <v>333</v>
      </c>
      <c r="C3878" s="137">
        <v>25</v>
      </c>
      <c r="D3878" s="196">
        <v>9518.1816579999995</v>
      </c>
      <c r="E3878" s="137">
        <v>1</v>
      </c>
      <c r="F3878" s="196">
        <v>326.72772700000002</v>
      </c>
      <c r="G3878" s="137" t="s">
        <v>335</v>
      </c>
      <c r="H3878" s="79">
        <f t="shared" si="568"/>
        <v>3.432669586899368E-2</v>
      </c>
    </row>
    <row r="3879" spans="1:16" x14ac:dyDescent="0.25">
      <c r="A3879" s="137" t="s">
        <v>1678</v>
      </c>
      <c r="B3879" s="137" t="s">
        <v>333</v>
      </c>
      <c r="C3879" s="137">
        <v>25</v>
      </c>
      <c r="D3879" s="196">
        <v>13470.414881999999</v>
      </c>
      <c r="E3879" s="137">
        <v>1</v>
      </c>
      <c r="F3879" s="196">
        <v>703.67403899999999</v>
      </c>
      <c r="G3879" s="137" t="s">
        <v>335</v>
      </c>
      <c r="H3879" s="79">
        <f t="shared" si="568"/>
        <v>5.2238483013636997E-2</v>
      </c>
    </row>
    <row r="3880" spans="1:16" x14ac:dyDescent="0.25">
      <c r="A3880" s="137" t="s">
        <v>1679</v>
      </c>
      <c r="B3880" s="137" t="s">
        <v>333</v>
      </c>
      <c r="C3880" s="137">
        <v>25</v>
      </c>
      <c r="D3880" s="196">
        <v>72697.060511999996</v>
      </c>
      <c r="E3880" s="137">
        <v>1</v>
      </c>
      <c r="F3880" s="196">
        <v>1369.660333</v>
      </c>
      <c r="G3880" s="137" t="s">
        <v>335</v>
      </c>
      <c r="H3880" s="79">
        <f t="shared" si="568"/>
        <v>1.8840656325765912E-2</v>
      </c>
    </row>
    <row r="3881" spans="1:16" x14ac:dyDescent="0.25">
      <c r="A3881" s="137" t="s">
        <v>1680</v>
      </c>
      <c r="B3881" s="137" t="s">
        <v>333</v>
      </c>
      <c r="C3881" s="137">
        <v>25</v>
      </c>
      <c r="D3881" s="196">
        <v>20985.081290999999</v>
      </c>
      <c r="E3881" s="137">
        <v>1</v>
      </c>
      <c r="F3881" s="196">
        <v>548.79671599999995</v>
      </c>
      <c r="G3881" s="137" t="s">
        <v>335</v>
      </c>
      <c r="H3881" s="79">
        <f t="shared" si="568"/>
        <v>2.6151755544324043E-2</v>
      </c>
    </row>
    <row r="3882" spans="1:16" x14ac:dyDescent="0.25">
      <c r="A3882" s="137" t="s">
        <v>1681</v>
      </c>
      <c r="B3882" s="137" t="s">
        <v>333</v>
      </c>
      <c r="C3882" s="137">
        <v>25</v>
      </c>
      <c r="D3882" s="196">
        <v>26486.835672000001</v>
      </c>
      <c r="E3882" s="137">
        <v>1</v>
      </c>
      <c r="F3882" s="196">
        <v>1261.0157380000001</v>
      </c>
      <c r="G3882" s="137" t="s">
        <v>335</v>
      </c>
      <c r="H3882" s="79">
        <f t="shared" si="568"/>
        <v>4.7609150206381817E-2</v>
      </c>
    </row>
    <row r="3884" spans="1:16" x14ac:dyDescent="0.25">
      <c r="A3884" s="137" t="s">
        <v>1203</v>
      </c>
      <c r="B3884" s="137"/>
      <c r="C3884" s="137"/>
      <c r="D3884" s="196"/>
      <c r="E3884" s="137"/>
      <c r="F3884" s="196"/>
      <c r="G3884" s="137"/>
    </row>
    <row r="3885" spans="1:16" ht="20" thickBot="1" x14ac:dyDescent="0.3">
      <c r="A3885" s="137" t="s">
        <v>2</v>
      </c>
      <c r="B3885" s="137" t="s">
        <v>3</v>
      </c>
      <c r="C3885" s="137" t="s">
        <v>504</v>
      </c>
      <c r="D3885" s="196" t="s">
        <v>5</v>
      </c>
      <c r="E3885" s="137" t="s">
        <v>1247</v>
      </c>
      <c r="F3885" s="196" t="s">
        <v>505</v>
      </c>
      <c r="G3885" s="137" t="s">
        <v>506</v>
      </c>
    </row>
    <row r="3886" spans="1:16" x14ac:dyDescent="0.25">
      <c r="A3886" s="137" t="s">
        <v>1249</v>
      </c>
      <c r="B3886" s="137" t="s">
        <v>333</v>
      </c>
      <c r="C3886" s="137">
        <v>10</v>
      </c>
      <c r="D3886" s="196">
        <v>100908.727447</v>
      </c>
      <c r="E3886" s="137">
        <v>1</v>
      </c>
      <c r="F3886" s="196">
        <v>5071.0229090000003</v>
      </c>
      <c r="G3886" s="137" t="s">
        <v>335</v>
      </c>
      <c r="H3886" s="79">
        <f t="shared" ref="H3886:H3912" si="572">F3886/D3886</f>
        <v>5.0253561186404207E-2</v>
      </c>
      <c r="J3886" s="5" t="s">
        <v>627</v>
      </c>
      <c r="K3886" s="72" t="s">
        <v>340</v>
      </c>
      <c r="L3886" s="72" t="s">
        <v>341</v>
      </c>
      <c r="M3886" s="17" t="s">
        <v>162</v>
      </c>
      <c r="N3886" s="72" t="s">
        <v>342</v>
      </c>
      <c r="O3886" s="21" t="s">
        <v>162</v>
      </c>
      <c r="P3886" s="150" t="s">
        <v>1245</v>
      </c>
    </row>
    <row r="3887" spans="1:16" x14ac:dyDescent="0.25">
      <c r="A3887" s="137" t="s">
        <v>1250</v>
      </c>
      <c r="B3887" s="137" t="s">
        <v>333</v>
      </c>
      <c r="C3887" s="137">
        <v>10</v>
      </c>
      <c r="D3887" s="196">
        <v>23115.282655999999</v>
      </c>
      <c r="E3887" s="137">
        <v>1</v>
      </c>
      <c r="F3887" s="196">
        <v>1124.226361</v>
      </c>
      <c r="G3887" s="137" t="s">
        <v>335</v>
      </c>
      <c r="H3887" s="79">
        <f t="shared" si="572"/>
        <v>4.8635631141987629E-2</v>
      </c>
      <c r="J3887" s="6">
        <v>1</v>
      </c>
      <c r="K3887" s="119">
        <f>D3886</f>
        <v>100908.727447</v>
      </c>
      <c r="L3887" s="119">
        <f>D3887</f>
        <v>23115.282655999999</v>
      </c>
      <c r="M3887" s="18">
        <f>(K3887-L3887)/K3887</f>
        <v>0.77092880625076987</v>
      </c>
      <c r="N3887" s="73">
        <f>D3888</f>
        <v>12788.527934</v>
      </c>
      <c r="O3887" s="22">
        <f>(K3887-N3887)/K3887</f>
        <v>0.87326638381485011</v>
      </c>
      <c r="P3887" s="151">
        <f>(L3887-N3887)/L3887</f>
        <v>0.44675009497751045</v>
      </c>
    </row>
    <row r="3888" spans="1:16" x14ac:dyDescent="0.25">
      <c r="A3888" s="137" t="s">
        <v>1251</v>
      </c>
      <c r="B3888" s="137" t="s">
        <v>333</v>
      </c>
      <c r="C3888" s="137">
        <v>10</v>
      </c>
      <c r="D3888" s="196">
        <v>12788.527934</v>
      </c>
      <c r="E3888" s="137">
        <v>1</v>
      </c>
      <c r="F3888" s="196">
        <v>584.65571799999998</v>
      </c>
      <c r="G3888" s="137" t="s">
        <v>335</v>
      </c>
      <c r="H3888" s="79">
        <f t="shared" si="572"/>
        <v>4.5717202246993188E-2</v>
      </c>
      <c r="J3888" s="6">
        <v>2</v>
      </c>
      <c r="K3888" s="119">
        <f>D3889</f>
        <v>175267.402673</v>
      </c>
      <c r="L3888" s="119">
        <f>D3890</f>
        <v>196165.329214</v>
      </c>
      <c r="M3888" s="18">
        <f t="shared" ref="M3888:M3895" si="573">(K3888-L3888)/K3888</f>
        <v>-0.11923453090698037</v>
      </c>
      <c r="N3888" s="73">
        <f>D3891</f>
        <v>79589.171715000004</v>
      </c>
      <c r="O3888" s="22">
        <f t="shared" ref="O3888:O3895" si="574">(K3888-N3888)/K3888</f>
        <v>0.54589860692184067</v>
      </c>
      <c r="P3888" s="151">
        <f t="shared" ref="P3888:P3895" si="575">(L3888-N3888)/L3888</f>
        <v>0.59427503303514528</v>
      </c>
    </row>
    <row r="3889" spans="1:16" x14ac:dyDescent="0.25">
      <c r="A3889" s="137" t="s">
        <v>1252</v>
      </c>
      <c r="B3889" s="137" t="s">
        <v>333</v>
      </c>
      <c r="C3889" s="137">
        <v>10</v>
      </c>
      <c r="D3889" s="196">
        <v>175267.402673</v>
      </c>
      <c r="E3889" s="137">
        <v>1</v>
      </c>
      <c r="F3889" s="196">
        <v>12940.997373</v>
      </c>
      <c r="G3889" s="137" t="s">
        <v>335</v>
      </c>
      <c r="H3889" s="79">
        <f t="shared" si="572"/>
        <v>7.3835734287363661E-2</v>
      </c>
      <c r="J3889" s="67">
        <v>3</v>
      </c>
      <c r="K3889" s="119">
        <f>D3892</f>
        <v>243992.252125</v>
      </c>
      <c r="L3889" s="119">
        <f>D3893</f>
        <v>396358.796439</v>
      </c>
      <c r="M3889" s="18">
        <f t="shared" si="573"/>
        <v>-0.62447287972054488</v>
      </c>
      <c r="N3889" s="73">
        <f>D3894</f>
        <v>218262.83951200001</v>
      </c>
      <c r="O3889" s="22">
        <f t="shared" si="574"/>
        <v>0.10545176081992359</v>
      </c>
      <c r="P3889" s="151">
        <f t="shared" si="575"/>
        <v>0.44933014866092202</v>
      </c>
    </row>
    <row r="3890" spans="1:16" x14ac:dyDescent="0.25">
      <c r="A3890" s="137" t="s">
        <v>1253</v>
      </c>
      <c r="B3890" s="137" t="s">
        <v>333</v>
      </c>
      <c r="C3890" s="137">
        <v>10</v>
      </c>
      <c r="D3890" s="196">
        <v>196165.329214</v>
      </c>
      <c r="E3890" s="137">
        <v>1</v>
      </c>
      <c r="F3890" s="196">
        <v>19738.531143</v>
      </c>
      <c r="G3890" s="137" t="s">
        <v>335</v>
      </c>
      <c r="H3890" s="79">
        <f t="shared" si="572"/>
        <v>0.10062191531036002</v>
      </c>
      <c r="J3890" s="67">
        <v>5</v>
      </c>
      <c r="K3890" s="119">
        <f>D3895</f>
        <v>430436.276664</v>
      </c>
      <c r="L3890" s="119">
        <f>D3896</f>
        <v>663841.06513100001</v>
      </c>
      <c r="M3890" s="18">
        <f t="shared" si="573"/>
        <v>-0.54225166678782644</v>
      </c>
      <c r="N3890" s="73">
        <f>D3897</f>
        <v>387406.67086800002</v>
      </c>
      <c r="O3890" s="22">
        <f t="shared" si="574"/>
        <v>9.996742405052686E-2</v>
      </c>
      <c r="P3890" s="151">
        <f t="shared" si="575"/>
        <v>0.41641653218372293</v>
      </c>
    </row>
    <row r="3891" spans="1:16" x14ac:dyDescent="0.25">
      <c r="A3891" s="137" t="s">
        <v>1254</v>
      </c>
      <c r="B3891" s="137" t="s">
        <v>333</v>
      </c>
      <c r="C3891" s="137">
        <v>10</v>
      </c>
      <c r="D3891" s="196">
        <v>79589.171715000004</v>
      </c>
      <c r="E3891" s="137">
        <v>1</v>
      </c>
      <c r="F3891" s="196">
        <v>5036.2682519999998</v>
      </c>
      <c r="G3891" s="137" t="s">
        <v>335</v>
      </c>
      <c r="H3891" s="79">
        <f t="shared" si="572"/>
        <v>6.32783096428534E-2</v>
      </c>
      <c r="J3891" s="6">
        <v>10</v>
      </c>
      <c r="K3891" s="119">
        <f>D3898</f>
        <v>824413.67684800003</v>
      </c>
      <c r="L3891" s="119">
        <f>D3899</f>
        <v>1310796.8150760001</v>
      </c>
      <c r="M3891" s="18">
        <f t="shared" si="573"/>
        <v>-0.58997461091087178</v>
      </c>
      <c r="N3891" s="73">
        <f>D3900</f>
        <v>816782.00971400004</v>
      </c>
      <c r="O3891" s="22">
        <f t="shared" si="574"/>
        <v>9.2570845781917623E-3</v>
      </c>
      <c r="P3891" s="151">
        <f t="shared" si="575"/>
        <v>0.37688129821505328</v>
      </c>
    </row>
    <row r="3892" spans="1:16" x14ac:dyDescent="0.25">
      <c r="A3892" s="137" t="s">
        <v>1255</v>
      </c>
      <c r="B3892" s="137" t="s">
        <v>333</v>
      </c>
      <c r="C3892" s="137">
        <v>10</v>
      </c>
      <c r="D3892" s="196">
        <v>243992.252125</v>
      </c>
      <c r="E3892" s="137">
        <v>1</v>
      </c>
      <c r="F3892" s="196">
        <v>14460.308805999999</v>
      </c>
      <c r="G3892" s="137" t="s">
        <v>335</v>
      </c>
      <c r="H3892" s="79">
        <f t="shared" si="572"/>
        <v>5.9265442570659251E-2</v>
      </c>
      <c r="J3892" s="67">
        <v>20</v>
      </c>
      <c r="K3892" s="149">
        <f>D3901</f>
        <v>2601809.524466</v>
      </c>
      <c r="L3892" s="119">
        <f>D3902</f>
        <v>2811449.8762849998</v>
      </c>
      <c r="M3892" s="18">
        <f t="shared" si="573"/>
        <v>-8.0574826807134042E-2</v>
      </c>
      <c r="N3892" s="73">
        <f>D3903</f>
        <v>1483218.223738</v>
      </c>
      <c r="O3892" s="22">
        <f t="shared" si="574"/>
        <v>0.42992820581575114</v>
      </c>
      <c r="P3892" s="151">
        <f t="shared" si="575"/>
        <v>0.47243654021749859</v>
      </c>
    </row>
    <row r="3893" spans="1:16" x14ac:dyDescent="0.25">
      <c r="A3893" s="137" t="s">
        <v>1256</v>
      </c>
      <c r="B3893" s="137" t="s">
        <v>333</v>
      </c>
      <c r="C3893" s="137">
        <v>10</v>
      </c>
      <c r="D3893" s="196">
        <v>396358.796439</v>
      </c>
      <c r="E3893" s="137">
        <v>1</v>
      </c>
      <c r="F3893" s="196">
        <v>50816.662357000001</v>
      </c>
      <c r="G3893" s="137" t="s">
        <v>335</v>
      </c>
      <c r="H3893" s="79">
        <f t="shared" si="572"/>
        <v>0.12820874120506806</v>
      </c>
      <c r="J3893" s="67">
        <v>30</v>
      </c>
      <c r="K3893" s="119">
        <f>D3904</f>
        <v>5130262.2180380002</v>
      </c>
      <c r="L3893" s="119">
        <f>D3905</f>
        <v>3694294.2495129998</v>
      </c>
      <c r="M3893" s="18">
        <f t="shared" si="573"/>
        <v>0.27990147627856865</v>
      </c>
      <c r="N3893" s="73">
        <f>D3906</f>
        <v>2071302.509291</v>
      </c>
      <c r="O3893" s="22">
        <f t="shared" si="574"/>
        <v>0.59625796474724024</v>
      </c>
      <c r="P3893" s="151">
        <f t="shared" si="575"/>
        <v>0.43932389533831817</v>
      </c>
    </row>
    <row r="3894" spans="1:16" x14ac:dyDescent="0.25">
      <c r="A3894" s="137" t="s">
        <v>1257</v>
      </c>
      <c r="B3894" s="137" t="s">
        <v>333</v>
      </c>
      <c r="C3894" s="137">
        <v>10</v>
      </c>
      <c r="D3894" s="196">
        <v>218262.83951200001</v>
      </c>
      <c r="E3894" s="137">
        <v>1</v>
      </c>
      <c r="F3894" s="196">
        <v>10152.917520999999</v>
      </c>
      <c r="G3894" s="137" t="s">
        <v>335</v>
      </c>
      <c r="H3894" s="79">
        <f t="shared" si="572"/>
        <v>4.6516931346170798E-2</v>
      </c>
      <c r="J3894" s="67">
        <v>50</v>
      </c>
      <c r="K3894" s="119">
        <f>D3907</f>
        <v>9297884.5174180008</v>
      </c>
      <c r="L3894" s="119">
        <f>D3908</f>
        <v>6235820.8476679996</v>
      </c>
      <c r="M3894" s="18">
        <f t="shared" si="573"/>
        <v>0.32932907093153796</v>
      </c>
      <c r="N3894" s="73">
        <f>D3909</f>
        <v>3762281.3883170001</v>
      </c>
      <c r="O3894" s="22">
        <f t="shared" si="574"/>
        <v>0.59536157055198868</v>
      </c>
      <c r="P3894" s="151">
        <f t="shared" si="575"/>
        <v>0.3966662160084386</v>
      </c>
    </row>
    <row r="3895" spans="1:16" ht="20" thickBot="1" x14ac:dyDescent="0.3">
      <c r="A3895" s="137" t="s">
        <v>1258</v>
      </c>
      <c r="B3895" s="137" t="s">
        <v>333</v>
      </c>
      <c r="C3895" s="137">
        <v>10</v>
      </c>
      <c r="D3895" s="196">
        <v>430436.276664</v>
      </c>
      <c r="E3895" s="137">
        <v>1</v>
      </c>
      <c r="F3895" s="196">
        <v>26272.255968000001</v>
      </c>
      <c r="G3895" s="137" t="s">
        <v>335</v>
      </c>
      <c r="H3895" s="79">
        <f t="shared" si="572"/>
        <v>6.1036342409652923E-2</v>
      </c>
      <c r="J3895" s="68">
        <v>80</v>
      </c>
      <c r="K3895" s="120">
        <f>D3910</f>
        <v>110337404.422267</v>
      </c>
      <c r="L3895" s="120">
        <f>D3911</f>
        <v>9389510.9492349997</v>
      </c>
      <c r="M3895" s="19">
        <f t="shared" si="573"/>
        <v>0.91490183226260369</v>
      </c>
      <c r="N3895" s="74">
        <f>D3912</f>
        <v>6213363.8306329995</v>
      </c>
      <c r="O3895" s="23">
        <f t="shared" si="574"/>
        <v>0.94368760201341939</v>
      </c>
      <c r="P3895" s="152">
        <f t="shared" si="575"/>
        <v>0.3382654470263729</v>
      </c>
    </row>
    <row r="3896" spans="1:16" x14ac:dyDescent="0.25">
      <c r="A3896" s="137" t="s">
        <v>1259</v>
      </c>
      <c r="B3896" s="137" t="s">
        <v>333</v>
      </c>
      <c r="C3896" s="137">
        <v>10</v>
      </c>
      <c r="D3896" s="196">
        <v>663841.06513100001</v>
      </c>
      <c r="E3896" s="137">
        <v>1</v>
      </c>
      <c r="F3896" s="196">
        <v>57562.792814</v>
      </c>
      <c r="G3896" s="137" t="s">
        <v>335</v>
      </c>
      <c r="H3896" s="79">
        <f t="shared" si="572"/>
        <v>8.6711708325306391E-2</v>
      </c>
    </row>
    <row r="3897" spans="1:16" x14ac:dyDescent="0.25">
      <c r="A3897" s="137" t="s">
        <v>1260</v>
      </c>
      <c r="B3897" s="137" t="s">
        <v>333</v>
      </c>
      <c r="C3897" s="137">
        <v>10</v>
      </c>
      <c r="D3897" s="196">
        <v>387406.67086800002</v>
      </c>
      <c r="E3897" s="137">
        <v>1</v>
      </c>
      <c r="F3897" s="196">
        <v>44648.557991000001</v>
      </c>
      <c r="G3897" s="137" t="s">
        <v>335</v>
      </c>
      <c r="H3897" s="79">
        <f t="shared" si="572"/>
        <v>0.11524984299047597</v>
      </c>
    </row>
    <row r="3898" spans="1:16" x14ac:dyDescent="0.25">
      <c r="A3898" s="137" t="s">
        <v>1261</v>
      </c>
      <c r="B3898" s="137" t="s">
        <v>333</v>
      </c>
      <c r="C3898" s="137">
        <v>10</v>
      </c>
      <c r="D3898" s="196">
        <v>824413.67684800003</v>
      </c>
      <c r="E3898" s="137">
        <v>1</v>
      </c>
      <c r="F3898" s="196">
        <v>49125.105359000001</v>
      </c>
      <c r="G3898" s="137" t="s">
        <v>335</v>
      </c>
      <c r="H3898" s="79">
        <f t="shared" si="572"/>
        <v>5.9587931081906791E-2</v>
      </c>
    </row>
    <row r="3899" spans="1:16" x14ac:dyDescent="0.25">
      <c r="A3899" s="137" t="s">
        <v>1262</v>
      </c>
      <c r="B3899" s="137" t="s">
        <v>333</v>
      </c>
      <c r="C3899" s="137">
        <v>10</v>
      </c>
      <c r="D3899" s="196">
        <v>1310796.8150760001</v>
      </c>
      <c r="E3899" s="137">
        <v>1</v>
      </c>
      <c r="F3899" s="196">
        <v>69093.491368999996</v>
      </c>
      <c r="G3899" s="137" t="s">
        <v>335</v>
      </c>
      <c r="H3899" s="79">
        <f t="shared" si="572"/>
        <v>5.2711061374522757E-2</v>
      </c>
    </row>
    <row r="3900" spans="1:16" x14ac:dyDescent="0.25">
      <c r="A3900" s="137" t="s">
        <v>1263</v>
      </c>
      <c r="B3900" s="137" t="s">
        <v>333</v>
      </c>
      <c r="C3900" s="137">
        <v>10</v>
      </c>
      <c r="D3900" s="196">
        <v>816782.00971400004</v>
      </c>
      <c r="E3900" s="137">
        <v>1</v>
      </c>
      <c r="F3900" s="196">
        <v>82649.383757000003</v>
      </c>
      <c r="G3900" s="137" t="s">
        <v>335</v>
      </c>
      <c r="H3900" s="79">
        <f t="shared" si="572"/>
        <v>0.10118903547586713</v>
      </c>
    </row>
    <row r="3901" spans="1:16" x14ac:dyDescent="0.25">
      <c r="A3901" s="137" t="s">
        <v>1264</v>
      </c>
      <c r="B3901" s="137" t="s">
        <v>333</v>
      </c>
      <c r="C3901" s="137">
        <v>10</v>
      </c>
      <c r="D3901" s="196">
        <v>2601809.524466</v>
      </c>
      <c r="E3901" s="137">
        <v>1</v>
      </c>
      <c r="F3901" s="196">
        <v>517238.92907800002</v>
      </c>
      <c r="G3901" s="137" t="s">
        <v>335</v>
      </c>
      <c r="H3901" s="79">
        <f t="shared" si="572"/>
        <v>0.19879969083599963</v>
      </c>
    </row>
    <row r="3902" spans="1:16" x14ac:dyDescent="0.25">
      <c r="A3902" s="137" t="s">
        <v>1265</v>
      </c>
      <c r="B3902" s="137" t="s">
        <v>333</v>
      </c>
      <c r="C3902" s="137">
        <v>10</v>
      </c>
      <c r="D3902" s="196">
        <v>2811449.8762849998</v>
      </c>
      <c r="E3902" s="137">
        <v>1</v>
      </c>
      <c r="F3902" s="196">
        <v>267983.59456499998</v>
      </c>
      <c r="G3902" s="137" t="s">
        <v>335</v>
      </c>
      <c r="H3902" s="79">
        <f t="shared" si="572"/>
        <v>9.5318645665882815E-2</v>
      </c>
    </row>
    <row r="3903" spans="1:16" x14ac:dyDescent="0.25">
      <c r="A3903" s="137" t="s">
        <v>1266</v>
      </c>
      <c r="B3903" s="137" t="s">
        <v>333</v>
      </c>
      <c r="C3903" s="137">
        <v>10</v>
      </c>
      <c r="D3903" s="196">
        <v>1483218.223738</v>
      </c>
      <c r="E3903" s="137">
        <v>1</v>
      </c>
      <c r="F3903" s="196">
        <v>114224.17943</v>
      </c>
      <c r="G3903" s="137" t="s">
        <v>335</v>
      </c>
      <c r="H3903" s="79">
        <f t="shared" si="572"/>
        <v>7.7011040993099938E-2</v>
      </c>
    </row>
    <row r="3904" spans="1:16" x14ac:dyDescent="0.25">
      <c r="A3904" s="137" t="s">
        <v>1267</v>
      </c>
      <c r="B3904" s="137" t="s">
        <v>333</v>
      </c>
      <c r="C3904" s="137">
        <v>10</v>
      </c>
      <c r="D3904" s="196">
        <v>5130262.2180380002</v>
      </c>
      <c r="E3904" s="137">
        <v>1</v>
      </c>
      <c r="F3904" s="196">
        <v>477861.58741600002</v>
      </c>
      <c r="G3904" s="137" t="s">
        <v>335</v>
      </c>
      <c r="H3904" s="79">
        <f t="shared" si="572"/>
        <v>9.314564579873498E-2</v>
      </c>
    </row>
    <row r="3905" spans="1:16" x14ac:dyDescent="0.25">
      <c r="A3905" s="137" t="s">
        <v>1268</v>
      </c>
      <c r="B3905" s="137" t="s">
        <v>333</v>
      </c>
      <c r="C3905" s="137">
        <v>10</v>
      </c>
      <c r="D3905" s="196">
        <v>3694294.2495129998</v>
      </c>
      <c r="E3905" s="137">
        <v>1</v>
      </c>
      <c r="F3905" s="196">
        <v>574153.62303799996</v>
      </c>
      <c r="G3905" s="137" t="s">
        <v>335</v>
      </c>
      <c r="H3905" s="79">
        <f t="shared" si="572"/>
        <v>0.15541632156498841</v>
      </c>
    </row>
    <row r="3906" spans="1:16" x14ac:dyDescent="0.25">
      <c r="A3906" s="137" t="s">
        <v>1269</v>
      </c>
      <c r="B3906" s="137" t="s">
        <v>333</v>
      </c>
      <c r="C3906" s="137">
        <v>10</v>
      </c>
      <c r="D3906" s="196">
        <v>2071302.509291</v>
      </c>
      <c r="E3906" s="137">
        <v>1</v>
      </c>
      <c r="F3906" s="196">
        <v>142745.15674800001</v>
      </c>
      <c r="G3906" s="137" t="s">
        <v>335</v>
      </c>
      <c r="H3906" s="79">
        <f t="shared" si="572"/>
        <v>6.8915649021668593E-2</v>
      </c>
    </row>
    <row r="3907" spans="1:16" x14ac:dyDescent="0.25">
      <c r="A3907" s="137" t="s">
        <v>1270</v>
      </c>
      <c r="B3907" s="137" t="s">
        <v>333</v>
      </c>
      <c r="C3907" s="137">
        <v>10</v>
      </c>
      <c r="D3907" s="196">
        <v>9297884.5174180008</v>
      </c>
      <c r="E3907" s="137">
        <v>1</v>
      </c>
      <c r="F3907" s="196">
        <v>603603.03210499999</v>
      </c>
      <c r="G3907" s="137" t="s">
        <v>335</v>
      </c>
      <c r="H3907" s="79">
        <f t="shared" si="572"/>
        <v>6.4918318890092974E-2</v>
      </c>
    </row>
    <row r="3908" spans="1:16" x14ac:dyDescent="0.25">
      <c r="A3908" s="137" t="s">
        <v>1271</v>
      </c>
      <c r="B3908" s="137" t="s">
        <v>333</v>
      </c>
      <c r="C3908" s="137">
        <v>10</v>
      </c>
      <c r="D3908" s="196">
        <v>6235820.8476679996</v>
      </c>
      <c r="E3908" s="137">
        <v>1</v>
      </c>
      <c r="F3908" s="196">
        <v>536186.99737700005</v>
      </c>
      <c r="G3908" s="137" t="s">
        <v>335</v>
      </c>
      <c r="H3908" s="79">
        <f t="shared" si="572"/>
        <v>8.5984990665265354E-2</v>
      </c>
    </row>
    <row r="3909" spans="1:16" x14ac:dyDescent="0.25">
      <c r="A3909" s="137" t="s">
        <v>1272</v>
      </c>
      <c r="B3909" s="137" t="s">
        <v>333</v>
      </c>
      <c r="C3909" s="137">
        <v>10</v>
      </c>
      <c r="D3909" s="196">
        <v>3762281.3883170001</v>
      </c>
      <c r="E3909" s="137">
        <v>1</v>
      </c>
      <c r="F3909" s="196">
        <v>250118.882877</v>
      </c>
      <c r="G3909" s="137" t="s">
        <v>335</v>
      </c>
      <c r="H3909" s="79">
        <f t="shared" si="572"/>
        <v>6.6480642211848726E-2</v>
      </c>
    </row>
    <row r="3910" spans="1:16" x14ac:dyDescent="0.25">
      <c r="A3910" s="137" t="s">
        <v>1273</v>
      </c>
      <c r="B3910" s="137" t="s">
        <v>333</v>
      </c>
      <c r="C3910" s="137">
        <v>10</v>
      </c>
      <c r="D3910" s="196">
        <v>110337404.422267</v>
      </c>
      <c r="E3910" s="137">
        <v>1</v>
      </c>
      <c r="F3910" s="196">
        <v>5871417.0394080002</v>
      </c>
      <c r="G3910" s="137" t="s">
        <v>335</v>
      </c>
      <c r="H3910" s="79">
        <f t="shared" si="572"/>
        <v>5.3213296707051223E-2</v>
      </c>
    </row>
    <row r="3911" spans="1:16" x14ac:dyDescent="0.25">
      <c r="A3911" s="137" t="s">
        <v>1274</v>
      </c>
      <c r="B3911" s="137" t="s">
        <v>333</v>
      </c>
      <c r="C3911" s="137">
        <v>10</v>
      </c>
      <c r="D3911" s="196">
        <v>9389510.9492349997</v>
      </c>
      <c r="E3911" s="137">
        <v>1</v>
      </c>
      <c r="F3911" s="196">
        <v>1059073.322925</v>
      </c>
      <c r="G3911" s="137" t="s">
        <v>335</v>
      </c>
      <c r="H3911" s="79">
        <f t="shared" si="572"/>
        <v>0.11279323584060433</v>
      </c>
    </row>
    <row r="3912" spans="1:16" x14ac:dyDescent="0.25">
      <c r="A3912" s="137" t="s">
        <v>1275</v>
      </c>
      <c r="B3912" s="137" t="s">
        <v>333</v>
      </c>
      <c r="C3912" s="137">
        <v>10</v>
      </c>
      <c r="D3912" s="196">
        <v>6213363.8306329995</v>
      </c>
      <c r="E3912" s="137">
        <v>1</v>
      </c>
      <c r="F3912" s="196">
        <v>387372.99495099997</v>
      </c>
      <c r="G3912" s="137" t="s">
        <v>335</v>
      </c>
      <c r="H3912" s="79">
        <f t="shared" si="572"/>
        <v>6.2345133088968899E-2</v>
      </c>
    </row>
    <row r="3914" spans="1:16" x14ac:dyDescent="0.25">
      <c r="A3914" s="137" t="s">
        <v>1276</v>
      </c>
      <c r="B3914" s="137"/>
      <c r="C3914" s="137"/>
      <c r="D3914" s="196"/>
      <c r="E3914" s="137"/>
      <c r="F3914" s="196"/>
      <c r="G3914" s="137"/>
    </row>
    <row r="3915" spans="1:16" ht="20" thickBot="1" x14ac:dyDescent="0.3">
      <c r="A3915" s="137" t="s">
        <v>2</v>
      </c>
      <c r="B3915" s="137" t="s">
        <v>3</v>
      </c>
      <c r="C3915" s="137" t="s">
        <v>504</v>
      </c>
      <c r="D3915" s="196" t="s">
        <v>5</v>
      </c>
      <c r="E3915" s="137" t="s">
        <v>1247</v>
      </c>
      <c r="F3915" s="196" t="s">
        <v>505</v>
      </c>
      <c r="G3915" s="137" t="s">
        <v>506</v>
      </c>
    </row>
    <row r="3916" spans="1:16" x14ac:dyDescent="0.25">
      <c r="A3916" s="137" t="s">
        <v>1277</v>
      </c>
      <c r="B3916" s="137" t="s">
        <v>333</v>
      </c>
      <c r="C3916" s="137">
        <v>10</v>
      </c>
      <c r="D3916" s="196">
        <v>162624.18749499999</v>
      </c>
      <c r="E3916" s="137">
        <v>1</v>
      </c>
      <c r="F3916" s="196">
        <v>23584.380703999999</v>
      </c>
      <c r="G3916" s="137" t="s">
        <v>335</v>
      </c>
      <c r="H3916" s="79">
        <f t="shared" ref="H3916:H3945" si="576">F3916/D3916</f>
        <v>0.14502381882599794</v>
      </c>
      <c r="J3916" s="5" t="s">
        <v>1276</v>
      </c>
      <c r="K3916" s="72" t="s">
        <v>340</v>
      </c>
      <c r="L3916" s="72" t="s">
        <v>341</v>
      </c>
      <c r="M3916" s="17" t="s">
        <v>162</v>
      </c>
      <c r="N3916" s="72" t="s">
        <v>342</v>
      </c>
      <c r="O3916" s="17" t="s">
        <v>162</v>
      </c>
      <c r="P3916" s="87" t="s">
        <v>1245</v>
      </c>
    </row>
    <row r="3917" spans="1:16" x14ac:dyDescent="0.25">
      <c r="A3917" s="137" t="s">
        <v>1278</v>
      </c>
      <c r="B3917" s="137" t="s">
        <v>333</v>
      </c>
      <c r="C3917" s="137">
        <v>10</v>
      </c>
      <c r="D3917" s="196">
        <v>11705.516651</v>
      </c>
      <c r="E3917" s="137">
        <v>1</v>
      </c>
      <c r="F3917" s="196">
        <v>526.19051200000001</v>
      </c>
      <c r="G3917" s="137" t="s">
        <v>335</v>
      </c>
      <c r="H3917" s="79">
        <f t="shared" si="576"/>
        <v>4.495235261188131E-2</v>
      </c>
      <c r="J3917" s="6">
        <v>1</v>
      </c>
      <c r="K3917" s="119">
        <f>D3916</f>
        <v>162624.18749499999</v>
      </c>
      <c r="L3917" s="119">
        <f>D3917</f>
        <v>11705.516651</v>
      </c>
      <c r="M3917" s="18">
        <f>(K3917-L3917)/K3917</f>
        <v>0.92802105989701</v>
      </c>
      <c r="N3917" s="73">
        <f>D3918</f>
        <v>63043.833171999999</v>
      </c>
      <c r="O3917" s="18">
        <f>(K3917-N3917)/K3917</f>
        <v>0.61233421581928993</v>
      </c>
      <c r="P3917" s="22">
        <f>(L3917-N3917)/L3917</f>
        <v>-4.3858223478426455</v>
      </c>
    </row>
    <row r="3918" spans="1:16" x14ac:dyDescent="0.25">
      <c r="A3918" s="137" t="s">
        <v>1279</v>
      </c>
      <c r="B3918" s="137" t="s">
        <v>333</v>
      </c>
      <c r="C3918" s="137">
        <v>10</v>
      </c>
      <c r="D3918" s="196">
        <v>63043.833171999999</v>
      </c>
      <c r="E3918" s="137">
        <v>1</v>
      </c>
      <c r="F3918" s="196">
        <v>3819.132267</v>
      </c>
      <c r="G3918" s="137" t="s">
        <v>335</v>
      </c>
      <c r="H3918" s="79">
        <f t="shared" si="576"/>
        <v>6.0578998370552951E-2</v>
      </c>
      <c r="J3918" s="6">
        <v>2</v>
      </c>
      <c r="K3918" s="119">
        <f>D3919</f>
        <v>149984.195806</v>
      </c>
      <c r="L3918" s="119">
        <f>D3920</f>
        <v>82560.280801000001</v>
      </c>
      <c r="M3918" s="18">
        <f t="shared" ref="M3918:M3926" si="577">(K3918-L3918)/K3918</f>
        <v>0.44954013082958943</v>
      </c>
      <c r="N3918" s="73">
        <f>D3921</f>
        <v>114011.493267</v>
      </c>
      <c r="O3918" s="18">
        <f t="shared" ref="O3918:O3926" si="578">(K3918-N3918)/K3918</f>
        <v>0.23984328712559558</v>
      </c>
      <c r="P3918" s="22">
        <f t="shared" ref="P3918:P3926" si="579">(L3918-N3918)/L3918</f>
        <v>-0.38094846772394997</v>
      </c>
    </row>
    <row r="3919" spans="1:16" x14ac:dyDescent="0.25">
      <c r="A3919" s="137" t="s">
        <v>1280</v>
      </c>
      <c r="B3919" s="137" t="s">
        <v>333</v>
      </c>
      <c r="C3919" s="137">
        <v>10</v>
      </c>
      <c r="D3919" s="196">
        <v>149984.195806</v>
      </c>
      <c r="E3919" s="137">
        <v>1</v>
      </c>
      <c r="F3919" s="196">
        <v>16722.042087000002</v>
      </c>
      <c r="G3919" s="137" t="s">
        <v>335</v>
      </c>
      <c r="H3919" s="79">
        <f t="shared" si="576"/>
        <v>0.11149202752421632</v>
      </c>
      <c r="J3919" s="67">
        <v>3</v>
      </c>
      <c r="K3919" s="119">
        <f>D3922</f>
        <v>218174.987119</v>
      </c>
      <c r="L3919" s="119">
        <f>D3923</f>
        <v>271297.60645299999</v>
      </c>
      <c r="M3919" s="18">
        <f t="shared" si="577"/>
        <v>-0.24348629526915072</v>
      </c>
      <c r="N3919" s="73">
        <f>D3924</f>
        <v>343095.45588999998</v>
      </c>
      <c r="O3919" s="18">
        <f t="shared" si="578"/>
        <v>-0.5725700751519428</v>
      </c>
      <c r="P3919" s="22">
        <f t="shared" si="579"/>
        <v>-0.26464608507129739</v>
      </c>
    </row>
    <row r="3920" spans="1:16" x14ac:dyDescent="0.25">
      <c r="A3920" s="137" t="s">
        <v>1281</v>
      </c>
      <c r="B3920" s="137" t="s">
        <v>333</v>
      </c>
      <c r="C3920" s="137">
        <v>10</v>
      </c>
      <c r="D3920" s="196">
        <v>82560.280801000001</v>
      </c>
      <c r="E3920" s="137">
        <v>1</v>
      </c>
      <c r="F3920" s="196">
        <v>5173.343022</v>
      </c>
      <c r="G3920" s="137" t="s">
        <v>335</v>
      </c>
      <c r="H3920" s="79">
        <f t="shared" si="576"/>
        <v>6.266140293865545E-2</v>
      </c>
      <c r="J3920" s="67">
        <v>5</v>
      </c>
      <c r="K3920" s="119">
        <f>D3925</f>
        <v>358397.66694000002</v>
      </c>
      <c r="L3920" s="119">
        <f>D3926</f>
        <v>445692.413887</v>
      </c>
      <c r="M3920" s="18">
        <f t="shared" si="577"/>
        <v>-0.24356951788308975</v>
      </c>
      <c r="N3920" s="73">
        <f>D3927</f>
        <v>564398.22887400002</v>
      </c>
      <c r="O3920" s="18">
        <f t="shared" si="578"/>
        <v>-0.57478209524306667</v>
      </c>
      <c r="P3920" s="22">
        <f t="shared" si="579"/>
        <v>-0.26634021869866614</v>
      </c>
    </row>
    <row r="3921" spans="1:16" x14ac:dyDescent="0.25">
      <c r="A3921" s="137" t="s">
        <v>1282</v>
      </c>
      <c r="B3921" s="137" t="s">
        <v>333</v>
      </c>
      <c r="C3921" s="137">
        <v>10</v>
      </c>
      <c r="D3921" s="196">
        <v>114011.493267</v>
      </c>
      <c r="E3921" s="137">
        <v>1</v>
      </c>
      <c r="F3921" s="196">
        <v>4177.1643190000004</v>
      </c>
      <c r="G3921" s="137" t="s">
        <v>335</v>
      </c>
      <c r="H3921" s="79">
        <f t="shared" si="576"/>
        <v>3.6638098487295732E-2</v>
      </c>
      <c r="J3921" s="6">
        <v>10</v>
      </c>
      <c r="K3921" s="119">
        <f>D3928</f>
        <v>693575.28395900002</v>
      </c>
      <c r="L3921" s="119">
        <f>D3929</f>
        <v>1017492.931506</v>
      </c>
      <c r="M3921" s="18">
        <f t="shared" si="577"/>
        <v>-0.46702593797466985</v>
      </c>
      <c r="N3921" s="73">
        <f>D3930</f>
        <v>1225843.550575</v>
      </c>
      <c r="O3921" s="18">
        <f t="shared" si="578"/>
        <v>-0.76742680848971034</v>
      </c>
      <c r="P3921" s="22">
        <f t="shared" si="579"/>
        <v>-0.20476861569998178</v>
      </c>
    </row>
    <row r="3922" spans="1:16" x14ac:dyDescent="0.25">
      <c r="A3922" s="137" t="s">
        <v>1283</v>
      </c>
      <c r="B3922" s="137" t="s">
        <v>333</v>
      </c>
      <c r="C3922" s="137">
        <v>10</v>
      </c>
      <c r="D3922" s="196">
        <v>218174.987119</v>
      </c>
      <c r="E3922" s="137">
        <v>1</v>
      </c>
      <c r="F3922" s="196">
        <v>13911.068003</v>
      </c>
      <c r="G3922" s="137" t="s">
        <v>335</v>
      </c>
      <c r="H3922" s="79">
        <f t="shared" si="576"/>
        <v>6.3761057977798505E-2</v>
      </c>
      <c r="J3922" s="67">
        <v>20</v>
      </c>
      <c r="K3922" s="149">
        <f>D3931</f>
        <v>1854997.5349570001</v>
      </c>
      <c r="L3922" s="119">
        <f>D3932</f>
        <v>2100678.2710810001</v>
      </c>
      <c r="M3922" s="18">
        <f t="shared" si="577"/>
        <v>-0.13244262134811682</v>
      </c>
      <c r="N3922" s="73">
        <f>D3933</f>
        <v>1683471.9864660001</v>
      </c>
      <c r="O3922" s="18">
        <f t="shared" si="578"/>
        <v>9.2466725835824909E-2</v>
      </c>
      <c r="P3922" s="22">
        <f t="shared" si="579"/>
        <v>0.19860551249492739</v>
      </c>
    </row>
    <row r="3923" spans="1:16" x14ac:dyDescent="0.25">
      <c r="A3923" s="137" t="s">
        <v>1284</v>
      </c>
      <c r="B3923" s="137" t="s">
        <v>333</v>
      </c>
      <c r="C3923" s="137">
        <v>10</v>
      </c>
      <c r="D3923" s="196">
        <v>271297.60645299999</v>
      </c>
      <c r="E3923" s="137">
        <v>1</v>
      </c>
      <c r="F3923" s="196">
        <v>14839.752171</v>
      </c>
      <c r="G3923" s="137" t="s">
        <v>335</v>
      </c>
      <c r="H3923" s="79">
        <f t="shared" si="576"/>
        <v>5.4699163641795202E-2</v>
      </c>
      <c r="J3923" s="67">
        <v>30</v>
      </c>
      <c r="K3923" s="119">
        <f>D3934</f>
        <v>3820332.4349580002</v>
      </c>
      <c r="L3923" s="119">
        <f>D3935</f>
        <v>3347209.9517339999</v>
      </c>
      <c r="M3923" s="18">
        <f t="shared" si="577"/>
        <v>0.12384327575649885</v>
      </c>
      <c r="N3923" s="73">
        <f>D3936</f>
        <v>2688720.8166120001</v>
      </c>
      <c r="O3923" s="18">
        <f t="shared" si="578"/>
        <v>0.2962076305169607</v>
      </c>
      <c r="P3923" s="22">
        <f t="shared" si="579"/>
        <v>0.19672776569658376</v>
      </c>
    </row>
    <row r="3924" spans="1:16" x14ac:dyDescent="0.25">
      <c r="A3924" s="137" t="s">
        <v>1285</v>
      </c>
      <c r="B3924" s="137" t="s">
        <v>333</v>
      </c>
      <c r="C3924" s="137">
        <v>10</v>
      </c>
      <c r="D3924" s="196">
        <v>343095.45588999998</v>
      </c>
      <c r="E3924" s="137">
        <v>1</v>
      </c>
      <c r="F3924" s="196">
        <v>18366.909630999999</v>
      </c>
      <c r="G3924" s="137" t="s">
        <v>335</v>
      </c>
      <c r="H3924" s="79">
        <f t="shared" si="576"/>
        <v>5.3532943429272999E-2</v>
      </c>
      <c r="J3924" s="67">
        <v>40</v>
      </c>
      <c r="K3924" s="119">
        <f>D3937</f>
        <v>5693118.588672</v>
      </c>
      <c r="L3924" s="119">
        <f>D3938</f>
        <v>5009280.9909260003</v>
      </c>
      <c r="M3924" s="18">
        <f t="shared" si="577"/>
        <v>0.12011652086550237</v>
      </c>
      <c r="N3924" s="73">
        <f>D3939</f>
        <v>4007397.5293040001</v>
      </c>
      <c r="O3924" s="18">
        <f t="shared" si="578"/>
        <v>0.29609800553288984</v>
      </c>
      <c r="P3924" s="22">
        <f t="shared" si="579"/>
        <v>0.20000544258484393</v>
      </c>
    </row>
    <row r="3925" spans="1:16" x14ac:dyDescent="0.25">
      <c r="A3925" s="137" t="s">
        <v>1286</v>
      </c>
      <c r="B3925" s="137" t="s">
        <v>333</v>
      </c>
      <c r="C3925" s="137">
        <v>10</v>
      </c>
      <c r="D3925" s="196">
        <v>358397.66694000002</v>
      </c>
      <c r="E3925" s="137">
        <v>1</v>
      </c>
      <c r="F3925" s="196">
        <v>35240.490486000002</v>
      </c>
      <c r="G3925" s="137" t="s">
        <v>335</v>
      </c>
      <c r="H3925" s="79">
        <f t="shared" si="576"/>
        <v>9.8327901481288588E-2</v>
      </c>
      <c r="J3925" s="67">
        <v>50</v>
      </c>
      <c r="K3925" s="119">
        <f>D3940</f>
        <v>7386983.2976430003</v>
      </c>
      <c r="L3925" s="119">
        <v>6020056</v>
      </c>
      <c r="M3925" s="18">
        <f t="shared" si="577"/>
        <v>0.18504540250945906</v>
      </c>
      <c r="N3925" s="73">
        <f>D3942</f>
        <v>5120006.3350579999</v>
      </c>
      <c r="O3925" s="18">
        <f t="shared" si="578"/>
        <v>0.30688805852699508</v>
      </c>
      <c r="P3925" s="22">
        <f t="shared" si="579"/>
        <v>0.14950852034300013</v>
      </c>
    </row>
    <row r="3926" spans="1:16" ht="20" thickBot="1" x14ac:dyDescent="0.3">
      <c r="A3926" s="137" t="s">
        <v>1287</v>
      </c>
      <c r="B3926" s="137" t="s">
        <v>333</v>
      </c>
      <c r="C3926" s="137">
        <v>10</v>
      </c>
      <c r="D3926" s="196">
        <v>445692.413887</v>
      </c>
      <c r="E3926" s="137">
        <v>1</v>
      </c>
      <c r="F3926" s="196">
        <v>46418.396889000003</v>
      </c>
      <c r="G3926" s="137" t="s">
        <v>335</v>
      </c>
      <c r="H3926" s="79">
        <f t="shared" si="576"/>
        <v>0.10414894990958683</v>
      </c>
      <c r="J3926" s="68">
        <v>80</v>
      </c>
      <c r="K3926" s="120">
        <f>D3943</f>
        <v>122083038.45154899</v>
      </c>
      <c r="L3926" s="120">
        <f>D3944</f>
        <v>14142643.967401</v>
      </c>
      <c r="M3926" s="19">
        <f t="shared" si="577"/>
        <v>0.88415553751954024</v>
      </c>
      <c r="N3926" s="74">
        <f>D3945</f>
        <v>10047733.723540001</v>
      </c>
      <c r="O3926" s="19">
        <f t="shared" si="578"/>
        <v>0.9176975454495454</v>
      </c>
      <c r="P3926" s="23">
        <f t="shared" si="579"/>
        <v>0.28954347244403711</v>
      </c>
    </row>
    <row r="3927" spans="1:16" x14ac:dyDescent="0.25">
      <c r="A3927" s="137" t="s">
        <v>1288</v>
      </c>
      <c r="B3927" s="137" t="s">
        <v>333</v>
      </c>
      <c r="C3927" s="137">
        <v>10</v>
      </c>
      <c r="D3927" s="196">
        <v>564398.22887400002</v>
      </c>
      <c r="E3927" s="137">
        <v>1</v>
      </c>
      <c r="F3927" s="196">
        <v>49759.193638999997</v>
      </c>
      <c r="G3927" s="137" t="s">
        <v>335</v>
      </c>
      <c r="H3927" s="79">
        <f t="shared" si="576"/>
        <v>8.816327035304812E-2</v>
      </c>
    </row>
    <row r="3928" spans="1:16" x14ac:dyDescent="0.25">
      <c r="A3928" s="137" t="s">
        <v>1289</v>
      </c>
      <c r="B3928" s="137" t="s">
        <v>333</v>
      </c>
      <c r="C3928" s="137">
        <v>10</v>
      </c>
      <c r="D3928" s="196">
        <v>693575.28395900002</v>
      </c>
      <c r="E3928" s="137">
        <v>1</v>
      </c>
      <c r="F3928" s="196">
        <v>51586.752627000002</v>
      </c>
      <c r="G3928" s="137" t="s">
        <v>335</v>
      </c>
      <c r="H3928" s="79">
        <f t="shared" si="576"/>
        <v>7.4378014643972659E-2</v>
      </c>
    </row>
    <row r="3929" spans="1:16" x14ac:dyDescent="0.25">
      <c r="A3929" s="137" t="s">
        <v>1290</v>
      </c>
      <c r="B3929" s="137" t="s">
        <v>333</v>
      </c>
      <c r="C3929" s="137">
        <v>10</v>
      </c>
      <c r="D3929" s="196">
        <v>1017492.931506</v>
      </c>
      <c r="E3929" s="137">
        <v>1</v>
      </c>
      <c r="F3929" s="196">
        <v>101813.93199700001</v>
      </c>
      <c r="G3929" s="137" t="s">
        <v>335</v>
      </c>
      <c r="H3929" s="79">
        <f t="shared" si="576"/>
        <v>0.10006352756309013</v>
      </c>
    </row>
    <row r="3930" spans="1:16" x14ac:dyDescent="0.25">
      <c r="A3930" s="137" t="s">
        <v>1291</v>
      </c>
      <c r="B3930" s="137" t="s">
        <v>333</v>
      </c>
      <c r="C3930" s="137">
        <v>10</v>
      </c>
      <c r="D3930" s="196">
        <v>1225843.550575</v>
      </c>
      <c r="E3930" s="137">
        <v>1</v>
      </c>
      <c r="F3930" s="196">
        <v>77004.748231999998</v>
      </c>
      <c r="G3930" s="137" t="s">
        <v>335</v>
      </c>
      <c r="H3930" s="79">
        <f t="shared" si="576"/>
        <v>6.2817761855401361E-2</v>
      </c>
    </row>
    <row r="3931" spans="1:16" x14ac:dyDescent="0.25">
      <c r="A3931" s="137" t="s">
        <v>1292</v>
      </c>
      <c r="B3931" s="137" t="s">
        <v>333</v>
      </c>
      <c r="C3931" s="137">
        <v>10</v>
      </c>
      <c r="D3931" s="196">
        <v>1854997.5349570001</v>
      </c>
      <c r="E3931" s="137">
        <v>1</v>
      </c>
      <c r="F3931" s="196">
        <v>102264.38407499999</v>
      </c>
      <c r="G3931" s="137" t="s">
        <v>335</v>
      </c>
      <c r="H3931" s="79">
        <f t="shared" si="576"/>
        <v>5.5129121277980857E-2</v>
      </c>
    </row>
    <row r="3932" spans="1:16" x14ac:dyDescent="0.25">
      <c r="A3932" s="137" t="s">
        <v>1293</v>
      </c>
      <c r="B3932" s="137" t="s">
        <v>333</v>
      </c>
      <c r="C3932" s="137">
        <v>10</v>
      </c>
      <c r="D3932" s="196">
        <v>2100678.2710810001</v>
      </c>
      <c r="E3932" s="137">
        <v>1</v>
      </c>
      <c r="F3932" s="196">
        <v>211371.25578899999</v>
      </c>
      <c r="G3932" s="137" t="s">
        <v>335</v>
      </c>
      <c r="H3932" s="79">
        <f t="shared" si="576"/>
        <v>0.10062047991776925</v>
      </c>
    </row>
    <row r="3933" spans="1:16" x14ac:dyDescent="0.25">
      <c r="A3933" s="137" t="s">
        <v>1294</v>
      </c>
      <c r="B3933" s="137" t="s">
        <v>333</v>
      </c>
      <c r="C3933" s="137">
        <v>10</v>
      </c>
      <c r="D3933" s="196">
        <v>1683471.9864660001</v>
      </c>
      <c r="E3933" s="137">
        <v>1</v>
      </c>
      <c r="F3933" s="196">
        <v>126185.036653</v>
      </c>
      <c r="G3933" s="137" t="s">
        <v>335</v>
      </c>
      <c r="H3933" s="79">
        <f t="shared" si="576"/>
        <v>7.4955233985147446E-2</v>
      </c>
    </row>
    <row r="3934" spans="1:16" x14ac:dyDescent="0.25">
      <c r="A3934" s="137" t="s">
        <v>1295</v>
      </c>
      <c r="B3934" s="137" t="s">
        <v>333</v>
      </c>
      <c r="C3934" s="137">
        <v>10</v>
      </c>
      <c r="D3934" s="196">
        <v>3820332.4349580002</v>
      </c>
      <c r="E3934" s="137">
        <v>1</v>
      </c>
      <c r="F3934" s="196">
        <v>271851.83481999999</v>
      </c>
      <c r="G3934" s="137" t="s">
        <v>335</v>
      </c>
      <c r="H3934" s="79">
        <f t="shared" si="576"/>
        <v>7.1159209165259113E-2</v>
      </c>
    </row>
    <row r="3935" spans="1:16" x14ac:dyDescent="0.25">
      <c r="A3935" s="137" t="s">
        <v>1296</v>
      </c>
      <c r="B3935" s="137" t="s">
        <v>333</v>
      </c>
      <c r="C3935" s="137">
        <v>10</v>
      </c>
      <c r="D3935" s="196">
        <v>3347209.9517339999</v>
      </c>
      <c r="E3935" s="137">
        <v>1</v>
      </c>
      <c r="F3935" s="196">
        <v>121159.664408</v>
      </c>
      <c r="G3935" s="137" t="s">
        <v>335</v>
      </c>
      <c r="H3935" s="79">
        <f t="shared" si="576"/>
        <v>3.6197210857727653E-2</v>
      </c>
    </row>
    <row r="3936" spans="1:16" x14ac:dyDescent="0.25">
      <c r="A3936" s="137" t="s">
        <v>1297</v>
      </c>
      <c r="B3936" s="137" t="s">
        <v>333</v>
      </c>
      <c r="C3936" s="137">
        <v>10</v>
      </c>
      <c r="D3936" s="196">
        <v>2688720.8166120001</v>
      </c>
      <c r="E3936" s="137">
        <v>1</v>
      </c>
      <c r="F3936" s="196">
        <v>200673.59977599999</v>
      </c>
      <c r="G3936" s="137" t="s">
        <v>335</v>
      </c>
      <c r="H3936" s="79">
        <f t="shared" si="576"/>
        <v>7.4635342775701247E-2</v>
      </c>
    </row>
    <row r="3937" spans="1:19" x14ac:dyDescent="0.25">
      <c r="A3937" s="137" t="s">
        <v>1298</v>
      </c>
      <c r="B3937" s="137" t="s">
        <v>333</v>
      </c>
      <c r="C3937" s="137">
        <v>10</v>
      </c>
      <c r="D3937" s="196">
        <v>5693118.588672</v>
      </c>
      <c r="E3937" s="137">
        <v>1</v>
      </c>
      <c r="F3937" s="196">
        <v>362780.23002700001</v>
      </c>
      <c r="G3937" s="137" t="s">
        <v>335</v>
      </c>
      <c r="H3937" s="79">
        <f t="shared" si="576"/>
        <v>6.372258444586934E-2</v>
      </c>
    </row>
    <row r="3938" spans="1:19" x14ac:dyDescent="0.25">
      <c r="A3938" s="137" t="s">
        <v>1299</v>
      </c>
      <c r="B3938" s="137" t="s">
        <v>333</v>
      </c>
      <c r="C3938" s="137">
        <v>10</v>
      </c>
      <c r="D3938" s="196">
        <v>5009280.9909260003</v>
      </c>
      <c r="E3938" s="137">
        <v>1</v>
      </c>
      <c r="F3938" s="196">
        <v>363114.55300499999</v>
      </c>
      <c r="G3938" s="137" t="s">
        <v>335</v>
      </c>
      <c r="H3938" s="79">
        <f t="shared" si="576"/>
        <v>7.2488357842724199E-2</v>
      </c>
    </row>
    <row r="3939" spans="1:19" x14ac:dyDescent="0.25">
      <c r="A3939" s="137" t="s">
        <v>1300</v>
      </c>
      <c r="B3939" s="137" t="s">
        <v>333</v>
      </c>
      <c r="C3939" s="137">
        <v>10</v>
      </c>
      <c r="D3939" s="196">
        <v>4007397.5293040001</v>
      </c>
      <c r="E3939" s="137">
        <v>1</v>
      </c>
      <c r="F3939" s="196">
        <v>386334.91466200002</v>
      </c>
      <c r="G3939" s="137" t="s">
        <v>335</v>
      </c>
      <c r="H3939" s="79">
        <f t="shared" si="576"/>
        <v>9.6405438152051312E-2</v>
      </c>
    </row>
    <row r="3940" spans="1:19" x14ac:dyDescent="0.25">
      <c r="A3940" s="137" t="s">
        <v>1301</v>
      </c>
      <c r="B3940" s="137" t="s">
        <v>333</v>
      </c>
      <c r="C3940" s="137">
        <v>10</v>
      </c>
      <c r="D3940" s="196">
        <v>7386983.2976430003</v>
      </c>
      <c r="E3940" s="137">
        <v>1</v>
      </c>
      <c r="F3940" s="196">
        <v>627530.44297199999</v>
      </c>
      <c r="G3940" s="137" t="s">
        <v>335</v>
      </c>
      <c r="H3940" s="79">
        <f t="shared" si="576"/>
        <v>8.4950840916647133E-2</v>
      </c>
    </row>
    <row r="3941" spans="1:19" x14ac:dyDescent="0.25">
      <c r="A3941" s="137" t="s">
        <v>1302</v>
      </c>
      <c r="B3941" s="137" t="s">
        <v>333</v>
      </c>
      <c r="C3941" s="137">
        <v>10</v>
      </c>
      <c r="D3941" s="196">
        <v>7610725.7308679996</v>
      </c>
      <c r="E3941" s="137">
        <v>1</v>
      </c>
      <c r="F3941" s="196">
        <v>245690.09430999999</v>
      </c>
      <c r="G3941" s="137" t="s">
        <v>335</v>
      </c>
      <c r="H3941" s="79">
        <f t="shared" si="576"/>
        <v>3.2282084915176562E-2</v>
      </c>
    </row>
    <row r="3942" spans="1:19" x14ac:dyDescent="0.25">
      <c r="A3942" s="137" t="s">
        <v>1303</v>
      </c>
      <c r="B3942" s="137" t="s">
        <v>333</v>
      </c>
      <c r="C3942" s="137">
        <v>10</v>
      </c>
      <c r="D3942" s="196">
        <v>5120006.3350579999</v>
      </c>
      <c r="E3942" s="137">
        <v>1</v>
      </c>
      <c r="F3942" s="196">
        <v>461707.06926000002</v>
      </c>
      <c r="G3942" s="137" t="s">
        <v>335</v>
      </c>
      <c r="H3942" s="79">
        <f t="shared" si="576"/>
        <v>9.0177050387335075E-2</v>
      </c>
    </row>
    <row r="3943" spans="1:19" x14ac:dyDescent="0.25">
      <c r="A3943" s="137" t="s">
        <v>1304</v>
      </c>
      <c r="B3943" s="137" t="s">
        <v>333</v>
      </c>
      <c r="C3943" s="137">
        <v>10</v>
      </c>
      <c r="D3943" s="196">
        <v>122083038.45154899</v>
      </c>
      <c r="E3943" s="137">
        <v>1</v>
      </c>
      <c r="F3943" s="196">
        <v>7915645.2665520003</v>
      </c>
      <c r="G3943" s="137" t="s">
        <v>335</v>
      </c>
      <c r="H3943" s="79">
        <f t="shared" si="576"/>
        <v>6.4838206576038629E-2</v>
      </c>
    </row>
    <row r="3944" spans="1:19" x14ac:dyDescent="0.25">
      <c r="A3944" s="137" t="s">
        <v>1305</v>
      </c>
      <c r="B3944" s="137" t="s">
        <v>333</v>
      </c>
      <c r="C3944" s="137">
        <v>10</v>
      </c>
      <c r="D3944" s="196">
        <v>14142643.967401</v>
      </c>
      <c r="E3944" s="137">
        <v>1</v>
      </c>
      <c r="F3944" s="196">
        <v>383555.70701499999</v>
      </c>
      <c r="G3944" s="137" t="s">
        <v>335</v>
      </c>
      <c r="H3944" s="79">
        <f t="shared" si="576"/>
        <v>2.712050928377335E-2</v>
      </c>
    </row>
    <row r="3945" spans="1:19" x14ac:dyDescent="0.25">
      <c r="A3945" s="137" t="s">
        <v>1306</v>
      </c>
      <c r="B3945" s="137" t="s">
        <v>333</v>
      </c>
      <c r="C3945" s="137">
        <v>10</v>
      </c>
      <c r="D3945" s="196">
        <v>10047733.723540001</v>
      </c>
      <c r="E3945" s="137">
        <v>1</v>
      </c>
      <c r="F3945" s="196">
        <v>668681.14948000002</v>
      </c>
      <c r="G3945" s="137" t="s">
        <v>335</v>
      </c>
      <c r="H3945" s="79">
        <f t="shared" si="576"/>
        <v>6.6550444894195648E-2</v>
      </c>
    </row>
    <row r="3947" spans="1:19" x14ac:dyDescent="0.25">
      <c r="A3947" s="185" t="s">
        <v>1686</v>
      </c>
      <c r="B3947" s="185"/>
      <c r="C3947" s="185"/>
      <c r="D3947" s="198"/>
      <c r="E3947" s="185"/>
      <c r="F3947" s="198"/>
      <c r="G3947" s="185"/>
      <c r="H3947" s="185"/>
      <c r="I3947" s="185"/>
      <c r="J3947" s="185"/>
      <c r="K3947" s="187"/>
      <c r="L3947" s="187"/>
      <c r="M3947" s="188"/>
      <c r="N3947" s="186"/>
      <c r="O3947" s="188"/>
      <c r="P3947" s="186"/>
      <c r="Q3947" s="188"/>
    </row>
    <row r="3949" spans="1:19" x14ac:dyDescent="0.25">
      <c r="A3949" s="3" t="s">
        <v>1224</v>
      </c>
    </row>
    <row r="3950" spans="1:19" ht="20" thickBot="1" x14ac:dyDescent="0.3">
      <c r="A3950" s="3" t="s">
        <v>2</v>
      </c>
      <c r="B3950" s="3" t="s">
        <v>3</v>
      </c>
      <c r="C3950" s="3" t="s">
        <v>504</v>
      </c>
      <c r="D3950" s="189" t="s">
        <v>5</v>
      </c>
      <c r="E3950" s="3" t="s">
        <v>1247</v>
      </c>
      <c r="F3950" s="189" t="s">
        <v>505</v>
      </c>
      <c r="G3950" s="3" t="s">
        <v>506</v>
      </c>
    </row>
    <row r="3951" spans="1:19" x14ac:dyDescent="0.25">
      <c r="A3951" s="3" t="s">
        <v>1441</v>
      </c>
      <c r="B3951" s="3" t="s">
        <v>333</v>
      </c>
      <c r="C3951" s="3">
        <v>25</v>
      </c>
      <c r="D3951" s="189">
        <v>9081.6018999999997</v>
      </c>
      <c r="E3951" s="3">
        <v>1</v>
      </c>
      <c r="F3951" s="189">
        <v>2771.4378569999999</v>
      </c>
      <c r="G3951" s="3" t="s">
        <v>335</v>
      </c>
      <c r="H3951" s="79">
        <f t="shared" ref="H3951:H3970" si="580">F3951/D3951</f>
        <v>0.30517059517880873</v>
      </c>
      <c r="J3951" s="106" t="str">
        <f>A3949</f>
        <v>crazy2</v>
      </c>
      <c r="K3951" s="72" t="s">
        <v>344</v>
      </c>
      <c r="L3951" s="72" t="s">
        <v>341</v>
      </c>
      <c r="M3951" s="17" t="s">
        <v>162</v>
      </c>
      <c r="N3951" s="72" t="s">
        <v>343</v>
      </c>
      <c r="O3951" s="17" t="s">
        <v>162</v>
      </c>
      <c r="P3951" s="72" t="s">
        <v>342</v>
      </c>
      <c r="Q3951" s="155" t="s">
        <v>162</v>
      </c>
      <c r="R3951" s="156" t="s">
        <v>1245</v>
      </c>
      <c r="S3951" s="156" t="s">
        <v>1684</v>
      </c>
    </row>
    <row r="3952" spans="1:19" x14ac:dyDescent="0.25">
      <c r="A3952" s="3" t="s">
        <v>1442</v>
      </c>
      <c r="B3952" s="3" t="s">
        <v>333</v>
      </c>
      <c r="C3952" s="3">
        <v>25</v>
      </c>
      <c r="D3952" s="189">
        <v>82622.889957000007</v>
      </c>
      <c r="E3952" s="3">
        <v>1</v>
      </c>
      <c r="F3952" s="189">
        <v>84236.511154000007</v>
      </c>
      <c r="G3952" s="3" t="s">
        <v>335</v>
      </c>
      <c r="H3952" s="79">
        <f t="shared" si="580"/>
        <v>1.0195299534770546</v>
      </c>
      <c r="J3952" s="6">
        <v>100</v>
      </c>
      <c r="K3952" s="119">
        <f>D3951</f>
        <v>9081.6018999999997</v>
      </c>
      <c r="L3952" s="119">
        <f>D3952</f>
        <v>82622.889957000007</v>
      </c>
      <c r="M3952" s="18">
        <f>(K3952-L3952)/K3952</f>
        <v>-8.0978321739692216</v>
      </c>
      <c r="N3952" s="73">
        <f>D3953</f>
        <v>34280.875416000003</v>
      </c>
      <c r="O3952" s="18">
        <f>(K3952-N3952)/K3952</f>
        <v>-2.7747608619576245</v>
      </c>
      <c r="P3952" s="73">
        <f>D3954</f>
        <v>50973.593603000001</v>
      </c>
      <c r="Q3952" s="53">
        <f>(K3952-P3952)/K3952</f>
        <v>-4.6128416731193651</v>
      </c>
      <c r="R3952" s="22">
        <f>(L3952-P3952)/L3952</f>
        <v>0.38305724201212843</v>
      </c>
      <c r="S3952" s="22">
        <f>(N3952-P3952)/N3952</f>
        <v>-0.48693967071823852</v>
      </c>
    </row>
    <row r="3953" spans="1:19" x14ac:dyDescent="0.25">
      <c r="A3953" s="3" t="s">
        <v>1443</v>
      </c>
      <c r="B3953" s="3" t="s">
        <v>333</v>
      </c>
      <c r="C3953" s="3">
        <v>25</v>
      </c>
      <c r="D3953" s="189">
        <v>34280.875416000003</v>
      </c>
      <c r="E3953" s="3">
        <v>1</v>
      </c>
      <c r="F3953" s="189">
        <v>42485.448107999997</v>
      </c>
      <c r="G3953" s="3" t="s">
        <v>335</v>
      </c>
      <c r="H3953" s="79">
        <f t="shared" si="580"/>
        <v>1.2393338149168343</v>
      </c>
      <c r="J3953" s="6">
        <v>1000</v>
      </c>
      <c r="K3953" s="119">
        <f>D3955</f>
        <v>345649.11053100001</v>
      </c>
      <c r="L3953" s="119">
        <f>D3956</f>
        <v>483589.24778699997</v>
      </c>
      <c r="M3953" s="18">
        <f t="shared" ref="M3953:M3956" si="581">(K3953-L3953)/K3953</f>
        <v>-0.3990756320596075</v>
      </c>
      <c r="N3953" s="73">
        <f>D3957</f>
        <v>503008.06365299999</v>
      </c>
      <c r="O3953" s="18">
        <f t="shared" ref="O3953:O3956" si="582">(K3953-N3953)/K3953</f>
        <v>-0.45525635196994679</v>
      </c>
      <c r="P3953" s="73">
        <f>D3958</f>
        <v>718862.70621199999</v>
      </c>
      <c r="Q3953" s="53">
        <f t="shared" ref="Q3953:Q3956" si="583">(K3953-P3953)/K3953</f>
        <v>-1.0797470160060714</v>
      </c>
      <c r="R3953" s="22">
        <f t="shared" ref="R3953:R3956" si="584">(L3953-P3953)/L3953</f>
        <v>-0.48651507348779544</v>
      </c>
      <c r="S3953" s="22">
        <f t="shared" ref="S3953:S3956" si="585">(N3953-P3953)/N3953</f>
        <v>-0.42912759885278356</v>
      </c>
    </row>
    <row r="3954" spans="1:19" x14ac:dyDescent="0.25">
      <c r="A3954" s="3" t="s">
        <v>1444</v>
      </c>
      <c r="B3954" s="3" t="s">
        <v>333</v>
      </c>
      <c r="C3954" s="3">
        <v>25</v>
      </c>
      <c r="D3954" s="189">
        <v>50973.593603000001</v>
      </c>
      <c r="E3954" s="3">
        <v>1</v>
      </c>
      <c r="F3954" s="189">
        <v>37838.321639000002</v>
      </c>
      <c r="G3954" s="3" t="s">
        <v>335</v>
      </c>
      <c r="H3954" s="79">
        <f t="shared" si="580"/>
        <v>0.74231222412329712</v>
      </c>
      <c r="J3954" s="6">
        <v>10000</v>
      </c>
      <c r="K3954" s="119">
        <f>D3959</f>
        <v>2007878.788618</v>
      </c>
      <c r="L3954" s="119">
        <f>D3960</f>
        <v>2053971.4271509999</v>
      </c>
      <c r="M3954" s="18">
        <f t="shared" si="581"/>
        <v>-2.2955886975988694E-2</v>
      </c>
      <c r="N3954" s="73">
        <f>D3961</f>
        <v>2216439.634329</v>
      </c>
      <c r="O3954" s="18">
        <f t="shared" si="582"/>
        <v>-0.10387123311091406</v>
      </c>
      <c r="P3954" s="73">
        <f>D3962</f>
        <v>4583958.7384940004</v>
      </c>
      <c r="Q3954" s="53">
        <f t="shared" si="583"/>
        <v>-1.2829857880261222</v>
      </c>
      <c r="R3954" s="22">
        <f t="shared" si="584"/>
        <v>-1.2317538977902274</v>
      </c>
      <c r="S3954" s="22">
        <f t="shared" si="585"/>
        <v>-1.0681631331149417</v>
      </c>
    </row>
    <row r="3955" spans="1:19" x14ac:dyDescent="0.25">
      <c r="A3955" s="3" t="s">
        <v>1445</v>
      </c>
      <c r="B3955" s="3" t="s">
        <v>333</v>
      </c>
      <c r="C3955" s="3">
        <v>25</v>
      </c>
      <c r="D3955" s="189">
        <v>345649.11053100001</v>
      </c>
      <c r="E3955" s="3">
        <v>1</v>
      </c>
      <c r="F3955" s="189">
        <v>353247.14367800002</v>
      </c>
      <c r="G3955" s="3" t="s">
        <v>335</v>
      </c>
      <c r="H3955" s="79">
        <f t="shared" si="580"/>
        <v>1.0219819259344471</v>
      </c>
      <c r="J3955" s="6">
        <v>50000</v>
      </c>
      <c r="K3955" s="119">
        <f>D3963</f>
        <v>89415696.200472996</v>
      </c>
      <c r="L3955" s="119">
        <f>D3964</f>
        <v>133338189.11425</v>
      </c>
      <c r="M3955" s="18">
        <f t="shared" si="581"/>
        <v>-0.49121680845945997</v>
      </c>
      <c r="N3955" s="73">
        <f>D3965</f>
        <v>16453289.358548</v>
      </c>
      <c r="O3955" s="18">
        <f t="shared" si="582"/>
        <v>0.81599103895965674</v>
      </c>
      <c r="P3955" s="73">
        <f>D3966</f>
        <v>19535532.831445001</v>
      </c>
      <c r="Q3955" s="53">
        <f t="shared" si="583"/>
        <v>0.78152009477569051</v>
      </c>
      <c r="R3955" s="22">
        <f t="shared" si="584"/>
        <v>0.85348883945989318</v>
      </c>
      <c r="S3955" s="22">
        <f t="shared" si="585"/>
        <v>-0.18733296459626647</v>
      </c>
    </row>
    <row r="3956" spans="1:19" ht="20" thickBot="1" x14ac:dyDescent="0.3">
      <c r="A3956" s="3" t="s">
        <v>1446</v>
      </c>
      <c r="B3956" s="3" t="s">
        <v>333</v>
      </c>
      <c r="C3956" s="3">
        <v>25</v>
      </c>
      <c r="D3956" s="189">
        <v>483589.24778699997</v>
      </c>
      <c r="E3956" s="3">
        <v>1</v>
      </c>
      <c r="F3956" s="189">
        <v>630526.43424199999</v>
      </c>
      <c r="G3956" s="3" t="s">
        <v>335</v>
      </c>
      <c r="H3956" s="79">
        <f t="shared" si="580"/>
        <v>1.3038470915708189</v>
      </c>
      <c r="J3956" s="7">
        <v>100000</v>
      </c>
      <c r="K3956" s="120">
        <f>D3967</f>
        <v>156750206.050367</v>
      </c>
      <c r="L3956" s="120">
        <f>D3968</f>
        <v>76871960.448425993</v>
      </c>
      <c r="M3956" s="19">
        <f t="shared" si="581"/>
        <v>0.50958941372156485</v>
      </c>
      <c r="N3956" s="74">
        <f>D3969</f>
        <v>97521094.460382</v>
      </c>
      <c r="O3956" s="19">
        <f t="shared" si="582"/>
        <v>0.37785667452936866</v>
      </c>
      <c r="P3956" s="74">
        <f>D3970</f>
        <v>77588855.195948005</v>
      </c>
      <c r="Q3956" s="54">
        <f t="shared" si="583"/>
        <v>0.50501592852122223</v>
      </c>
      <c r="R3956" s="23">
        <f t="shared" si="584"/>
        <v>-9.3258288632170599E-3</v>
      </c>
      <c r="S3956" s="23">
        <f t="shared" si="585"/>
        <v>0.20438900296111298</v>
      </c>
    </row>
    <row r="3957" spans="1:19" x14ac:dyDescent="0.25">
      <c r="A3957" s="3" t="s">
        <v>1447</v>
      </c>
      <c r="B3957" s="3" t="s">
        <v>333</v>
      </c>
      <c r="C3957" s="3">
        <v>25</v>
      </c>
      <c r="D3957" s="189">
        <v>503008.06365299999</v>
      </c>
      <c r="E3957" s="3">
        <v>1</v>
      </c>
      <c r="F3957" s="189">
        <v>572311.41802800004</v>
      </c>
      <c r="G3957" s="3" t="s">
        <v>335</v>
      </c>
      <c r="H3957" s="79">
        <f t="shared" si="580"/>
        <v>1.1377778198458643</v>
      </c>
    </row>
    <row r="3958" spans="1:19" x14ac:dyDescent="0.25">
      <c r="A3958" s="3" t="s">
        <v>1448</v>
      </c>
      <c r="B3958" s="3" t="s">
        <v>333</v>
      </c>
      <c r="C3958" s="3">
        <v>25</v>
      </c>
      <c r="D3958" s="189">
        <v>718862.70621199999</v>
      </c>
      <c r="E3958" s="3">
        <v>1</v>
      </c>
      <c r="F3958" s="189">
        <v>565297.34519100003</v>
      </c>
      <c r="G3958" s="3" t="s">
        <v>335</v>
      </c>
      <c r="H3958" s="79">
        <f t="shared" si="580"/>
        <v>0.78637734341484677</v>
      </c>
    </row>
    <row r="3959" spans="1:19" x14ac:dyDescent="0.25">
      <c r="A3959" s="3" t="s">
        <v>1453</v>
      </c>
      <c r="B3959" s="3" t="s">
        <v>333</v>
      </c>
      <c r="C3959" s="3">
        <v>25</v>
      </c>
      <c r="D3959" s="189">
        <v>2007878.788618</v>
      </c>
      <c r="E3959" s="3">
        <v>1</v>
      </c>
      <c r="F3959" s="189">
        <v>337521.31505500001</v>
      </c>
      <c r="G3959" s="3" t="s">
        <v>335</v>
      </c>
      <c r="H3959" s="79">
        <f t="shared" si="580"/>
        <v>0.16809845144452773</v>
      </c>
    </row>
    <row r="3960" spans="1:19" x14ac:dyDescent="0.25">
      <c r="A3960" s="3" t="s">
        <v>1454</v>
      </c>
      <c r="B3960" s="3" t="s">
        <v>333</v>
      </c>
      <c r="C3960" s="3">
        <v>25</v>
      </c>
      <c r="D3960" s="189">
        <v>2053971.4271509999</v>
      </c>
      <c r="E3960" s="3">
        <v>1</v>
      </c>
      <c r="F3960" s="189">
        <v>338048.430322</v>
      </c>
      <c r="G3960" s="3" t="s">
        <v>335</v>
      </c>
      <c r="H3960" s="79">
        <f t="shared" si="580"/>
        <v>0.1645828300498301</v>
      </c>
    </row>
    <row r="3961" spans="1:19" x14ac:dyDescent="0.25">
      <c r="A3961" s="3" t="s">
        <v>1455</v>
      </c>
      <c r="B3961" s="3" t="s">
        <v>333</v>
      </c>
      <c r="C3961" s="3">
        <v>25</v>
      </c>
      <c r="D3961" s="189">
        <v>2216439.634329</v>
      </c>
      <c r="E3961" s="3">
        <v>1</v>
      </c>
      <c r="F3961" s="189">
        <v>471217.44842199999</v>
      </c>
      <c r="G3961" s="3" t="s">
        <v>335</v>
      </c>
      <c r="H3961" s="79">
        <f t="shared" si="580"/>
        <v>0.21260107477037393</v>
      </c>
    </row>
    <row r="3962" spans="1:19" x14ac:dyDescent="0.25">
      <c r="A3962" s="3" t="s">
        <v>1456</v>
      </c>
      <c r="B3962" s="3" t="s">
        <v>333</v>
      </c>
      <c r="C3962" s="3">
        <v>25</v>
      </c>
      <c r="D3962" s="189">
        <v>4583958.7384940004</v>
      </c>
      <c r="E3962" s="3">
        <v>1</v>
      </c>
      <c r="F3962" s="189">
        <v>2615560.8160399999</v>
      </c>
      <c r="G3962" s="3" t="s">
        <v>335</v>
      </c>
      <c r="H3962" s="79">
        <f t="shared" si="580"/>
        <v>0.57058995624801545</v>
      </c>
    </row>
    <row r="3963" spans="1:19" x14ac:dyDescent="0.25">
      <c r="A3963" s="3" t="s">
        <v>1449</v>
      </c>
      <c r="B3963" s="3" t="s">
        <v>333</v>
      </c>
      <c r="C3963" s="3">
        <v>25</v>
      </c>
      <c r="D3963" s="189">
        <v>89415696.200472996</v>
      </c>
      <c r="E3963" s="3">
        <v>1</v>
      </c>
      <c r="F3963" s="189">
        <v>56641472.06645</v>
      </c>
      <c r="G3963" s="3" t="s">
        <v>335</v>
      </c>
      <c r="H3963" s="79">
        <f t="shared" si="580"/>
        <v>0.63346229435442647</v>
      </c>
    </row>
    <row r="3964" spans="1:19" x14ac:dyDescent="0.25">
      <c r="A3964" s="3" t="s">
        <v>1450</v>
      </c>
      <c r="B3964" s="3" t="s">
        <v>333</v>
      </c>
      <c r="C3964" s="3">
        <v>25</v>
      </c>
      <c r="D3964" s="189">
        <v>133338189.11425</v>
      </c>
      <c r="E3964" s="3">
        <v>1</v>
      </c>
      <c r="F3964" s="189">
        <v>124378966.151379</v>
      </c>
      <c r="G3964" s="3" t="s">
        <v>335</v>
      </c>
      <c r="H3964" s="79">
        <f t="shared" si="580"/>
        <v>0.93280827479069517</v>
      </c>
    </row>
    <row r="3965" spans="1:19" x14ac:dyDescent="0.25">
      <c r="A3965" s="3" t="s">
        <v>1451</v>
      </c>
      <c r="B3965" s="3" t="s">
        <v>333</v>
      </c>
      <c r="C3965" s="3">
        <v>25</v>
      </c>
      <c r="D3965" s="189">
        <v>16453289.358548</v>
      </c>
      <c r="E3965" s="3">
        <v>1</v>
      </c>
      <c r="F3965" s="189">
        <v>12636609.561338</v>
      </c>
      <c r="G3965" s="3" t="s">
        <v>335</v>
      </c>
      <c r="H3965" s="79">
        <f t="shared" si="580"/>
        <v>0.76802937613036537</v>
      </c>
    </row>
    <row r="3966" spans="1:19" x14ac:dyDescent="0.25">
      <c r="A3966" s="3" t="s">
        <v>1452</v>
      </c>
      <c r="B3966" s="3" t="s">
        <v>333</v>
      </c>
      <c r="C3966" s="3">
        <v>25</v>
      </c>
      <c r="D3966" s="189">
        <v>19535532.831445001</v>
      </c>
      <c r="E3966" s="3">
        <v>1</v>
      </c>
      <c r="F3966" s="189">
        <v>12434769.494476</v>
      </c>
      <c r="G3966" s="3" t="s">
        <v>335</v>
      </c>
      <c r="H3966" s="79">
        <f t="shared" si="580"/>
        <v>0.63652062125792686</v>
      </c>
    </row>
    <row r="3967" spans="1:19" x14ac:dyDescent="0.25">
      <c r="A3967" s="3" t="s">
        <v>1457</v>
      </c>
      <c r="B3967" s="3" t="s">
        <v>333</v>
      </c>
      <c r="C3967" s="3">
        <v>25</v>
      </c>
      <c r="D3967" s="189">
        <v>156750206.050367</v>
      </c>
      <c r="E3967" s="3">
        <v>1</v>
      </c>
      <c r="F3967" s="189">
        <v>91993709.291020006</v>
      </c>
      <c r="G3967" s="3" t="s">
        <v>335</v>
      </c>
      <c r="H3967" s="79">
        <f t="shared" si="580"/>
        <v>0.58688094650070555</v>
      </c>
    </row>
    <row r="3968" spans="1:19" x14ac:dyDescent="0.25">
      <c r="A3968" s="3" t="s">
        <v>1458</v>
      </c>
      <c r="B3968" s="3" t="s">
        <v>333</v>
      </c>
      <c r="C3968" s="3">
        <v>25</v>
      </c>
      <c r="D3968" s="189">
        <v>76871960.448425993</v>
      </c>
      <c r="E3968" s="3">
        <v>1</v>
      </c>
      <c r="F3968" s="189">
        <v>35210543.950731002</v>
      </c>
      <c r="G3968" s="3" t="s">
        <v>335</v>
      </c>
      <c r="H3968" s="79">
        <f t="shared" si="580"/>
        <v>0.45804144639128896</v>
      </c>
    </row>
    <row r="3969" spans="1:19" x14ac:dyDescent="0.25">
      <c r="A3969" s="3" t="s">
        <v>1459</v>
      </c>
      <c r="B3969" s="3" t="s">
        <v>333</v>
      </c>
      <c r="C3969" s="3">
        <v>25</v>
      </c>
      <c r="D3969" s="189">
        <v>97521094.460382</v>
      </c>
      <c r="E3969" s="3">
        <v>1</v>
      </c>
      <c r="F3969" s="189">
        <v>74793472.253712997</v>
      </c>
      <c r="G3969" s="3" t="s">
        <v>335</v>
      </c>
      <c r="H3969" s="79">
        <f t="shared" si="580"/>
        <v>0.76694660439950135</v>
      </c>
    </row>
    <row r="3970" spans="1:19" x14ac:dyDescent="0.25">
      <c r="A3970" s="3" t="s">
        <v>1460</v>
      </c>
      <c r="B3970" s="3" t="s">
        <v>333</v>
      </c>
      <c r="C3970" s="3">
        <v>25</v>
      </c>
      <c r="D3970" s="189">
        <v>77588855.195948005</v>
      </c>
      <c r="E3970" s="3">
        <v>1</v>
      </c>
      <c r="F3970" s="189">
        <v>56363279.484417997</v>
      </c>
      <c r="G3970" s="3" t="s">
        <v>335</v>
      </c>
      <c r="H3970" s="79">
        <f t="shared" si="580"/>
        <v>0.72643525081114368</v>
      </c>
    </row>
    <row r="3972" spans="1:19" x14ac:dyDescent="0.25">
      <c r="A3972" s="3" t="s">
        <v>807</v>
      </c>
    </row>
    <row r="3973" spans="1:19" ht="20" thickBot="1" x14ac:dyDescent="0.3">
      <c r="A3973" s="3" t="s">
        <v>2</v>
      </c>
      <c r="B3973" s="3" t="s">
        <v>3</v>
      </c>
      <c r="C3973" s="3" t="s">
        <v>504</v>
      </c>
      <c r="D3973" s="189" t="s">
        <v>5</v>
      </c>
      <c r="E3973" s="3" t="s">
        <v>1247</v>
      </c>
      <c r="F3973" s="189" t="s">
        <v>505</v>
      </c>
      <c r="G3973" s="3" t="s">
        <v>506</v>
      </c>
    </row>
    <row r="3974" spans="1:19" x14ac:dyDescent="0.25">
      <c r="A3974" s="3" t="s">
        <v>1461</v>
      </c>
      <c r="B3974" s="3" t="s">
        <v>333</v>
      </c>
      <c r="C3974" s="3">
        <v>25</v>
      </c>
      <c r="D3974" s="189">
        <v>2872.1349730000002</v>
      </c>
      <c r="E3974" s="3">
        <v>1</v>
      </c>
      <c r="F3974" s="189">
        <v>638.13552900000002</v>
      </c>
      <c r="G3974" s="3" t="s">
        <v>335</v>
      </c>
      <c r="H3974" s="79">
        <f t="shared" ref="H3974:H3993" si="586">F3974/D3974</f>
        <v>0.22218159487590347</v>
      </c>
      <c r="J3974" s="106" t="str">
        <f>A3972</f>
        <v>distinct2_90</v>
      </c>
      <c r="K3974" s="72" t="s">
        <v>344</v>
      </c>
      <c r="L3974" s="72" t="s">
        <v>341</v>
      </c>
      <c r="M3974" s="17" t="s">
        <v>162</v>
      </c>
      <c r="N3974" s="72" t="s">
        <v>343</v>
      </c>
      <c r="O3974" s="17" t="s">
        <v>162</v>
      </c>
      <c r="P3974" s="72" t="s">
        <v>342</v>
      </c>
      <c r="Q3974" s="155" t="s">
        <v>162</v>
      </c>
      <c r="R3974" s="156" t="s">
        <v>1245</v>
      </c>
      <c r="S3974" s="156" t="s">
        <v>1684</v>
      </c>
    </row>
    <row r="3975" spans="1:19" x14ac:dyDescent="0.25">
      <c r="A3975" s="3" t="s">
        <v>1462</v>
      </c>
      <c r="B3975" s="3" t="s">
        <v>333</v>
      </c>
      <c r="C3975" s="3">
        <v>25</v>
      </c>
      <c r="D3975" s="189">
        <v>4789.7470590000003</v>
      </c>
      <c r="E3975" s="3">
        <v>1</v>
      </c>
      <c r="F3975" s="189">
        <v>1513.6284000000001</v>
      </c>
      <c r="G3975" s="3" t="s">
        <v>335</v>
      </c>
      <c r="H3975" s="79">
        <f t="shared" si="586"/>
        <v>0.31601426575457081</v>
      </c>
      <c r="J3975" s="6">
        <v>100</v>
      </c>
      <c r="K3975" s="119">
        <f>D3974</f>
        <v>2872.1349730000002</v>
      </c>
      <c r="L3975" s="119">
        <f>D3975</f>
        <v>4789.7470590000003</v>
      </c>
      <c r="M3975" s="18">
        <f>(K3975-L3975)/K3975</f>
        <v>-0.66766085299849864</v>
      </c>
      <c r="N3975" s="73">
        <f>D3976</f>
        <v>2376.8997530000001</v>
      </c>
      <c r="O3975" s="18">
        <f>(K3975-N3975)/K3975</f>
        <v>0.17242755812506866</v>
      </c>
      <c r="P3975" s="73">
        <f>D3977</f>
        <v>2726.6389170000002</v>
      </c>
      <c r="Q3975" s="53">
        <f>(K3975-P3975)/K3975</f>
        <v>5.065780590667246E-2</v>
      </c>
      <c r="R3975" s="22">
        <f>(L3975-P3975)/L3975</f>
        <v>0.43073425727636111</v>
      </c>
      <c r="S3975" s="22">
        <f>(N3975-P3975)/N3975</f>
        <v>-0.14714089795271229</v>
      </c>
    </row>
    <row r="3976" spans="1:19" x14ac:dyDescent="0.25">
      <c r="A3976" s="3" t="s">
        <v>1463</v>
      </c>
      <c r="B3976" s="3" t="s">
        <v>333</v>
      </c>
      <c r="C3976" s="3">
        <v>25</v>
      </c>
      <c r="D3976" s="189">
        <v>2376.8997530000001</v>
      </c>
      <c r="E3976" s="3">
        <v>1</v>
      </c>
      <c r="F3976" s="189">
        <v>530.10342800000001</v>
      </c>
      <c r="G3976" s="3" t="s">
        <v>335</v>
      </c>
      <c r="H3976" s="79">
        <f t="shared" si="586"/>
        <v>0.22302304812431858</v>
      </c>
      <c r="J3976" s="6">
        <v>1000</v>
      </c>
      <c r="K3976" s="119">
        <f>D3978</f>
        <v>33108.128387999997</v>
      </c>
      <c r="L3976" s="119">
        <f>D3979</f>
        <v>48967.779756999997</v>
      </c>
      <c r="M3976" s="18">
        <f t="shared" ref="M3976:M3979" si="587">(K3976-L3976)/K3976</f>
        <v>-0.47902591119431298</v>
      </c>
      <c r="N3976" s="73">
        <f>D3980</f>
        <v>30563.407664999999</v>
      </c>
      <c r="O3976" s="18">
        <f t="shared" ref="O3976:O3979" si="588">(K3976-N3976)/K3976</f>
        <v>7.6860905369761992E-2</v>
      </c>
      <c r="P3976" s="73">
        <f>D3981</f>
        <v>30518.970849000001</v>
      </c>
      <c r="Q3976" s="53">
        <f t="shared" ref="Q3976:Q3979" si="589">(K3976-P3976)/K3976</f>
        <v>7.8203077765592849E-2</v>
      </c>
      <c r="R3976" s="22">
        <f t="shared" ref="R3976:R3979" si="590">(L3976-P3976)/L3976</f>
        <v>0.37675404111747007</v>
      </c>
      <c r="S3976" s="22">
        <f t="shared" ref="S3976:S3979" si="591">(N3976-P3976)/N3976</f>
        <v>1.4539221701670691E-3</v>
      </c>
    </row>
    <row r="3977" spans="1:19" x14ac:dyDescent="0.25">
      <c r="A3977" s="3" t="s">
        <v>1464</v>
      </c>
      <c r="B3977" s="3" t="s">
        <v>333</v>
      </c>
      <c r="C3977" s="3">
        <v>25</v>
      </c>
      <c r="D3977" s="189">
        <v>2726.6389170000002</v>
      </c>
      <c r="E3977" s="3">
        <v>1</v>
      </c>
      <c r="F3977" s="189">
        <v>556.88179200000002</v>
      </c>
      <c r="G3977" s="3" t="s">
        <v>335</v>
      </c>
      <c r="H3977" s="79">
        <f t="shared" si="586"/>
        <v>0.20423745459215858</v>
      </c>
      <c r="J3977" s="6">
        <v>10000</v>
      </c>
      <c r="K3977" s="119">
        <f>D3982</f>
        <v>428625.034973</v>
      </c>
      <c r="L3977" s="119">
        <f>D3983</f>
        <v>479388.44496400002</v>
      </c>
      <c r="M3977" s="18">
        <f t="shared" si="587"/>
        <v>-0.11843314283823322</v>
      </c>
      <c r="N3977" s="73">
        <f>D3984</f>
        <v>371754.68939000001</v>
      </c>
      <c r="O3977" s="18">
        <f t="shared" si="588"/>
        <v>0.13268087709011764</v>
      </c>
      <c r="P3977" s="73">
        <f>D3985</f>
        <v>435533.30974699999</v>
      </c>
      <c r="Q3977" s="53">
        <f t="shared" si="589"/>
        <v>-1.6117291829291207E-2</v>
      </c>
      <c r="R3977" s="22">
        <f t="shared" si="590"/>
        <v>9.1481419040655765E-2</v>
      </c>
      <c r="S3977" s="22">
        <f t="shared" si="591"/>
        <v>-0.17156103790284988</v>
      </c>
    </row>
    <row r="3978" spans="1:19" x14ac:dyDescent="0.25">
      <c r="A3978" s="3" t="s">
        <v>1465</v>
      </c>
      <c r="B3978" s="3" t="s">
        <v>333</v>
      </c>
      <c r="C3978" s="3">
        <v>25</v>
      </c>
      <c r="D3978" s="189">
        <v>33108.128387999997</v>
      </c>
      <c r="E3978" s="3">
        <v>1</v>
      </c>
      <c r="F3978" s="189">
        <v>8255.2904569999992</v>
      </c>
      <c r="G3978" s="3" t="s">
        <v>335</v>
      </c>
      <c r="H3978" s="79">
        <f t="shared" si="586"/>
        <v>0.24934331413285565</v>
      </c>
      <c r="J3978" s="6">
        <v>50000</v>
      </c>
      <c r="K3978" s="119">
        <f>D3986</f>
        <v>2606426.630748</v>
      </c>
      <c r="L3978" s="119">
        <f>D3987</f>
        <v>2912131.3670069999</v>
      </c>
      <c r="M3978" s="18">
        <f t="shared" si="587"/>
        <v>-0.11728883240088284</v>
      </c>
      <c r="N3978" s="73">
        <f>D3988</f>
        <v>2188024.6998979999</v>
      </c>
      <c r="O3978" s="18">
        <f t="shared" si="588"/>
        <v>0.16052703188116441</v>
      </c>
      <c r="P3978" s="73">
        <f>D3989</f>
        <v>2309420.7766189999</v>
      </c>
      <c r="Q3978" s="53">
        <f t="shared" si="589"/>
        <v>0.11395135801070468</v>
      </c>
      <c r="R3978" s="22">
        <f t="shared" si="590"/>
        <v>0.20696545396832411</v>
      </c>
      <c r="S3978" s="22">
        <f t="shared" si="591"/>
        <v>-5.5482041279816992E-2</v>
      </c>
    </row>
    <row r="3979" spans="1:19" ht="20" thickBot="1" x14ac:dyDescent="0.3">
      <c r="A3979" s="3" t="s">
        <v>1466</v>
      </c>
      <c r="B3979" s="3" t="s">
        <v>333</v>
      </c>
      <c r="C3979" s="3">
        <v>25</v>
      </c>
      <c r="D3979" s="189">
        <v>48967.779756999997</v>
      </c>
      <c r="E3979" s="3">
        <v>1</v>
      </c>
      <c r="F3979" s="189">
        <v>13997.352733</v>
      </c>
      <c r="G3979" s="3" t="s">
        <v>335</v>
      </c>
      <c r="H3979" s="79">
        <f t="shared" si="586"/>
        <v>0.2858482210641593</v>
      </c>
      <c r="J3979" s="7">
        <v>100000</v>
      </c>
      <c r="K3979" s="120">
        <f>D3990</f>
        <v>6391038.4159359997</v>
      </c>
      <c r="L3979" s="120">
        <f>D3991</f>
        <v>7451939.0039060004</v>
      </c>
      <c r="M3979" s="19">
        <f t="shared" si="587"/>
        <v>-0.1659981553740397</v>
      </c>
      <c r="N3979" s="74">
        <f>D3992</f>
        <v>5503301.842735</v>
      </c>
      <c r="O3979" s="19">
        <f t="shared" si="588"/>
        <v>0.13890333861668491</v>
      </c>
      <c r="P3979" s="74">
        <f>D3993</f>
        <v>5746568.8674689997</v>
      </c>
      <c r="Q3979" s="54">
        <f t="shared" si="589"/>
        <v>0.10083956730099145</v>
      </c>
      <c r="R3979" s="23">
        <f t="shared" si="590"/>
        <v>0.22884918080289113</v>
      </c>
      <c r="S3979" s="23">
        <f t="shared" si="591"/>
        <v>-4.4203831024667593E-2</v>
      </c>
    </row>
    <row r="3980" spans="1:19" x14ac:dyDescent="0.25">
      <c r="A3980" s="3" t="s">
        <v>1467</v>
      </c>
      <c r="B3980" s="3" t="s">
        <v>333</v>
      </c>
      <c r="C3980" s="3">
        <v>25</v>
      </c>
      <c r="D3980" s="189">
        <v>30563.407664999999</v>
      </c>
      <c r="E3980" s="3">
        <v>1</v>
      </c>
      <c r="F3980" s="189">
        <v>6394.7139859999997</v>
      </c>
      <c r="G3980" s="3" t="s">
        <v>335</v>
      </c>
      <c r="H3980" s="79">
        <f t="shared" si="586"/>
        <v>0.20922778166922049</v>
      </c>
    </row>
    <row r="3981" spans="1:19" x14ac:dyDescent="0.25">
      <c r="A3981" s="3" t="s">
        <v>1468</v>
      </c>
      <c r="B3981" s="3" t="s">
        <v>333</v>
      </c>
      <c r="C3981" s="3">
        <v>25</v>
      </c>
      <c r="D3981" s="189">
        <v>30518.970849000001</v>
      </c>
      <c r="E3981" s="3">
        <v>1</v>
      </c>
      <c r="F3981" s="189">
        <v>6326.0807930000001</v>
      </c>
      <c r="G3981" s="3" t="s">
        <v>335</v>
      </c>
      <c r="H3981" s="79">
        <f t="shared" si="586"/>
        <v>0.20728355567098958</v>
      </c>
    </row>
    <row r="3982" spans="1:19" x14ac:dyDescent="0.25">
      <c r="A3982" s="3" t="s">
        <v>1469</v>
      </c>
      <c r="B3982" s="3" t="s">
        <v>333</v>
      </c>
      <c r="C3982" s="3">
        <v>25</v>
      </c>
      <c r="D3982" s="189">
        <v>428625.034973</v>
      </c>
      <c r="E3982" s="3">
        <v>1</v>
      </c>
      <c r="F3982" s="189">
        <v>63914.498696000002</v>
      </c>
      <c r="G3982" s="3" t="s">
        <v>335</v>
      </c>
      <c r="H3982" s="79">
        <f t="shared" si="586"/>
        <v>0.1491151787249807</v>
      </c>
    </row>
    <row r="3983" spans="1:19" x14ac:dyDescent="0.25">
      <c r="A3983" s="3" t="s">
        <v>1470</v>
      </c>
      <c r="B3983" s="3" t="s">
        <v>333</v>
      </c>
      <c r="C3983" s="3">
        <v>25</v>
      </c>
      <c r="D3983" s="189">
        <v>479388.44496400002</v>
      </c>
      <c r="E3983" s="3">
        <v>1</v>
      </c>
      <c r="F3983" s="189">
        <v>103065.97092399999</v>
      </c>
      <c r="G3983" s="3" t="s">
        <v>335</v>
      </c>
      <c r="H3983" s="79">
        <f t="shared" si="586"/>
        <v>0.21499469168836516</v>
      </c>
    </row>
    <row r="3984" spans="1:19" x14ac:dyDescent="0.25">
      <c r="A3984" s="3" t="s">
        <v>1471</v>
      </c>
      <c r="B3984" s="3" t="s">
        <v>333</v>
      </c>
      <c r="C3984" s="3">
        <v>25</v>
      </c>
      <c r="D3984" s="189">
        <v>371754.68939000001</v>
      </c>
      <c r="E3984" s="3">
        <v>1</v>
      </c>
      <c r="F3984" s="189">
        <v>66910.247722999993</v>
      </c>
      <c r="G3984" s="3" t="s">
        <v>335</v>
      </c>
      <c r="H3984" s="79">
        <f t="shared" si="586"/>
        <v>0.17998494607503354</v>
      </c>
    </row>
    <row r="3985" spans="1:16" x14ac:dyDescent="0.25">
      <c r="A3985" s="3" t="s">
        <v>1472</v>
      </c>
      <c r="B3985" s="3" t="s">
        <v>333</v>
      </c>
      <c r="C3985" s="3">
        <v>25</v>
      </c>
      <c r="D3985" s="189">
        <v>435533.30974699999</v>
      </c>
      <c r="E3985" s="3">
        <v>1</v>
      </c>
      <c r="F3985" s="189">
        <v>62753.634960000003</v>
      </c>
      <c r="G3985" s="3" t="s">
        <v>335</v>
      </c>
      <c r="H3985" s="79">
        <f t="shared" si="586"/>
        <v>0.14408458217915274</v>
      </c>
    </row>
    <row r="3986" spans="1:16" x14ac:dyDescent="0.25">
      <c r="A3986" s="3" t="s">
        <v>1473</v>
      </c>
      <c r="B3986" s="3" t="s">
        <v>333</v>
      </c>
      <c r="C3986" s="3">
        <v>25</v>
      </c>
      <c r="D3986" s="189">
        <v>2606426.630748</v>
      </c>
      <c r="E3986" s="3">
        <v>1</v>
      </c>
      <c r="F3986" s="189">
        <v>373126.74904700002</v>
      </c>
      <c r="G3986" s="3" t="s">
        <v>335</v>
      </c>
      <c r="H3986" s="79">
        <f t="shared" si="586"/>
        <v>0.14315643672652278</v>
      </c>
    </row>
    <row r="3987" spans="1:16" x14ac:dyDescent="0.25">
      <c r="A3987" s="3" t="s">
        <v>1474</v>
      </c>
      <c r="B3987" s="3" t="s">
        <v>333</v>
      </c>
      <c r="C3987" s="3">
        <v>25</v>
      </c>
      <c r="D3987" s="189">
        <v>2912131.3670069999</v>
      </c>
      <c r="E3987" s="3">
        <v>1</v>
      </c>
      <c r="F3987" s="189">
        <v>621776.97862800001</v>
      </c>
      <c r="G3987" s="3" t="s">
        <v>335</v>
      </c>
      <c r="H3987" s="79">
        <f t="shared" si="586"/>
        <v>0.21351268204189686</v>
      </c>
    </row>
    <row r="3988" spans="1:16" x14ac:dyDescent="0.25">
      <c r="A3988" s="3" t="s">
        <v>1475</v>
      </c>
      <c r="B3988" s="3" t="s">
        <v>333</v>
      </c>
      <c r="C3988" s="3">
        <v>25</v>
      </c>
      <c r="D3988" s="189">
        <v>2188024.6998979999</v>
      </c>
      <c r="E3988" s="3">
        <v>1</v>
      </c>
      <c r="F3988" s="189">
        <v>312229.252744</v>
      </c>
      <c r="G3988" s="3" t="s">
        <v>335</v>
      </c>
      <c r="H3988" s="79">
        <f t="shared" si="586"/>
        <v>0.14269914446512205</v>
      </c>
    </row>
    <row r="3989" spans="1:16" x14ac:dyDescent="0.25">
      <c r="A3989" s="3" t="s">
        <v>1476</v>
      </c>
      <c r="B3989" s="3" t="s">
        <v>333</v>
      </c>
      <c r="C3989" s="3">
        <v>25</v>
      </c>
      <c r="D3989" s="189">
        <v>2309420.7766189999</v>
      </c>
      <c r="E3989" s="3">
        <v>1</v>
      </c>
      <c r="F3989" s="189">
        <v>225553.81648800001</v>
      </c>
      <c r="G3989" s="3" t="s">
        <v>335</v>
      </c>
      <c r="H3989" s="79">
        <f t="shared" si="586"/>
        <v>9.766683437316763E-2</v>
      </c>
    </row>
    <row r="3990" spans="1:16" x14ac:dyDescent="0.25">
      <c r="A3990" s="3" t="s">
        <v>1477</v>
      </c>
      <c r="B3990" s="3" t="s">
        <v>333</v>
      </c>
      <c r="C3990" s="3">
        <v>25</v>
      </c>
      <c r="D3990" s="189">
        <v>6391038.4159359997</v>
      </c>
      <c r="E3990" s="3">
        <v>1</v>
      </c>
      <c r="F3990" s="189">
        <v>732375.17689100001</v>
      </c>
      <c r="G3990" s="3" t="s">
        <v>335</v>
      </c>
      <c r="H3990" s="79">
        <f t="shared" si="586"/>
        <v>0.11459408146645289</v>
      </c>
    </row>
    <row r="3991" spans="1:16" x14ac:dyDescent="0.25">
      <c r="A3991" s="3" t="s">
        <v>1478</v>
      </c>
      <c r="B3991" s="3" t="s">
        <v>333</v>
      </c>
      <c r="C3991" s="3">
        <v>25</v>
      </c>
      <c r="D3991" s="189">
        <v>7451939.0039060004</v>
      </c>
      <c r="E3991" s="3">
        <v>1</v>
      </c>
      <c r="F3991" s="189">
        <v>1244000.5202810001</v>
      </c>
      <c r="G3991" s="3" t="s">
        <v>335</v>
      </c>
      <c r="H3991" s="79">
        <f t="shared" si="586"/>
        <v>0.16693648721882265</v>
      </c>
    </row>
    <row r="3992" spans="1:16" x14ac:dyDescent="0.25">
      <c r="A3992" s="3" t="s">
        <v>1479</v>
      </c>
      <c r="B3992" s="3" t="s">
        <v>333</v>
      </c>
      <c r="C3992" s="3">
        <v>25</v>
      </c>
      <c r="D3992" s="189">
        <v>5503301.842735</v>
      </c>
      <c r="E3992" s="3">
        <v>1</v>
      </c>
      <c r="F3992" s="189">
        <v>619335.93776799995</v>
      </c>
      <c r="G3992" s="3" t="s">
        <v>335</v>
      </c>
      <c r="H3992" s="79">
        <f t="shared" si="586"/>
        <v>0.11253897305044164</v>
      </c>
    </row>
    <row r="3993" spans="1:16" x14ac:dyDescent="0.25">
      <c r="A3993" s="3" t="s">
        <v>1480</v>
      </c>
      <c r="B3993" s="3" t="s">
        <v>333</v>
      </c>
      <c r="C3993" s="3">
        <v>25</v>
      </c>
      <c r="D3993" s="189">
        <v>5746568.8674689997</v>
      </c>
      <c r="E3993" s="3">
        <v>1</v>
      </c>
      <c r="F3993" s="189">
        <v>648805.78658199997</v>
      </c>
      <c r="G3993" s="3" t="s">
        <v>335</v>
      </c>
      <c r="H3993" s="79">
        <f t="shared" si="586"/>
        <v>0.11290316039799901</v>
      </c>
    </row>
    <row r="3995" spans="1:16" ht="20" thickBot="1" x14ac:dyDescent="0.3">
      <c r="A3995" s="3" t="s">
        <v>828</v>
      </c>
    </row>
    <row r="3996" spans="1:16" x14ac:dyDescent="0.25">
      <c r="A3996" s="3" t="s">
        <v>2</v>
      </c>
      <c r="B3996" s="3" t="s">
        <v>3</v>
      </c>
      <c r="C3996" s="3" t="s">
        <v>504</v>
      </c>
      <c r="D3996" s="189" t="s">
        <v>5</v>
      </c>
      <c r="E3996" s="3" t="s">
        <v>1247</v>
      </c>
      <c r="F3996" s="189" t="s">
        <v>505</v>
      </c>
      <c r="G3996" s="3" t="s">
        <v>506</v>
      </c>
      <c r="J3996" s="5" t="str">
        <f>A3995</f>
        <v>drop2_10</v>
      </c>
      <c r="K3996" s="72" t="s">
        <v>340</v>
      </c>
      <c r="L3996" s="72" t="s">
        <v>341</v>
      </c>
      <c r="M3996" s="17" t="s">
        <v>162</v>
      </c>
      <c r="N3996" s="72" t="s">
        <v>342</v>
      </c>
      <c r="O3996" s="21" t="s">
        <v>162</v>
      </c>
      <c r="P3996" s="150" t="s">
        <v>1245</v>
      </c>
    </row>
    <row r="3997" spans="1:16" x14ac:dyDescent="0.25">
      <c r="A3997" s="3" t="s">
        <v>1481</v>
      </c>
      <c r="B3997" s="3" t="s">
        <v>333</v>
      </c>
      <c r="C3997" s="3">
        <v>25</v>
      </c>
      <c r="D3997" s="189">
        <v>631.57578699999999</v>
      </c>
      <c r="E3997" s="3">
        <v>1</v>
      </c>
      <c r="F3997" s="189">
        <v>55.308798000000003</v>
      </c>
      <c r="G3997" s="3" t="s">
        <v>335</v>
      </c>
      <c r="H3997" s="79">
        <f t="shared" ref="H3997:H4011" si="592">F3997/D3997</f>
        <v>8.7572701706501624E-2</v>
      </c>
      <c r="J3997" s="6">
        <v>100</v>
      </c>
      <c r="K3997" s="119">
        <f>D3997</f>
        <v>631.57578699999999</v>
      </c>
      <c r="L3997" s="119">
        <f>D3998</f>
        <v>2850.723986</v>
      </c>
      <c r="M3997" s="18">
        <f>(K3997-L3997)/K3997</f>
        <v>-3.5136688971896897</v>
      </c>
      <c r="N3997" s="73">
        <f>D3999</f>
        <v>255.09692899999999</v>
      </c>
      <c r="O3997" s="22">
        <f>(K3997-N3997)/K3997</f>
        <v>0.59609450797391006</v>
      </c>
      <c r="P3997" s="151">
        <f>(L3997-N3997)/L3997</f>
        <v>0.91051503749475948</v>
      </c>
    </row>
    <row r="3998" spans="1:16" x14ac:dyDescent="0.25">
      <c r="A3998" s="3" t="s">
        <v>1482</v>
      </c>
      <c r="B3998" s="3" t="s">
        <v>333</v>
      </c>
      <c r="C3998" s="3">
        <v>25</v>
      </c>
      <c r="D3998" s="189">
        <v>2850.723986</v>
      </c>
      <c r="E3998" s="3">
        <v>1</v>
      </c>
      <c r="F3998" s="189">
        <v>2292.7530379999998</v>
      </c>
      <c r="G3998" s="3" t="s">
        <v>335</v>
      </c>
      <c r="H3998" s="79">
        <f t="shared" si="592"/>
        <v>0.80427044121415681</v>
      </c>
      <c r="J3998" s="6">
        <v>1000</v>
      </c>
      <c r="K3998" s="119">
        <f>D4000</f>
        <v>20087.747662999998</v>
      </c>
      <c r="L3998" s="119">
        <f>D4001</f>
        <v>2576.4066120000002</v>
      </c>
      <c r="M3998" s="18">
        <f t="shared" ref="M3998:M4001" si="593">(K3998-L3998)/K3998</f>
        <v>0.87174238470022547</v>
      </c>
      <c r="N3998" s="73">
        <f>D4002</f>
        <v>1446.7925990000001</v>
      </c>
      <c r="O3998" s="22">
        <f t="shared" ref="O3998:O4001" si="594">(K3998-N3998)/K3998</f>
        <v>0.9279763653311478</v>
      </c>
      <c r="P3998" s="151">
        <f t="shared" ref="P3998:P4001" si="595">(L3998-N3998)/L3998</f>
        <v>0.4384455496033326</v>
      </c>
    </row>
    <row r="3999" spans="1:16" x14ac:dyDescent="0.25">
      <c r="A3999" s="3" t="s">
        <v>1483</v>
      </c>
      <c r="B3999" s="3" t="s">
        <v>333</v>
      </c>
      <c r="C3999" s="3">
        <v>25</v>
      </c>
      <c r="D3999" s="189">
        <v>255.09692899999999</v>
      </c>
      <c r="E3999" s="3">
        <v>1</v>
      </c>
      <c r="F3999" s="189">
        <v>44.093882999999998</v>
      </c>
      <c r="G3999" s="3" t="s">
        <v>335</v>
      </c>
      <c r="H3999" s="79">
        <f t="shared" si="592"/>
        <v>0.17285148501336917</v>
      </c>
      <c r="J3999" s="6">
        <v>10000</v>
      </c>
      <c r="K3999" s="119">
        <f>D4003</f>
        <v>117755.316124</v>
      </c>
      <c r="L3999" s="119">
        <f>D4004</f>
        <v>25734.412789000002</v>
      </c>
      <c r="M3999" s="18">
        <f t="shared" si="593"/>
        <v>0.78145859026949693</v>
      </c>
      <c r="N3999" s="73">
        <f>D4005</f>
        <v>12203.421012000001</v>
      </c>
      <c r="O3999" s="22">
        <f t="shared" si="594"/>
        <v>0.89636628380200323</v>
      </c>
      <c r="P3999" s="151">
        <f t="shared" si="595"/>
        <v>0.52579368676264227</v>
      </c>
    </row>
    <row r="4000" spans="1:16" x14ac:dyDescent="0.25">
      <c r="A4000" s="3" t="s">
        <v>1484</v>
      </c>
      <c r="B4000" s="3" t="s">
        <v>333</v>
      </c>
      <c r="C4000" s="3">
        <v>25</v>
      </c>
      <c r="D4000" s="189">
        <v>20087.747662999998</v>
      </c>
      <c r="E4000" s="3">
        <v>1</v>
      </c>
      <c r="F4000" s="189">
        <v>28205.093824</v>
      </c>
      <c r="G4000" s="3" t="s">
        <v>335</v>
      </c>
      <c r="H4000" s="79">
        <f t="shared" si="592"/>
        <v>1.4040943911273585</v>
      </c>
      <c r="J4000" s="6">
        <v>50000</v>
      </c>
      <c r="K4000" s="119">
        <f>D4006</f>
        <v>300764.93838000001</v>
      </c>
      <c r="L4000" s="119">
        <f>D4007</f>
        <v>96601.435429999998</v>
      </c>
      <c r="M4000" s="18">
        <f t="shared" si="593"/>
        <v>0.67881417312030767</v>
      </c>
      <c r="N4000" s="73">
        <f>D4008</f>
        <v>59445.685386999998</v>
      </c>
      <c r="O4000" s="22">
        <f t="shared" si="594"/>
        <v>0.80235167800079932</v>
      </c>
      <c r="P4000" s="151">
        <f t="shared" si="595"/>
        <v>0.38462937820343318</v>
      </c>
    </row>
    <row r="4001" spans="1:16" x14ac:dyDescent="0.25">
      <c r="A4001" s="3" t="s">
        <v>1485</v>
      </c>
      <c r="B4001" s="3" t="s">
        <v>333</v>
      </c>
      <c r="C4001" s="3">
        <v>25</v>
      </c>
      <c r="D4001" s="189">
        <v>2576.4066120000002</v>
      </c>
      <c r="E4001" s="3">
        <v>1</v>
      </c>
      <c r="F4001" s="189">
        <v>166.30185399999999</v>
      </c>
      <c r="G4001" s="3" t="s">
        <v>335</v>
      </c>
      <c r="H4001" s="79">
        <f t="shared" si="592"/>
        <v>6.4547984477847625E-2</v>
      </c>
      <c r="J4001" s="6">
        <v>100000</v>
      </c>
      <c r="K4001" s="119">
        <f>D4009</f>
        <v>636116.94375500001</v>
      </c>
      <c r="L4001" s="119">
        <f>D4010</f>
        <v>202330.19384299999</v>
      </c>
      <c r="M4001" s="18">
        <f t="shared" si="593"/>
        <v>0.68192924928450371</v>
      </c>
      <c r="N4001" s="158">
        <f>D4011</f>
        <v>139089.65810599999</v>
      </c>
      <c r="O4001" s="22">
        <f t="shared" si="594"/>
        <v>0.78134577380543679</v>
      </c>
      <c r="P4001" s="151">
        <f t="shared" si="595"/>
        <v>0.31256103963441112</v>
      </c>
    </row>
    <row r="4002" spans="1:16" x14ac:dyDescent="0.25">
      <c r="A4002" s="3" t="s">
        <v>1486</v>
      </c>
      <c r="B4002" s="3" t="s">
        <v>333</v>
      </c>
      <c r="C4002" s="3">
        <v>25</v>
      </c>
      <c r="D4002" s="189">
        <v>1446.7925990000001</v>
      </c>
      <c r="E4002" s="3">
        <v>1</v>
      </c>
      <c r="F4002" s="189">
        <v>444.07831599999997</v>
      </c>
      <c r="G4002" s="3" t="s">
        <v>335</v>
      </c>
      <c r="H4002" s="79">
        <f t="shared" si="592"/>
        <v>0.30693985876547875</v>
      </c>
    </row>
    <row r="4003" spans="1:16" x14ac:dyDescent="0.25">
      <c r="A4003" s="3" t="s">
        <v>1487</v>
      </c>
      <c r="B4003" s="3" t="s">
        <v>333</v>
      </c>
      <c r="C4003" s="3">
        <v>25</v>
      </c>
      <c r="D4003" s="189">
        <v>117755.316124</v>
      </c>
      <c r="E4003" s="3">
        <v>1</v>
      </c>
      <c r="F4003" s="189">
        <v>144458.17254199999</v>
      </c>
      <c r="G4003" s="3" t="s">
        <v>335</v>
      </c>
      <c r="H4003" s="79">
        <f t="shared" si="592"/>
        <v>1.2267656127718347</v>
      </c>
    </row>
    <row r="4004" spans="1:16" x14ac:dyDescent="0.25">
      <c r="A4004" s="3" t="s">
        <v>1488</v>
      </c>
      <c r="B4004" s="3" t="s">
        <v>333</v>
      </c>
      <c r="C4004" s="3">
        <v>25</v>
      </c>
      <c r="D4004" s="189">
        <v>25734.412789000002</v>
      </c>
      <c r="E4004" s="3">
        <v>1</v>
      </c>
      <c r="F4004" s="189">
        <v>1159.6732500000001</v>
      </c>
      <c r="G4004" s="3" t="s">
        <v>335</v>
      </c>
      <c r="H4004" s="79">
        <f t="shared" si="592"/>
        <v>4.5063132370974264E-2</v>
      </c>
    </row>
    <row r="4005" spans="1:16" x14ac:dyDescent="0.25">
      <c r="A4005" s="3" t="s">
        <v>1489</v>
      </c>
      <c r="B4005" s="3" t="s">
        <v>333</v>
      </c>
      <c r="C4005" s="3">
        <v>25</v>
      </c>
      <c r="D4005" s="189">
        <v>12203.421012000001</v>
      </c>
      <c r="E4005" s="3">
        <v>1</v>
      </c>
      <c r="F4005" s="189">
        <v>612.369237</v>
      </c>
      <c r="G4005" s="3" t="s">
        <v>335</v>
      </c>
      <c r="H4005" s="79">
        <f t="shared" si="592"/>
        <v>5.0180128703077476E-2</v>
      </c>
    </row>
    <row r="4006" spans="1:16" x14ac:dyDescent="0.25">
      <c r="A4006" s="3" t="s">
        <v>1490</v>
      </c>
      <c r="B4006" s="3" t="s">
        <v>333</v>
      </c>
      <c r="C4006" s="3">
        <v>25</v>
      </c>
      <c r="D4006" s="189">
        <v>300764.93838000001</v>
      </c>
      <c r="E4006" s="3">
        <v>1</v>
      </c>
      <c r="F4006" s="189">
        <v>30229.772174999998</v>
      </c>
      <c r="G4006" s="3" t="s">
        <v>335</v>
      </c>
      <c r="H4006" s="79">
        <f t="shared" si="592"/>
        <v>0.10050962834240453</v>
      </c>
    </row>
    <row r="4007" spans="1:16" x14ac:dyDescent="0.25">
      <c r="A4007" s="3" t="s">
        <v>1491</v>
      </c>
      <c r="B4007" s="3" t="s">
        <v>333</v>
      </c>
      <c r="C4007" s="3">
        <v>25</v>
      </c>
      <c r="D4007" s="189">
        <v>96601.435429999998</v>
      </c>
      <c r="E4007" s="3">
        <v>1</v>
      </c>
      <c r="F4007" s="189">
        <v>5719.3825500000003</v>
      </c>
      <c r="G4007" s="3" t="s">
        <v>335</v>
      </c>
      <c r="H4007" s="79">
        <f t="shared" si="592"/>
        <v>5.9205978922998705E-2</v>
      </c>
    </row>
    <row r="4008" spans="1:16" x14ac:dyDescent="0.25">
      <c r="A4008" s="3" t="s">
        <v>1492</v>
      </c>
      <c r="B4008" s="3" t="s">
        <v>333</v>
      </c>
      <c r="C4008" s="3">
        <v>25</v>
      </c>
      <c r="D4008" s="189">
        <v>59445.685386999998</v>
      </c>
      <c r="E4008" s="3">
        <v>1</v>
      </c>
      <c r="F4008" s="189">
        <v>2027.517891</v>
      </c>
      <c r="G4008" s="3" t="s">
        <v>335</v>
      </c>
      <c r="H4008" s="79">
        <f t="shared" si="592"/>
        <v>3.410706559779008E-2</v>
      </c>
    </row>
    <row r="4009" spans="1:16" x14ac:dyDescent="0.25">
      <c r="A4009" s="3" t="s">
        <v>1493</v>
      </c>
      <c r="B4009" s="3" t="s">
        <v>333</v>
      </c>
      <c r="C4009" s="3">
        <v>25</v>
      </c>
      <c r="D4009" s="189">
        <v>636116.94375500001</v>
      </c>
      <c r="E4009" s="3">
        <v>1</v>
      </c>
      <c r="F4009" s="189">
        <v>62595.154482999998</v>
      </c>
      <c r="G4009" s="3" t="s">
        <v>335</v>
      </c>
      <c r="H4009" s="79">
        <f t="shared" si="592"/>
        <v>9.8401960673301092E-2</v>
      </c>
    </row>
    <row r="4010" spans="1:16" x14ac:dyDescent="0.25">
      <c r="A4010" s="3" t="s">
        <v>1494</v>
      </c>
      <c r="B4010" s="3" t="s">
        <v>333</v>
      </c>
      <c r="C4010" s="3">
        <v>25</v>
      </c>
      <c r="D4010" s="189">
        <v>202330.19384299999</v>
      </c>
      <c r="E4010" s="3">
        <v>1</v>
      </c>
      <c r="F4010" s="189">
        <v>8455.6267220000009</v>
      </c>
      <c r="G4010" s="3" t="s">
        <v>335</v>
      </c>
      <c r="H4010" s="79">
        <f t="shared" si="592"/>
        <v>4.1791225330220477E-2</v>
      </c>
    </row>
    <row r="4011" spans="1:16" x14ac:dyDescent="0.25">
      <c r="A4011" s="3" t="s">
        <v>1495</v>
      </c>
      <c r="B4011" s="3" t="s">
        <v>333</v>
      </c>
      <c r="C4011" s="3">
        <v>25</v>
      </c>
      <c r="D4011" s="189">
        <v>139089.65810599999</v>
      </c>
      <c r="E4011" s="3">
        <v>1</v>
      </c>
      <c r="F4011" s="189">
        <v>8369.4873480000006</v>
      </c>
      <c r="G4011" s="3" t="s">
        <v>335</v>
      </c>
      <c r="H4011" s="79">
        <f t="shared" si="592"/>
        <v>6.0173326054347109E-2</v>
      </c>
    </row>
    <row r="4013" spans="1:16" ht="20" thickBot="1" x14ac:dyDescent="0.3">
      <c r="A4013" s="3" t="s">
        <v>740</v>
      </c>
    </row>
    <row r="4014" spans="1:16" x14ac:dyDescent="0.25">
      <c r="A4014" s="3" t="s">
        <v>2</v>
      </c>
      <c r="B4014" s="3" t="s">
        <v>3</v>
      </c>
      <c r="C4014" s="3" t="s">
        <v>504</v>
      </c>
      <c r="D4014" s="189" t="s">
        <v>5</v>
      </c>
      <c r="E4014" s="3" t="s">
        <v>1247</v>
      </c>
      <c r="F4014" s="189" t="s">
        <v>505</v>
      </c>
      <c r="G4014" s="3" t="s">
        <v>506</v>
      </c>
      <c r="J4014" s="5" t="str">
        <f>A4013</f>
        <v>filter2_90</v>
      </c>
      <c r="K4014" s="72" t="s">
        <v>340</v>
      </c>
      <c r="L4014" s="72" t="s">
        <v>341</v>
      </c>
      <c r="M4014" s="17" t="s">
        <v>162</v>
      </c>
      <c r="N4014" s="72" t="s">
        <v>342</v>
      </c>
      <c r="O4014" s="21" t="s">
        <v>162</v>
      </c>
      <c r="P4014" s="150" t="s">
        <v>1245</v>
      </c>
    </row>
    <row r="4015" spans="1:16" x14ac:dyDescent="0.25">
      <c r="A4015" s="3" t="s">
        <v>1496</v>
      </c>
      <c r="B4015" s="3" t="s">
        <v>333</v>
      </c>
      <c r="C4015" s="3">
        <v>25</v>
      </c>
      <c r="D4015" s="189">
        <v>938.01008400000001</v>
      </c>
      <c r="E4015" s="3">
        <v>1</v>
      </c>
      <c r="F4015" s="189">
        <v>197.574772</v>
      </c>
      <c r="G4015" s="3" t="s">
        <v>335</v>
      </c>
      <c r="H4015" s="79">
        <f t="shared" ref="H4015:H4029" si="596">F4015/D4015</f>
        <v>0.21063182088349489</v>
      </c>
      <c r="J4015" s="6">
        <v>100</v>
      </c>
      <c r="K4015" s="119">
        <f>D4015</f>
        <v>938.01008400000001</v>
      </c>
      <c r="L4015" s="119">
        <f>D4016</f>
        <v>263.30122999999998</v>
      </c>
      <c r="M4015" s="18">
        <f>(K4015-L4015)/K4015</f>
        <v>0.71929808166113485</v>
      </c>
      <c r="N4015" s="73">
        <f>D4017</f>
        <v>263.38992400000001</v>
      </c>
      <c r="O4015" s="22">
        <f>(K4015-N4015)/K4015</f>
        <v>0.71920352617445837</v>
      </c>
      <c r="P4015" s="151">
        <f>(L4015-N4015)/L4015</f>
        <v>-3.3685372453456545E-4</v>
      </c>
    </row>
    <row r="4016" spans="1:16" x14ac:dyDescent="0.25">
      <c r="A4016" s="3" t="s">
        <v>1497</v>
      </c>
      <c r="B4016" s="3" t="s">
        <v>333</v>
      </c>
      <c r="C4016" s="3">
        <v>25</v>
      </c>
      <c r="D4016" s="189">
        <v>263.30122999999998</v>
      </c>
      <c r="E4016" s="3">
        <v>1</v>
      </c>
      <c r="F4016" s="189">
        <v>14.893101</v>
      </c>
      <c r="G4016" s="3" t="s">
        <v>335</v>
      </c>
      <c r="H4016" s="79">
        <f t="shared" si="596"/>
        <v>5.6562975417927222E-2</v>
      </c>
      <c r="J4016" s="6">
        <v>1000</v>
      </c>
      <c r="K4016" s="119">
        <f>D4018</f>
        <v>7926.7774479999998</v>
      </c>
      <c r="L4016" s="119">
        <f>D4019</f>
        <v>2190.8591329999999</v>
      </c>
      <c r="M4016" s="18">
        <f t="shared" ref="M4016:M4019" si="597">(K4016-L4016)/K4016</f>
        <v>0.72361288715721739</v>
      </c>
      <c r="N4016" s="73">
        <f>D4020</f>
        <v>4340.1286129999999</v>
      </c>
      <c r="O4016" s="22">
        <f t="shared" ref="O4016:O4019" si="598">(K4016-N4016)/K4016</f>
        <v>0.45247250330018352</v>
      </c>
      <c r="P4016" s="151">
        <f t="shared" ref="P4016:P4019" si="599">(L4016-N4016)/L4016</f>
        <v>-0.98101673796660294</v>
      </c>
    </row>
    <row r="4017" spans="1:16" x14ac:dyDescent="0.25">
      <c r="A4017" s="3" t="s">
        <v>1498</v>
      </c>
      <c r="B4017" s="3" t="s">
        <v>333</v>
      </c>
      <c r="C4017" s="3">
        <v>25</v>
      </c>
      <c r="D4017" s="189">
        <v>263.38992400000001</v>
      </c>
      <c r="E4017" s="3">
        <v>1</v>
      </c>
      <c r="F4017" s="189">
        <v>32.243400000000001</v>
      </c>
      <c r="G4017" s="3" t="s">
        <v>335</v>
      </c>
      <c r="H4017" s="79">
        <f t="shared" si="596"/>
        <v>0.12241698357451214</v>
      </c>
      <c r="J4017" s="6">
        <v>10000</v>
      </c>
      <c r="K4017" s="119">
        <f>D4021</f>
        <v>111001.499192</v>
      </c>
      <c r="L4017" s="119">
        <f>D4022</f>
        <v>23756.113826000001</v>
      </c>
      <c r="M4017" s="18">
        <f t="shared" si="597"/>
        <v>0.78598384707481384</v>
      </c>
      <c r="N4017" s="73">
        <f>D4023</f>
        <v>11634.607663000001</v>
      </c>
      <c r="O4017" s="22">
        <f t="shared" si="598"/>
        <v>0.89518513040192771</v>
      </c>
      <c r="P4017" s="151">
        <f t="shared" si="599"/>
        <v>0.51024785668999262</v>
      </c>
    </row>
    <row r="4018" spans="1:16" x14ac:dyDescent="0.25">
      <c r="A4018" s="3" t="s">
        <v>1499</v>
      </c>
      <c r="B4018" s="3" t="s">
        <v>333</v>
      </c>
      <c r="C4018" s="3">
        <v>25</v>
      </c>
      <c r="D4018" s="189">
        <v>7926.7774479999998</v>
      </c>
      <c r="E4018" s="3">
        <v>1</v>
      </c>
      <c r="F4018" s="189">
        <v>1898.0121839999999</v>
      </c>
      <c r="G4018" s="3" t="s">
        <v>335</v>
      </c>
      <c r="H4018" s="79">
        <f t="shared" si="596"/>
        <v>0.23944310237685382</v>
      </c>
      <c r="J4018" s="6">
        <v>50000</v>
      </c>
      <c r="K4018" s="119">
        <f>D4024</f>
        <v>623432.08983900002</v>
      </c>
      <c r="L4018" s="119">
        <f>D4025</f>
        <v>141389.02875900001</v>
      </c>
      <c r="M4018" s="18">
        <f t="shared" si="597"/>
        <v>0.7732086123518066</v>
      </c>
      <c r="N4018" s="73">
        <f>D4026</f>
        <v>92574.558027000006</v>
      </c>
      <c r="O4018" s="22">
        <f t="shared" si="598"/>
        <v>0.8515081922540958</v>
      </c>
      <c r="P4018" s="151">
        <f t="shared" si="599"/>
        <v>0.34524935322389894</v>
      </c>
    </row>
    <row r="4019" spans="1:16" x14ac:dyDescent="0.25">
      <c r="A4019" s="3" t="s">
        <v>1500</v>
      </c>
      <c r="B4019" s="3" t="s">
        <v>333</v>
      </c>
      <c r="C4019" s="3">
        <v>25</v>
      </c>
      <c r="D4019" s="189">
        <v>2190.8591329999999</v>
      </c>
      <c r="E4019" s="3">
        <v>1</v>
      </c>
      <c r="F4019" s="189">
        <v>115.84462499999999</v>
      </c>
      <c r="G4019" s="3" t="s">
        <v>335</v>
      </c>
      <c r="H4019" s="79">
        <f t="shared" si="596"/>
        <v>5.2876345747237048E-2</v>
      </c>
      <c r="J4019" s="6">
        <v>100000</v>
      </c>
      <c r="K4019" s="119">
        <f>D4027</f>
        <v>1207888.9987339999</v>
      </c>
      <c r="L4019" s="119">
        <f>D4028</f>
        <v>318542.64271599997</v>
      </c>
      <c r="M4019" s="18">
        <f t="shared" si="597"/>
        <v>0.73628152665529067</v>
      </c>
      <c r="N4019" s="158">
        <f>D4029</f>
        <v>1961694.4113710001</v>
      </c>
      <c r="O4019" s="22">
        <f t="shared" si="598"/>
        <v>-0.62406844786819893</v>
      </c>
      <c r="P4019" s="151">
        <f t="shared" si="599"/>
        <v>-5.1583416105452775</v>
      </c>
    </row>
    <row r="4020" spans="1:16" x14ac:dyDescent="0.25">
      <c r="A4020" s="3" t="s">
        <v>1501</v>
      </c>
      <c r="B4020" s="3" t="s">
        <v>333</v>
      </c>
      <c r="C4020" s="3">
        <v>25</v>
      </c>
      <c r="D4020" s="189">
        <v>4340.1286129999999</v>
      </c>
      <c r="E4020" s="3">
        <v>1</v>
      </c>
      <c r="F4020" s="189">
        <v>4320.0529100000003</v>
      </c>
      <c r="G4020" s="3" t="s">
        <v>335</v>
      </c>
      <c r="H4020" s="79">
        <f t="shared" si="596"/>
        <v>0.99537439905816005</v>
      </c>
    </row>
    <row r="4021" spans="1:16" x14ac:dyDescent="0.25">
      <c r="A4021" s="3" t="s">
        <v>1502</v>
      </c>
      <c r="B4021" s="3" t="s">
        <v>333</v>
      </c>
      <c r="C4021" s="3">
        <v>25</v>
      </c>
      <c r="D4021" s="189">
        <v>111001.499192</v>
      </c>
      <c r="E4021" s="3">
        <v>1</v>
      </c>
      <c r="F4021" s="189">
        <v>10083.749669000001</v>
      </c>
      <c r="G4021" s="3" t="s">
        <v>335</v>
      </c>
      <c r="H4021" s="79">
        <f t="shared" si="596"/>
        <v>9.0843364660850884E-2</v>
      </c>
    </row>
    <row r="4022" spans="1:16" x14ac:dyDescent="0.25">
      <c r="A4022" s="3" t="s">
        <v>1503</v>
      </c>
      <c r="B4022" s="3" t="s">
        <v>333</v>
      </c>
      <c r="C4022" s="3">
        <v>25</v>
      </c>
      <c r="D4022" s="189">
        <v>23756.113826000001</v>
      </c>
      <c r="E4022" s="3">
        <v>1</v>
      </c>
      <c r="F4022" s="189">
        <v>1039.4352369999999</v>
      </c>
      <c r="G4022" s="3" t="s">
        <v>335</v>
      </c>
      <c r="H4022" s="79">
        <f t="shared" si="596"/>
        <v>4.3754430737841674E-2</v>
      </c>
    </row>
    <row r="4023" spans="1:16" x14ac:dyDescent="0.25">
      <c r="A4023" s="3" t="s">
        <v>1504</v>
      </c>
      <c r="B4023" s="3" t="s">
        <v>333</v>
      </c>
      <c r="C4023" s="3">
        <v>25</v>
      </c>
      <c r="D4023" s="189">
        <v>11634.607663000001</v>
      </c>
      <c r="E4023" s="3">
        <v>1</v>
      </c>
      <c r="F4023" s="189">
        <v>507.05388699999997</v>
      </c>
      <c r="G4023" s="3" t="s">
        <v>335</v>
      </c>
      <c r="H4023" s="79">
        <f t="shared" si="596"/>
        <v>4.3581520038059915E-2</v>
      </c>
    </row>
    <row r="4024" spans="1:16" x14ac:dyDescent="0.25">
      <c r="A4024" s="3" t="s">
        <v>1505</v>
      </c>
      <c r="B4024" s="3" t="s">
        <v>333</v>
      </c>
      <c r="C4024" s="3">
        <v>25</v>
      </c>
      <c r="D4024" s="189">
        <v>623432.08983900002</v>
      </c>
      <c r="E4024" s="3">
        <v>1</v>
      </c>
      <c r="F4024" s="189">
        <v>57519.279303000003</v>
      </c>
      <c r="G4024" s="3" t="s">
        <v>335</v>
      </c>
      <c r="H4024" s="79">
        <f t="shared" si="596"/>
        <v>9.2262301284257331E-2</v>
      </c>
    </row>
    <row r="4025" spans="1:16" x14ac:dyDescent="0.25">
      <c r="A4025" s="3" t="s">
        <v>1506</v>
      </c>
      <c r="B4025" s="3" t="s">
        <v>333</v>
      </c>
      <c r="C4025" s="3">
        <v>25</v>
      </c>
      <c r="D4025" s="189">
        <v>141389.02875900001</v>
      </c>
      <c r="E4025" s="3">
        <v>1</v>
      </c>
      <c r="F4025" s="189">
        <v>5748.1730310000003</v>
      </c>
      <c r="G4025" s="3" t="s">
        <v>335</v>
      </c>
      <c r="H4025" s="79">
        <f t="shared" si="596"/>
        <v>4.0655014617844633E-2</v>
      </c>
    </row>
    <row r="4026" spans="1:16" x14ac:dyDescent="0.25">
      <c r="A4026" s="3" t="s">
        <v>1507</v>
      </c>
      <c r="B4026" s="3" t="s">
        <v>333</v>
      </c>
      <c r="C4026" s="3">
        <v>25</v>
      </c>
      <c r="D4026" s="189">
        <v>92574.558027000006</v>
      </c>
      <c r="E4026" s="3">
        <v>1</v>
      </c>
      <c r="F4026" s="189">
        <v>1906.0846039999999</v>
      </c>
      <c r="G4026" s="3" t="s">
        <v>335</v>
      </c>
      <c r="H4026" s="79">
        <f t="shared" si="596"/>
        <v>2.0589724051872624E-2</v>
      </c>
    </row>
    <row r="4027" spans="1:16" x14ac:dyDescent="0.25">
      <c r="A4027" s="3" t="s">
        <v>1508</v>
      </c>
      <c r="B4027" s="3" t="s">
        <v>333</v>
      </c>
      <c r="C4027" s="3">
        <v>25</v>
      </c>
      <c r="D4027" s="189">
        <v>1207888.9987339999</v>
      </c>
      <c r="E4027" s="3">
        <v>1</v>
      </c>
      <c r="F4027" s="189">
        <v>174243.41346400001</v>
      </c>
      <c r="G4027" s="3" t="s">
        <v>335</v>
      </c>
      <c r="H4027" s="79">
        <f t="shared" si="596"/>
        <v>0.14425449163509743</v>
      </c>
    </row>
    <row r="4028" spans="1:16" x14ac:dyDescent="0.25">
      <c r="A4028" s="3" t="s">
        <v>1509</v>
      </c>
      <c r="B4028" s="3" t="s">
        <v>333</v>
      </c>
      <c r="C4028" s="3">
        <v>25</v>
      </c>
      <c r="D4028" s="189">
        <v>318542.64271599997</v>
      </c>
      <c r="E4028" s="3">
        <v>1</v>
      </c>
      <c r="F4028" s="189">
        <v>20162.343499999999</v>
      </c>
      <c r="G4028" s="3" t="s">
        <v>335</v>
      </c>
      <c r="H4028" s="79">
        <f t="shared" si="596"/>
        <v>6.3295586826583677E-2</v>
      </c>
    </row>
    <row r="4029" spans="1:16" x14ac:dyDescent="0.25">
      <c r="A4029" s="3" t="s">
        <v>1510</v>
      </c>
      <c r="B4029" s="3" t="s">
        <v>333</v>
      </c>
      <c r="C4029" s="3">
        <v>25</v>
      </c>
      <c r="D4029" s="189">
        <v>1961694.4113710001</v>
      </c>
      <c r="E4029" s="3">
        <v>1</v>
      </c>
      <c r="F4029" s="189">
        <v>83855.429762999993</v>
      </c>
      <c r="G4029" s="3" t="s">
        <v>335</v>
      </c>
      <c r="H4029" s="79">
        <f t="shared" si="596"/>
        <v>4.2746428432955889E-2</v>
      </c>
    </row>
    <row r="4031" spans="1:16" x14ac:dyDescent="0.25">
      <c r="A4031" s="3" t="s">
        <v>860</v>
      </c>
    </row>
    <row r="4032" spans="1:16" x14ac:dyDescent="0.25">
      <c r="A4032" s="3" t="s">
        <v>2</v>
      </c>
      <c r="B4032" s="3" t="s">
        <v>3</v>
      </c>
      <c r="C4032" s="3" t="s">
        <v>504</v>
      </c>
      <c r="D4032" s="189" t="s">
        <v>5</v>
      </c>
      <c r="E4032" s="3" t="s">
        <v>1247</v>
      </c>
      <c r="F4032" s="189" t="s">
        <v>505</v>
      </c>
      <c r="G4032" s="3" t="s">
        <v>506</v>
      </c>
    </row>
    <row r="4033" spans="1:8" x14ac:dyDescent="0.25">
      <c r="A4033" s="3" t="s">
        <v>1511</v>
      </c>
      <c r="B4033" s="3" t="s">
        <v>333</v>
      </c>
      <c r="C4033" s="3">
        <v>25</v>
      </c>
      <c r="D4033" s="189">
        <v>7486.1534869999996</v>
      </c>
      <c r="E4033" s="3">
        <v>1</v>
      </c>
      <c r="F4033" s="189">
        <v>2672.5644029999999</v>
      </c>
      <c r="G4033" s="3" t="s">
        <v>335</v>
      </c>
      <c r="H4033" s="79">
        <f t="shared" ref="H4033:H4052" si="600">F4033/D4033</f>
        <v>0.35700101629508574</v>
      </c>
    </row>
    <row r="4034" spans="1:8" x14ac:dyDescent="0.25">
      <c r="A4034" s="3" t="s">
        <v>1512</v>
      </c>
      <c r="B4034" s="3" t="s">
        <v>333</v>
      </c>
      <c r="C4034" s="3">
        <v>25</v>
      </c>
      <c r="D4034" s="189">
        <v>56417.364675999997</v>
      </c>
      <c r="E4034" s="3">
        <v>1</v>
      </c>
      <c r="F4034" s="189">
        <v>69359.222328999997</v>
      </c>
      <c r="G4034" s="3" t="s">
        <v>335</v>
      </c>
      <c r="H4034" s="79">
        <f t="shared" si="600"/>
        <v>1.2293949341186701</v>
      </c>
    </row>
    <row r="4035" spans="1:8" x14ac:dyDescent="0.25">
      <c r="A4035" s="3" t="s">
        <v>1513</v>
      </c>
      <c r="B4035" s="3" t="s">
        <v>333</v>
      </c>
      <c r="C4035" s="3">
        <v>25</v>
      </c>
      <c r="D4035" s="189">
        <v>3825.011285</v>
      </c>
      <c r="E4035" s="3">
        <v>1</v>
      </c>
      <c r="F4035" s="189">
        <v>422.98671100000001</v>
      </c>
      <c r="G4035" s="3" t="s">
        <v>335</v>
      </c>
      <c r="H4035" s="79">
        <f t="shared" si="600"/>
        <v>0.11058443478553032</v>
      </c>
    </row>
    <row r="4036" spans="1:8" x14ac:dyDescent="0.25">
      <c r="A4036" s="3" t="s">
        <v>1514</v>
      </c>
      <c r="B4036" s="3" t="s">
        <v>333</v>
      </c>
      <c r="C4036" s="3">
        <v>25</v>
      </c>
      <c r="D4036" s="189">
        <v>13282.297756</v>
      </c>
      <c r="E4036" s="3">
        <v>1</v>
      </c>
      <c r="F4036" s="189">
        <v>2580.4719580000001</v>
      </c>
      <c r="G4036" s="3" t="s">
        <v>335</v>
      </c>
      <c r="H4036" s="79">
        <f t="shared" si="600"/>
        <v>0.19427903254422421</v>
      </c>
    </row>
    <row r="4037" spans="1:8" x14ac:dyDescent="0.25">
      <c r="A4037" s="3" t="s">
        <v>1515</v>
      </c>
      <c r="B4037" s="3" t="s">
        <v>333</v>
      </c>
      <c r="C4037" s="3">
        <v>25</v>
      </c>
      <c r="D4037" s="189">
        <v>82700.866639999993</v>
      </c>
      <c r="E4037" s="3">
        <v>1</v>
      </c>
      <c r="F4037" s="189">
        <v>28023.498820000001</v>
      </c>
      <c r="G4037" s="3" t="s">
        <v>335</v>
      </c>
      <c r="H4037" s="79">
        <f t="shared" si="600"/>
        <v>0.33885375037225851</v>
      </c>
    </row>
    <row r="4038" spans="1:8" x14ac:dyDescent="0.25">
      <c r="A4038" s="3" t="s">
        <v>1516</v>
      </c>
      <c r="B4038" s="3" t="s">
        <v>333</v>
      </c>
      <c r="C4038" s="3">
        <v>25</v>
      </c>
      <c r="D4038" s="189">
        <v>48929.136454</v>
      </c>
      <c r="E4038" s="3">
        <v>1</v>
      </c>
      <c r="F4038" s="189">
        <v>2820.3437600000002</v>
      </c>
      <c r="G4038" s="3" t="s">
        <v>335</v>
      </c>
      <c r="H4038" s="79">
        <f t="shared" si="600"/>
        <v>5.7641396607346719E-2</v>
      </c>
    </row>
    <row r="4039" spans="1:8" x14ac:dyDescent="0.25">
      <c r="A4039" s="3" t="s">
        <v>1517</v>
      </c>
      <c r="B4039" s="3" t="s">
        <v>333</v>
      </c>
      <c r="C4039" s="3">
        <v>25</v>
      </c>
      <c r="D4039" s="189">
        <v>31213.211650000001</v>
      </c>
      <c r="E4039" s="3">
        <v>1</v>
      </c>
      <c r="F4039" s="189">
        <v>3139.248795</v>
      </c>
      <c r="G4039" s="3" t="s">
        <v>335</v>
      </c>
      <c r="H4039" s="79">
        <f t="shared" si="600"/>
        <v>0.10057436031258257</v>
      </c>
    </row>
    <row r="4040" spans="1:8" x14ac:dyDescent="0.25">
      <c r="A4040" s="3" t="s">
        <v>1518</v>
      </c>
      <c r="B4040" s="3" t="s">
        <v>333</v>
      </c>
      <c r="C4040" s="3">
        <v>25</v>
      </c>
      <c r="D4040" s="189">
        <v>116028.59693099999</v>
      </c>
      <c r="E4040" s="3">
        <v>1</v>
      </c>
      <c r="F4040" s="189">
        <v>25758.155207</v>
      </c>
      <c r="G4040" s="3" t="s">
        <v>335</v>
      </c>
      <c r="H4040" s="79">
        <f t="shared" si="600"/>
        <v>0.22199833393071094</v>
      </c>
    </row>
    <row r="4041" spans="1:8" x14ac:dyDescent="0.25">
      <c r="A4041" s="3" t="s">
        <v>1519</v>
      </c>
      <c r="B4041" s="3" t="s">
        <v>333</v>
      </c>
      <c r="C4041" s="3">
        <v>25</v>
      </c>
      <c r="D4041" s="189">
        <v>1024496.420519</v>
      </c>
      <c r="E4041" s="3">
        <v>1</v>
      </c>
      <c r="F4041" s="189">
        <v>307525.40245200001</v>
      </c>
      <c r="G4041" s="3" t="s">
        <v>335</v>
      </c>
      <c r="H4041" s="79">
        <f t="shared" si="600"/>
        <v>0.30017225662556302</v>
      </c>
    </row>
    <row r="4042" spans="1:8" x14ac:dyDescent="0.25">
      <c r="A4042" s="3" t="s">
        <v>1520</v>
      </c>
      <c r="B4042" s="3" t="s">
        <v>333</v>
      </c>
      <c r="C4042" s="3">
        <v>25</v>
      </c>
      <c r="D4042" s="189">
        <v>533939.96979999996</v>
      </c>
      <c r="E4042" s="3">
        <v>1</v>
      </c>
      <c r="F4042" s="189">
        <v>47040.948639000002</v>
      </c>
      <c r="G4042" s="3" t="s">
        <v>335</v>
      </c>
      <c r="H4042" s="79">
        <f t="shared" si="600"/>
        <v>8.8101568153102147E-2</v>
      </c>
    </row>
    <row r="4043" spans="1:8" x14ac:dyDescent="0.25">
      <c r="A4043" s="3" t="s">
        <v>1521</v>
      </c>
      <c r="B4043" s="3" t="s">
        <v>333</v>
      </c>
      <c r="C4043" s="3">
        <v>25</v>
      </c>
      <c r="D4043" s="189">
        <v>345876.443508</v>
      </c>
      <c r="E4043" s="3">
        <v>1</v>
      </c>
      <c r="F4043" s="189">
        <v>33814.883847999998</v>
      </c>
      <c r="G4043" s="3" t="s">
        <v>335</v>
      </c>
      <c r="H4043" s="79">
        <f t="shared" si="600"/>
        <v>9.7765790306612407E-2</v>
      </c>
    </row>
    <row r="4044" spans="1:8" x14ac:dyDescent="0.25">
      <c r="A4044" s="3" t="s">
        <v>1522</v>
      </c>
      <c r="B4044" s="3" t="s">
        <v>333</v>
      </c>
      <c r="C4044" s="3">
        <v>25</v>
      </c>
      <c r="D4044" s="189">
        <v>1645864.3193010001</v>
      </c>
      <c r="E4044" s="3">
        <v>1</v>
      </c>
      <c r="F4044" s="189">
        <v>443877.48060299997</v>
      </c>
      <c r="G4044" s="3" t="s">
        <v>335</v>
      </c>
      <c r="H4044" s="79">
        <f t="shared" si="600"/>
        <v>0.26969263225264833</v>
      </c>
    </row>
    <row r="4045" spans="1:8" x14ac:dyDescent="0.25">
      <c r="A4045" s="3" t="s">
        <v>1523</v>
      </c>
      <c r="B4045" s="3" t="s">
        <v>333</v>
      </c>
      <c r="C4045" s="3">
        <v>25</v>
      </c>
      <c r="D4045" s="189">
        <v>28797733.566686999</v>
      </c>
      <c r="E4045" s="3">
        <v>1</v>
      </c>
      <c r="F4045" s="189">
        <v>10940606.114492999</v>
      </c>
      <c r="G4045" s="3" t="s">
        <v>335</v>
      </c>
      <c r="H4045" s="79">
        <f t="shared" si="600"/>
        <v>0.37991205416071389</v>
      </c>
    </row>
    <row r="4046" spans="1:8" x14ac:dyDescent="0.25">
      <c r="A4046" s="3" t="s">
        <v>1524</v>
      </c>
      <c r="B4046" s="3" t="s">
        <v>333</v>
      </c>
      <c r="C4046" s="3">
        <v>25</v>
      </c>
      <c r="D4046" s="189">
        <v>30472004.977479</v>
      </c>
      <c r="E4046" s="3">
        <v>1</v>
      </c>
      <c r="F4046" s="189">
        <v>31267539.779925</v>
      </c>
      <c r="G4046" s="3" t="s">
        <v>335</v>
      </c>
      <c r="H4046" s="79">
        <f t="shared" si="600"/>
        <v>1.0261070711636453</v>
      </c>
    </row>
    <row r="4047" spans="1:8" x14ac:dyDescent="0.25">
      <c r="A4047" s="3" t="s">
        <v>1525</v>
      </c>
      <c r="B4047" s="3" t="s">
        <v>333</v>
      </c>
      <c r="C4047" s="3">
        <v>25</v>
      </c>
      <c r="D4047" s="189">
        <v>3372908.3953269999</v>
      </c>
      <c r="E4047" s="3">
        <v>1</v>
      </c>
      <c r="F4047" s="189">
        <v>1955511.0528210001</v>
      </c>
      <c r="G4047" s="3" t="s">
        <v>335</v>
      </c>
      <c r="H4047" s="79">
        <f t="shared" si="600"/>
        <v>0.5797699859060107</v>
      </c>
    </row>
    <row r="4048" spans="1:8" x14ac:dyDescent="0.25">
      <c r="A4048" s="3" t="s">
        <v>1526</v>
      </c>
      <c r="B4048" s="3" t="s">
        <v>333</v>
      </c>
      <c r="C4048" s="3">
        <v>25</v>
      </c>
      <c r="D4048" s="189">
        <v>463767209.38175303</v>
      </c>
      <c r="E4048" s="3">
        <v>1</v>
      </c>
      <c r="F4048" s="189">
        <v>883408401.12630296</v>
      </c>
      <c r="G4048" s="3" t="s">
        <v>335</v>
      </c>
      <c r="H4048" s="79">
        <f t="shared" si="600"/>
        <v>1.9048530884793959</v>
      </c>
    </row>
    <row r="4049" spans="1:16" x14ac:dyDescent="0.25">
      <c r="A4049" s="3" t="s">
        <v>1527</v>
      </c>
      <c r="B4049" s="3" t="s">
        <v>333</v>
      </c>
      <c r="C4049" s="3">
        <v>25</v>
      </c>
      <c r="D4049" s="189">
        <v>1117923707.85356</v>
      </c>
      <c r="E4049" s="3">
        <v>1</v>
      </c>
      <c r="F4049" s="189">
        <v>402860940.16156799</v>
      </c>
      <c r="G4049" s="3" t="s">
        <v>335</v>
      </c>
      <c r="H4049" s="79">
        <f t="shared" si="600"/>
        <v>0.36036532487093464</v>
      </c>
    </row>
    <row r="4050" spans="1:16" x14ac:dyDescent="0.25">
      <c r="A4050" s="3" t="s">
        <v>1528</v>
      </c>
      <c r="B4050" s="3" t="s">
        <v>333</v>
      </c>
      <c r="C4050" s="3">
        <v>25</v>
      </c>
      <c r="D4050" s="189">
        <v>6683815.1649369998</v>
      </c>
      <c r="E4050" s="3">
        <v>1</v>
      </c>
      <c r="F4050" s="189">
        <v>389884.626047</v>
      </c>
      <c r="G4050" s="3" t="s">
        <v>335</v>
      </c>
      <c r="H4050" s="79">
        <f t="shared" si="600"/>
        <v>5.8332646314386068E-2</v>
      </c>
    </row>
    <row r="4051" spans="1:16" x14ac:dyDescent="0.25">
      <c r="A4051" s="3" t="s">
        <v>1529</v>
      </c>
      <c r="B4051" s="3" t="s">
        <v>333</v>
      </c>
      <c r="C4051" s="3">
        <v>25</v>
      </c>
      <c r="D4051" s="189">
        <v>314954269.27338302</v>
      </c>
      <c r="E4051" s="3">
        <v>1</v>
      </c>
      <c r="F4051" s="189">
        <v>245330279.12492201</v>
      </c>
      <c r="G4051" s="3" t="s">
        <v>335</v>
      </c>
      <c r="H4051" s="79">
        <f t="shared" si="600"/>
        <v>0.77893936694654931</v>
      </c>
    </row>
    <row r="4052" spans="1:16" x14ac:dyDescent="0.25">
      <c r="A4052" s="3" t="s">
        <v>1530</v>
      </c>
      <c r="B4052" s="3" t="s">
        <v>333</v>
      </c>
      <c r="C4052" s="3">
        <v>25</v>
      </c>
      <c r="D4052" s="189">
        <v>102514361.04384699</v>
      </c>
      <c r="E4052" s="3">
        <v>1</v>
      </c>
      <c r="F4052" s="189">
        <v>147225042.77261099</v>
      </c>
      <c r="G4052" s="3" t="s">
        <v>335</v>
      </c>
      <c r="H4052" s="79">
        <f t="shared" si="600"/>
        <v>1.436140666278362</v>
      </c>
    </row>
    <row r="4054" spans="1:16" ht="20" thickBot="1" x14ac:dyDescent="0.3">
      <c r="A4054" s="3" t="s">
        <v>881</v>
      </c>
    </row>
    <row r="4055" spans="1:16" x14ac:dyDescent="0.25">
      <c r="A4055" s="3" t="s">
        <v>2</v>
      </c>
      <c r="B4055" s="3" t="s">
        <v>3</v>
      </c>
      <c r="C4055" s="3" t="s">
        <v>504</v>
      </c>
      <c r="D4055" s="189" t="s">
        <v>5</v>
      </c>
      <c r="E4055" s="3" t="s">
        <v>1247</v>
      </c>
      <c r="F4055" s="189" t="s">
        <v>505</v>
      </c>
      <c r="G4055" s="3" t="s">
        <v>506</v>
      </c>
      <c r="J4055" s="5" t="str">
        <f>A4054</f>
        <v>groupBy2_10</v>
      </c>
      <c r="K4055" s="72" t="s">
        <v>340</v>
      </c>
      <c r="L4055" s="72" t="s">
        <v>341</v>
      </c>
      <c r="M4055" s="17" t="s">
        <v>162</v>
      </c>
      <c r="N4055" s="72" t="s">
        <v>342</v>
      </c>
      <c r="O4055" s="21" t="s">
        <v>162</v>
      </c>
      <c r="P4055" s="150" t="s">
        <v>1245</v>
      </c>
    </row>
    <row r="4056" spans="1:16" x14ac:dyDescent="0.25">
      <c r="A4056" s="3" t="s">
        <v>1540</v>
      </c>
      <c r="B4056" s="3" t="s">
        <v>333</v>
      </c>
      <c r="C4056" s="3">
        <v>25</v>
      </c>
      <c r="D4056" s="189">
        <v>1653.342995</v>
      </c>
      <c r="E4056" s="3">
        <v>1</v>
      </c>
      <c r="F4056" s="189">
        <v>197.63382999999999</v>
      </c>
      <c r="G4056" s="3" t="s">
        <v>335</v>
      </c>
      <c r="H4056" s="79">
        <f t="shared" ref="H4056:H4070" si="601">F4056/D4056</f>
        <v>0.11953589218793648</v>
      </c>
      <c r="J4056" s="6">
        <v>100</v>
      </c>
      <c r="K4056" s="119">
        <f>D4056</f>
        <v>1653.342995</v>
      </c>
      <c r="L4056" s="119">
        <f>D4057</f>
        <v>1574.7035069999999</v>
      </c>
      <c r="M4056" s="18">
        <f>(K4056-L4056)/K4056</f>
        <v>4.7563928499905747E-2</v>
      </c>
      <c r="N4056" s="73">
        <f>D4058</f>
        <v>2599.9021039999998</v>
      </c>
      <c r="O4056" s="22">
        <f>(K4056-N4056)/K4056</f>
        <v>-0.57251224450253879</v>
      </c>
      <c r="P4056" s="151">
        <f>(L4056-N4056)/L4056</f>
        <v>-0.65104230253041528</v>
      </c>
    </row>
    <row r="4057" spans="1:16" x14ac:dyDescent="0.25">
      <c r="A4057" s="3" t="s">
        <v>1541</v>
      </c>
      <c r="B4057" s="3" t="s">
        <v>333</v>
      </c>
      <c r="C4057" s="3">
        <v>25</v>
      </c>
      <c r="D4057" s="189">
        <v>1574.7035069999999</v>
      </c>
      <c r="E4057" s="3">
        <v>1</v>
      </c>
      <c r="F4057" s="189">
        <v>220.044658</v>
      </c>
      <c r="G4057" s="3" t="s">
        <v>335</v>
      </c>
      <c r="H4057" s="79">
        <f t="shared" si="601"/>
        <v>0.13973719942950505</v>
      </c>
      <c r="J4057" s="6">
        <v>1000</v>
      </c>
      <c r="K4057" s="119">
        <f>D4059</f>
        <v>19779.102327000001</v>
      </c>
      <c r="L4057" s="119">
        <f>D4060</f>
        <v>17964.002727999999</v>
      </c>
      <c r="M4057" s="18">
        <f t="shared" ref="M4057:M4060" si="602">(K4057-L4057)/K4057</f>
        <v>9.1768552939950676E-2</v>
      </c>
      <c r="N4057" s="73">
        <f>D4061</f>
        <v>27253.400056999999</v>
      </c>
      <c r="O4057" s="22">
        <f t="shared" ref="O4057:O4060" si="603">(K4057-N4057)/K4057</f>
        <v>-0.3778886223666989</v>
      </c>
      <c r="P4057" s="151">
        <f t="shared" ref="P4057:P4060" si="604">(L4057-N4057)/L4057</f>
        <v>-0.5171117745668603</v>
      </c>
    </row>
    <row r="4058" spans="1:16" x14ac:dyDescent="0.25">
      <c r="A4058" s="3" t="s">
        <v>1542</v>
      </c>
      <c r="B4058" s="3" t="s">
        <v>333</v>
      </c>
      <c r="C4058" s="3">
        <v>25</v>
      </c>
      <c r="D4058" s="189">
        <v>2599.9021039999998</v>
      </c>
      <c r="E4058" s="3">
        <v>1</v>
      </c>
      <c r="F4058" s="189">
        <v>349.84700299999997</v>
      </c>
      <c r="G4058" s="3" t="s">
        <v>335</v>
      </c>
      <c r="H4058" s="79">
        <f t="shared" si="601"/>
        <v>0.13456160617038371</v>
      </c>
      <c r="J4058" s="6">
        <v>10000</v>
      </c>
      <c r="K4058" s="119">
        <f>D4062</f>
        <v>237042.107713</v>
      </c>
      <c r="L4058" s="119">
        <f>D4063</f>
        <v>241719.650616</v>
      </c>
      <c r="M4058" s="18">
        <f t="shared" si="602"/>
        <v>-1.9732961996200921E-2</v>
      </c>
      <c r="N4058" s="73">
        <f>D4064</f>
        <v>349645.43885400001</v>
      </c>
      <c r="O4058" s="22">
        <f t="shared" si="603"/>
        <v>-0.47503514134009933</v>
      </c>
      <c r="P4058" s="151">
        <f t="shared" si="604"/>
        <v>-0.44649157800353095</v>
      </c>
    </row>
    <row r="4059" spans="1:16" x14ac:dyDescent="0.25">
      <c r="A4059" s="3" t="s">
        <v>1537</v>
      </c>
      <c r="B4059" s="3" t="s">
        <v>333</v>
      </c>
      <c r="C4059" s="3">
        <v>25</v>
      </c>
      <c r="D4059" s="189">
        <v>19779.102327000001</v>
      </c>
      <c r="E4059" s="3">
        <v>1</v>
      </c>
      <c r="F4059" s="189">
        <v>2873.37725</v>
      </c>
      <c r="G4059" s="3" t="s">
        <v>335</v>
      </c>
      <c r="H4059" s="79">
        <f t="shared" si="601"/>
        <v>0.14527339019211294</v>
      </c>
      <c r="J4059" s="6">
        <v>50000</v>
      </c>
      <c r="K4059" s="119">
        <f>D4065</f>
        <v>1728311.0350870001</v>
      </c>
      <c r="L4059" s="119">
        <f>D4066</f>
        <v>1581001.1488640001</v>
      </c>
      <c r="M4059" s="18">
        <f t="shared" si="602"/>
        <v>8.5233434973459324E-2</v>
      </c>
      <c r="N4059" s="73">
        <f>D4067</f>
        <v>2701828.5514369998</v>
      </c>
      <c r="O4059" s="22">
        <f t="shared" si="603"/>
        <v>-0.56327680410892855</v>
      </c>
      <c r="P4059" s="151">
        <f t="shared" si="604"/>
        <v>-0.70893522334145676</v>
      </c>
    </row>
    <row r="4060" spans="1:16" x14ac:dyDescent="0.25">
      <c r="A4060" s="3" t="s">
        <v>1538</v>
      </c>
      <c r="B4060" s="3" t="s">
        <v>333</v>
      </c>
      <c r="C4060" s="3">
        <v>25</v>
      </c>
      <c r="D4060" s="189">
        <v>17964.002727999999</v>
      </c>
      <c r="E4060" s="3">
        <v>1</v>
      </c>
      <c r="F4060" s="189">
        <v>2219.3125129999999</v>
      </c>
      <c r="G4060" s="3" t="s">
        <v>335</v>
      </c>
      <c r="H4060" s="79">
        <f t="shared" si="601"/>
        <v>0.12354220529819995</v>
      </c>
      <c r="J4060" s="6">
        <v>100000</v>
      </c>
      <c r="K4060" s="119">
        <f>D4068</f>
        <v>4190136.7888099998</v>
      </c>
      <c r="L4060" s="119">
        <f>D4069</f>
        <v>3881346.1870129998</v>
      </c>
      <c r="M4060" s="18">
        <f t="shared" si="602"/>
        <v>7.3694635130204578E-2</v>
      </c>
      <c r="N4060" s="158">
        <f>D4070</f>
        <v>5887537.8845769996</v>
      </c>
      <c r="O4060" s="22">
        <f t="shared" si="603"/>
        <v>-0.40509443517452859</v>
      </c>
      <c r="P4060" s="151">
        <f t="shared" si="604"/>
        <v>-0.51688038141939652</v>
      </c>
    </row>
    <row r="4061" spans="1:16" x14ac:dyDescent="0.25">
      <c r="A4061" s="3" t="s">
        <v>1539</v>
      </c>
      <c r="B4061" s="3" t="s">
        <v>333</v>
      </c>
      <c r="C4061" s="3">
        <v>25</v>
      </c>
      <c r="D4061" s="189">
        <v>27253.400056999999</v>
      </c>
      <c r="E4061" s="3">
        <v>1</v>
      </c>
      <c r="F4061" s="189">
        <v>5790.0717800000002</v>
      </c>
      <c r="G4061" s="3" t="s">
        <v>335</v>
      </c>
      <c r="H4061" s="79">
        <f t="shared" si="601"/>
        <v>0.21245318998327434</v>
      </c>
    </row>
    <row r="4062" spans="1:16" x14ac:dyDescent="0.25">
      <c r="A4062" s="3" t="s">
        <v>1534</v>
      </c>
      <c r="B4062" s="3" t="s">
        <v>333</v>
      </c>
      <c r="C4062" s="3">
        <v>25</v>
      </c>
      <c r="D4062" s="189">
        <v>237042.107713</v>
      </c>
      <c r="E4062" s="3">
        <v>1</v>
      </c>
      <c r="F4062" s="189">
        <v>39082.278188999997</v>
      </c>
      <c r="G4062" s="3" t="s">
        <v>335</v>
      </c>
      <c r="H4062" s="79">
        <f t="shared" si="601"/>
        <v>0.16487483412153536</v>
      </c>
    </row>
    <row r="4063" spans="1:16" x14ac:dyDescent="0.25">
      <c r="A4063" s="3" t="s">
        <v>1535</v>
      </c>
      <c r="B4063" s="3" t="s">
        <v>333</v>
      </c>
      <c r="C4063" s="3">
        <v>25</v>
      </c>
      <c r="D4063" s="189">
        <v>241719.650616</v>
      </c>
      <c r="E4063" s="3">
        <v>1</v>
      </c>
      <c r="F4063" s="189">
        <v>43665.694082000002</v>
      </c>
      <c r="G4063" s="3" t="s">
        <v>335</v>
      </c>
      <c r="H4063" s="79">
        <f t="shared" si="601"/>
        <v>0.18064602513995884</v>
      </c>
    </row>
    <row r="4064" spans="1:16" x14ac:dyDescent="0.25">
      <c r="A4064" s="3" t="s">
        <v>1536</v>
      </c>
      <c r="B4064" s="3" t="s">
        <v>333</v>
      </c>
      <c r="C4064" s="3">
        <v>25</v>
      </c>
      <c r="D4064" s="189">
        <v>349645.43885400001</v>
      </c>
      <c r="E4064" s="3">
        <v>1</v>
      </c>
      <c r="F4064" s="189">
        <v>55911.450091999999</v>
      </c>
      <c r="G4064" s="3" t="s">
        <v>335</v>
      </c>
      <c r="H4064" s="79">
        <f t="shared" si="601"/>
        <v>0.15990899316534973</v>
      </c>
    </row>
    <row r="4065" spans="1:16" x14ac:dyDescent="0.25">
      <c r="A4065" s="3" t="s">
        <v>1543</v>
      </c>
      <c r="B4065" s="3" t="s">
        <v>333</v>
      </c>
      <c r="C4065" s="3">
        <v>25</v>
      </c>
      <c r="D4065" s="189">
        <v>1728311.0350870001</v>
      </c>
      <c r="E4065" s="3">
        <v>1</v>
      </c>
      <c r="F4065" s="189">
        <v>302367.40931900003</v>
      </c>
      <c r="G4065" s="3" t="s">
        <v>335</v>
      </c>
      <c r="H4065" s="79">
        <f t="shared" si="601"/>
        <v>0.17494964921275261</v>
      </c>
    </row>
    <row r="4066" spans="1:16" x14ac:dyDescent="0.25">
      <c r="A4066" s="3" t="s">
        <v>1544</v>
      </c>
      <c r="B4066" s="3" t="s">
        <v>333</v>
      </c>
      <c r="C4066" s="3">
        <v>25</v>
      </c>
      <c r="D4066" s="189">
        <v>1581001.1488640001</v>
      </c>
      <c r="E4066" s="3">
        <v>1</v>
      </c>
      <c r="F4066" s="189">
        <v>182152.708506</v>
      </c>
      <c r="G4066" s="3" t="s">
        <v>335</v>
      </c>
      <c r="H4066" s="79">
        <f t="shared" si="601"/>
        <v>0.11521352064600493</v>
      </c>
    </row>
    <row r="4067" spans="1:16" x14ac:dyDescent="0.25">
      <c r="A4067" s="3" t="s">
        <v>1545</v>
      </c>
      <c r="B4067" s="3" t="s">
        <v>333</v>
      </c>
      <c r="C4067" s="3">
        <v>25</v>
      </c>
      <c r="D4067" s="189">
        <v>2701828.5514369998</v>
      </c>
      <c r="E4067" s="3">
        <v>1</v>
      </c>
      <c r="F4067" s="189">
        <v>454972.74601300003</v>
      </c>
      <c r="G4067" s="3" t="s">
        <v>335</v>
      </c>
      <c r="H4067" s="79">
        <f t="shared" si="601"/>
        <v>0.16839438082442992</v>
      </c>
    </row>
    <row r="4068" spans="1:16" x14ac:dyDescent="0.25">
      <c r="A4068" s="3" t="s">
        <v>1531</v>
      </c>
      <c r="B4068" s="3" t="s">
        <v>333</v>
      </c>
      <c r="C4068" s="3">
        <v>25</v>
      </c>
      <c r="D4068" s="189">
        <v>4190136.7888099998</v>
      </c>
      <c r="E4068" s="3">
        <v>1</v>
      </c>
      <c r="F4068" s="189">
        <v>468891.3443</v>
      </c>
      <c r="G4068" s="3" t="s">
        <v>335</v>
      </c>
      <c r="H4068" s="79">
        <f t="shared" si="601"/>
        <v>0.1119035888165277</v>
      </c>
    </row>
    <row r="4069" spans="1:16" x14ac:dyDescent="0.25">
      <c r="A4069" s="3" t="s">
        <v>1532</v>
      </c>
      <c r="B4069" s="3" t="s">
        <v>333</v>
      </c>
      <c r="C4069" s="3">
        <v>25</v>
      </c>
      <c r="D4069" s="189">
        <v>3881346.1870129998</v>
      </c>
      <c r="E4069" s="3">
        <v>1</v>
      </c>
      <c r="F4069" s="189">
        <v>411293.82632699999</v>
      </c>
      <c r="G4069" s="3" t="s">
        <v>335</v>
      </c>
      <c r="H4069" s="79">
        <f t="shared" si="601"/>
        <v>0.10596679773198042</v>
      </c>
    </row>
    <row r="4070" spans="1:16" x14ac:dyDescent="0.25">
      <c r="A4070" s="3" t="s">
        <v>1533</v>
      </c>
      <c r="B4070" s="3" t="s">
        <v>333</v>
      </c>
      <c r="C4070" s="3">
        <v>25</v>
      </c>
      <c r="D4070" s="189">
        <v>5887537.8845769996</v>
      </c>
      <c r="E4070" s="3">
        <v>1</v>
      </c>
      <c r="F4070" s="189">
        <v>917475.65107499994</v>
      </c>
      <c r="G4070" s="3" t="s">
        <v>335</v>
      </c>
      <c r="H4070" s="79">
        <f t="shared" si="601"/>
        <v>0.15583350274117472</v>
      </c>
    </row>
    <row r="4072" spans="1:16" ht="20" thickBot="1" x14ac:dyDescent="0.3">
      <c r="A4072" s="3" t="s">
        <v>759</v>
      </c>
    </row>
    <row r="4073" spans="1:16" x14ac:dyDescent="0.25">
      <c r="A4073" s="3" t="s">
        <v>2</v>
      </c>
      <c r="B4073" s="3" t="s">
        <v>3</v>
      </c>
      <c r="C4073" s="3" t="s">
        <v>504</v>
      </c>
      <c r="D4073" s="189" t="s">
        <v>5</v>
      </c>
      <c r="E4073" s="3" t="s">
        <v>1247</v>
      </c>
      <c r="F4073" s="189" t="s">
        <v>505</v>
      </c>
      <c r="G4073" s="3" t="s">
        <v>506</v>
      </c>
      <c r="J4073" s="5" t="str">
        <f>A4072</f>
        <v>map1</v>
      </c>
      <c r="K4073" s="72" t="s">
        <v>340</v>
      </c>
      <c r="L4073" s="72" t="s">
        <v>341</v>
      </c>
      <c r="M4073" s="17" t="s">
        <v>162</v>
      </c>
      <c r="N4073" s="72" t="s">
        <v>342</v>
      </c>
      <c r="O4073" s="21" t="s">
        <v>162</v>
      </c>
      <c r="P4073" s="150" t="s">
        <v>1245</v>
      </c>
    </row>
    <row r="4074" spans="1:16" x14ac:dyDescent="0.25">
      <c r="A4074" s="3" t="s">
        <v>1546</v>
      </c>
      <c r="B4074" s="3" t="s">
        <v>333</v>
      </c>
      <c r="C4074" s="3">
        <v>25</v>
      </c>
      <c r="D4074" s="189">
        <v>2056.2235340000002</v>
      </c>
      <c r="E4074" s="3">
        <v>1</v>
      </c>
      <c r="F4074" s="189">
        <v>299.03729199999998</v>
      </c>
      <c r="G4074" s="3" t="s">
        <v>335</v>
      </c>
      <c r="H4074" s="79">
        <f t="shared" ref="H4074:H4088" si="605">F4074/D4074</f>
        <v>0.14543034210793152</v>
      </c>
      <c r="J4074" s="6">
        <v>100</v>
      </c>
      <c r="K4074" s="119">
        <f>D4074</f>
        <v>2056.2235340000002</v>
      </c>
      <c r="L4074" s="119">
        <f>D4075</f>
        <v>135.18148500000001</v>
      </c>
      <c r="M4074" s="18">
        <f>(K4074-L4074)/K4074</f>
        <v>0.93425739820367215</v>
      </c>
      <c r="N4074" s="73">
        <f>D4076</f>
        <v>691.44892100000004</v>
      </c>
      <c r="O4074" s="22">
        <f>(K4074-N4074)/K4074</f>
        <v>0.66372871938931899</v>
      </c>
      <c r="P4074" s="151">
        <f>(L4074-N4074)/L4074</f>
        <v>-4.1149676377648907</v>
      </c>
    </row>
    <row r="4075" spans="1:16" x14ac:dyDescent="0.25">
      <c r="A4075" s="3" t="s">
        <v>1547</v>
      </c>
      <c r="B4075" s="3" t="s">
        <v>333</v>
      </c>
      <c r="C4075" s="3">
        <v>25</v>
      </c>
      <c r="D4075" s="189">
        <v>135.18148500000001</v>
      </c>
      <c r="E4075" s="3">
        <v>1</v>
      </c>
      <c r="F4075" s="189">
        <v>4.0696380000000003</v>
      </c>
      <c r="G4075" s="3" t="s">
        <v>335</v>
      </c>
      <c r="H4075" s="79">
        <f t="shared" si="605"/>
        <v>3.0104995517692381E-2</v>
      </c>
      <c r="J4075" s="6">
        <v>1000</v>
      </c>
      <c r="K4075" s="119">
        <f>D4077</f>
        <v>23527.682583999998</v>
      </c>
      <c r="L4075" s="119">
        <f>D4078</f>
        <v>1355.6449700000001</v>
      </c>
      <c r="M4075" s="18">
        <f t="shared" ref="M4075:M4078" si="606">(K4075-L4075)/K4075</f>
        <v>0.94238085433361352</v>
      </c>
      <c r="N4075" s="73">
        <f>D4079</f>
        <v>7508.3968050000003</v>
      </c>
      <c r="O4075" s="22">
        <f t="shared" ref="O4075:O4078" si="607">(K4075-N4075)/K4075</f>
        <v>0.68086968284304861</v>
      </c>
      <c r="P4075" s="151">
        <f t="shared" ref="P4075:P4078" si="608">(L4075-N4075)/L4075</f>
        <v>-4.5386159143127269</v>
      </c>
    </row>
    <row r="4076" spans="1:16" x14ac:dyDescent="0.25">
      <c r="A4076" s="3" t="s">
        <v>1548</v>
      </c>
      <c r="B4076" s="3" t="s">
        <v>333</v>
      </c>
      <c r="C4076" s="3">
        <v>25</v>
      </c>
      <c r="D4076" s="189">
        <v>691.44892100000004</v>
      </c>
      <c r="E4076" s="3">
        <v>1</v>
      </c>
      <c r="F4076" s="189">
        <v>249.63473200000001</v>
      </c>
      <c r="G4076" s="3" t="s">
        <v>335</v>
      </c>
      <c r="H4076" s="79">
        <f t="shared" si="605"/>
        <v>0.36103134218355371</v>
      </c>
      <c r="J4076" s="6">
        <v>10000</v>
      </c>
      <c r="K4076" s="119">
        <f>D4080</f>
        <v>204940.284246</v>
      </c>
      <c r="L4076" s="119">
        <f>D4081</f>
        <v>9307.8397260000002</v>
      </c>
      <c r="M4076" s="18">
        <f t="shared" si="606"/>
        <v>0.95458267387378393</v>
      </c>
      <c r="N4076" s="73">
        <f>D4082</f>
        <v>72459.020810000002</v>
      </c>
      <c r="O4076" s="22">
        <f t="shared" si="607"/>
        <v>0.64643837068643928</v>
      </c>
      <c r="P4076" s="151">
        <f t="shared" si="608"/>
        <v>-6.7847301783245166</v>
      </c>
    </row>
    <row r="4077" spans="1:16" x14ac:dyDescent="0.25">
      <c r="A4077" s="3" t="s">
        <v>1549</v>
      </c>
      <c r="B4077" s="3" t="s">
        <v>333</v>
      </c>
      <c r="C4077" s="3">
        <v>25</v>
      </c>
      <c r="D4077" s="189">
        <v>23527.682583999998</v>
      </c>
      <c r="E4077" s="3">
        <v>1</v>
      </c>
      <c r="F4077" s="189">
        <v>6620.888164</v>
      </c>
      <c r="G4077" s="3" t="s">
        <v>335</v>
      </c>
      <c r="H4077" s="79">
        <f t="shared" si="605"/>
        <v>0.2814084277260071</v>
      </c>
      <c r="J4077" s="6">
        <v>50000</v>
      </c>
      <c r="K4077" s="119">
        <f>D4083</f>
        <v>1292752.118946</v>
      </c>
      <c r="L4077" s="119">
        <f>D4084</f>
        <v>52253.209684000001</v>
      </c>
      <c r="M4077" s="18">
        <f t="shared" si="606"/>
        <v>0.95957986924314409</v>
      </c>
      <c r="N4077" s="73">
        <f>D4085</f>
        <v>406210.184978</v>
      </c>
      <c r="O4077" s="22">
        <f t="shared" si="607"/>
        <v>0.68577875137486588</v>
      </c>
      <c r="P4077" s="151">
        <f t="shared" si="608"/>
        <v>-6.7738800627664038</v>
      </c>
    </row>
    <row r="4078" spans="1:16" x14ac:dyDescent="0.25">
      <c r="A4078" s="3" t="s">
        <v>1550</v>
      </c>
      <c r="B4078" s="3" t="s">
        <v>333</v>
      </c>
      <c r="C4078" s="3">
        <v>25</v>
      </c>
      <c r="D4078" s="189">
        <v>1355.6449700000001</v>
      </c>
      <c r="E4078" s="3">
        <v>1</v>
      </c>
      <c r="F4078" s="189">
        <v>446.42546399999998</v>
      </c>
      <c r="G4078" s="3" t="s">
        <v>335</v>
      </c>
      <c r="H4078" s="79">
        <f t="shared" si="605"/>
        <v>0.32930853865079435</v>
      </c>
      <c r="J4078" s="6">
        <v>100000</v>
      </c>
      <c r="K4078" s="119">
        <f>D4086</f>
        <v>2208918.1592959999</v>
      </c>
      <c r="L4078" s="119">
        <f>D4087</f>
        <v>111329.81269000001</v>
      </c>
      <c r="M4078" s="18">
        <f t="shared" si="606"/>
        <v>0.94959984722771185</v>
      </c>
      <c r="N4078" s="158">
        <f>D4088</f>
        <v>770512.84885199997</v>
      </c>
      <c r="O4078" s="22">
        <f t="shared" si="607"/>
        <v>0.65118089793894007</v>
      </c>
      <c r="P4078" s="151">
        <f t="shared" si="608"/>
        <v>-5.9209929508954415</v>
      </c>
    </row>
    <row r="4079" spans="1:16" x14ac:dyDescent="0.25">
      <c r="A4079" s="3" t="s">
        <v>1551</v>
      </c>
      <c r="B4079" s="3" t="s">
        <v>333</v>
      </c>
      <c r="C4079" s="3">
        <v>25</v>
      </c>
      <c r="D4079" s="189">
        <v>7508.3968050000003</v>
      </c>
      <c r="E4079" s="3">
        <v>1</v>
      </c>
      <c r="F4079" s="189">
        <v>1489.371852</v>
      </c>
      <c r="G4079" s="3" t="s">
        <v>335</v>
      </c>
      <c r="H4079" s="79">
        <f t="shared" si="605"/>
        <v>0.19836083396767146</v>
      </c>
    </row>
    <row r="4080" spans="1:16" x14ac:dyDescent="0.25">
      <c r="A4080" s="3" t="s">
        <v>1552</v>
      </c>
      <c r="B4080" s="3" t="s">
        <v>333</v>
      </c>
      <c r="C4080" s="3">
        <v>25</v>
      </c>
      <c r="D4080" s="189">
        <v>204940.284246</v>
      </c>
      <c r="E4080" s="3">
        <v>1</v>
      </c>
      <c r="F4080" s="189">
        <v>59116.177379000001</v>
      </c>
      <c r="G4080" s="3" t="s">
        <v>335</v>
      </c>
      <c r="H4080" s="79">
        <f t="shared" si="605"/>
        <v>0.28845562304402739</v>
      </c>
    </row>
    <row r="4081" spans="1:16" x14ac:dyDescent="0.25">
      <c r="A4081" s="3" t="s">
        <v>1553</v>
      </c>
      <c r="B4081" s="3" t="s">
        <v>333</v>
      </c>
      <c r="C4081" s="3">
        <v>25</v>
      </c>
      <c r="D4081" s="189">
        <v>9307.8397260000002</v>
      </c>
      <c r="E4081" s="3">
        <v>1</v>
      </c>
      <c r="F4081" s="189">
        <v>236.568905</v>
      </c>
      <c r="G4081" s="3" t="s">
        <v>335</v>
      </c>
      <c r="H4081" s="79">
        <f t="shared" si="605"/>
        <v>2.5416091377162588E-2</v>
      </c>
    </row>
    <row r="4082" spans="1:16" x14ac:dyDescent="0.25">
      <c r="A4082" s="3" t="s">
        <v>1554</v>
      </c>
      <c r="B4082" s="3" t="s">
        <v>333</v>
      </c>
      <c r="C4082" s="3">
        <v>25</v>
      </c>
      <c r="D4082" s="189">
        <v>72459.020810000002</v>
      </c>
      <c r="E4082" s="3">
        <v>1</v>
      </c>
      <c r="F4082" s="189">
        <v>15386.714669000001</v>
      </c>
      <c r="G4082" s="3" t="s">
        <v>335</v>
      </c>
      <c r="H4082" s="79">
        <f t="shared" si="605"/>
        <v>0.21235057411756378</v>
      </c>
    </row>
    <row r="4083" spans="1:16" x14ac:dyDescent="0.25">
      <c r="A4083" s="3" t="s">
        <v>1555</v>
      </c>
      <c r="B4083" s="3" t="s">
        <v>333</v>
      </c>
      <c r="C4083" s="3">
        <v>25</v>
      </c>
      <c r="D4083" s="189">
        <v>1292752.118946</v>
      </c>
      <c r="E4083" s="3">
        <v>1</v>
      </c>
      <c r="F4083" s="189">
        <v>413885.108534</v>
      </c>
      <c r="G4083" s="3" t="s">
        <v>335</v>
      </c>
      <c r="H4083" s="79">
        <f t="shared" si="605"/>
        <v>0.32015813586246267</v>
      </c>
    </row>
    <row r="4084" spans="1:16" x14ac:dyDescent="0.25">
      <c r="A4084" s="3" t="s">
        <v>1556</v>
      </c>
      <c r="B4084" s="3" t="s">
        <v>333</v>
      </c>
      <c r="C4084" s="3">
        <v>25</v>
      </c>
      <c r="D4084" s="189">
        <v>52253.209684000001</v>
      </c>
      <c r="E4084" s="3">
        <v>1</v>
      </c>
      <c r="F4084" s="189">
        <v>2091.206541</v>
      </c>
      <c r="G4084" s="3" t="s">
        <v>335</v>
      </c>
      <c r="H4084" s="79">
        <f t="shared" si="605"/>
        <v>4.0020633251938401E-2</v>
      </c>
    </row>
    <row r="4085" spans="1:16" x14ac:dyDescent="0.25">
      <c r="A4085" s="3" t="s">
        <v>1557</v>
      </c>
      <c r="B4085" s="3" t="s">
        <v>333</v>
      </c>
      <c r="C4085" s="3">
        <v>25</v>
      </c>
      <c r="D4085" s="189">
        <v>406210.184978</v>
      </c>
      <c r="E4085" s="3">
        <v>1</v>
      </c>
      <c r="F4085" s="189">
        <v>88721.322834999999</v>
      </c>
      <c r="G4085" s="3" t="s">
        <v>335</v>
      </c>
      <c r="H4085" s="79">
        <f t="shared" si="605"/>
        <v>0.21841235428354674</v>
      </c>
    </row>
    <row r="4086" spans="1:16" x14ac:dyDescent="0.25">
      <c r="A4086" s="3" t="s">
        <v>1558</v>
      </c>
      <c r="B4086" s="3" t="s">
        <v>333</v>
      </c>
      <c r="C4086" s="3">
        <v>25</v>
      </c>
      <c r="D4086" s="189">
        <v>2208918.1592959999</v>
      </c>
      <c r="E4086" s="3">
        <v>1</v>
      </c>
      <c r="F4086" s="189">
        <v>577120.27268499997</v>
      </c>
      <c r="G4086" s="3" t="s">
        <v>335</v>
      </c>
      <c r="H4086" s="79">
        <f t="shared" si="605"/>
        <v>0.26126829111175981</v>
      </c>
    </row>
    <row r="4087" spans="1:16" x14ac:dyDescent="0.25">
      <c r="A4087" s="3" t="s">
        <v>1559</v>
      </c>
      <c r="B4087" s="3" t="s">
        <v>333</v>
      </c>
      <c r="C4087" s="3">
        <v>25</v>
      </c>
      <c r="D4087" s="189">
        <v>111329.81269000001</v>
      </c>
      <c r="E4087" s="3">
        <v>1</v>
      </c>
      <c r="F4087" s="189">
        <v>5396.8710730000003</v>
      </c>
      <c r="G4087" s="3" t="s">
        <v>335</v>
      </c>
      <c r="H4087" s="79">
        <f t="shared" si="605"/>
        <v>4.847642282510338E-2</v>
      </c>
    </row>
    <row r="4088" spans="1:16" x14ac:dyDescent="0.25">
      <c r="A4088" s="3" t="s">
        <v>1560</v>
      </c>
      <c r="B4088" s="3" t="s">
        <v>333</v>
      </c>
      <c r="C4088" s="3">
        <v>25</v>
      </c>
      <c r="D4088" s="189">
        <v>770512.84885199997</v>
      </c>
      <c r="E4088" s="3">
        <v>1</v>
      </c>
      <c r="F4088" s="189">
        <v>153989.496507</v>
      </c>
      <c r="G4088" s="3" t="s">
        <v>335</v>
      </c>
      <c r="H4088" s="79">
        <f t="shared" si="605"/>
        <v>0.19985324934740742</v>
      </c>
    </row>
    <row r="4090" spans="1:16" ht="20" thickBot="1" x14ac:dyDescent="0.3">
      <c r="A4090" s="3" t="s">
        <v>165</v>
      </c>
    </row>
    <row r="4091" spans="1:16" x14ac:dyDescent="0.25">
      <c r="A4091" s="3" t="s">
        <v>2</v>
      </c>
      <c r="B4091" s="3" t="s">
        <v>3</v>
      </c>
      <c r="C4091" s="3" t="s">
        <v>504</v>
      </c>
      <c r="D4091" s="189" t="s">
        <v>5</v>
      </c>
      <c r="E4091" s="3" t="s">
        <v>1247</v>
      </c>
      <c r="F4091" s="189" t="s">
        <v>505</v>
      </c>
      <c r="G4091" s="3" t="s">
        <v>506</v>
      </c>
      <c r="J4091" s="5" t="str">
        <f>A4090</f>
        <v>map2</v>
      </c>
      <c r="K4091" s="72" t="s">
        <v>340</v>
      </c>
      <c r="L4091" s="72" t="s">
        <v>341</v>
      </c>
      <c r="M4091" s="17" t="s">
        <v>162</v>
      </c>
      <c r="N4091" s="72" t="s">
        <v>342</v>
      </c>
      <c r="O4091" s="21" t="s">
        <v>162</v>
      </c>
      <c r="P4091" s="150" t="s">
        <v>1245</v>
      </c>
    </row>
    <row r="4092" spans="1:16" x14ac:dyDescent="0.25">
      <c r="A4092" s="3" t="s">
        <v>1561</v>
      </c>
      <c r="B4092" s="3" t="s">
        <v>333</v>
      </c>
      <c r="C4092" s="3">
        <v>25</v>
      </c>
      <c r="D4092" s="189">
        <v>1420.725694</v>
      </c>
      <c r="E4092" s="3">
        <v>1</v>
      </c>
      <c r="F4092" s="189">
        <v>145.78244599999999</v>
      </c>
      <c r="G4092" s="3" t="s">
        <v>335</v>
      </c>
      <c r="H4092" s="79">
        <f t="shared" ref="H4092:H4106" si="609">F4092/D4092</f>
        <v>0.10261125466771491</v>
      </c>
      <c r="J4092" s="6">
        <v>100</v>
      </c>
      <c r="K4092" s="119">
        <f>D4092</f>
        <v>1420.725694</v>
      </c>
      <c r="L4092" s="119">
        <f>D4093</f>
        <v>781.506215</v>
      </c>
      <c r="M4092" s="18">
        <f>(K4092-L4092)/K4092</f>
        <v>0.44992462774450254</v>
      </c>
      <c r="N4092" s="73">
        <f>D4094</f>
        <v>17809.326005999999</v>
      </c>
      <c r="O4092" s="22">
        <f>(K4092-N4092)/K4092</f>
        <v>-11.535372648789442</v>
      </c>
      <c r="P4092" s="151">
        <f>(L4092-N4092)/L4092</f>
        <v>-21.788463692512028</v>
      </c>
    </row>
    <row r="4093" spans="1:16" x14ac:dyDescent="0.25">
      <c r="A4093" s="3" t="s">
        <v>1562</v>
      </c>
      <c r="B4093" s="3" t="s">
        <v>333</v>
      </c>
      <c r="C4093" s="3">
        <v>25</v>
      </c>
      <c r="D4093" s="189">
        <v>781.506215</v>
      </c>
      <c r="E4093" s="3">
        <v>1</v>
      </c>
      <c r="F4093" s="189">
        <v>83.915372000000005</v>
      </c>
      <c r="G4093" s="3" t="s">
        <v>335</v>
      </c>
      <c r="H4093" s="79">
        <f t="shared" si="609"/>
        <v>0.10737646149109641</v>
      </c>
      <c r="J4093" s="6">
        <v>1000</v>
      </c>
      <c r="K4093" s="119">
        <f>D4095</f>
        <v>19184.152518999999</v>
      </c>
      <c r="L4093" s="119">
        <f>D4096</f>
        <v>9875.4262269999999</v>
      </c>
      <c r="M4093" s="18">
        <f t="shared" ref="M4093:M4096" si="610">(K4093-L4093)/K4093</f>
        <v>0.4852299981862962</v>
      </c>
      <c r="N4093" s="73">
        <f>D4097</f>
        <v>14199.400670000001</v>
      </c>
      <c r="O4093" s="22">
        <f t="shared" ref="O4093:O4096" si="611">(K4093-N4093)/K4093</f>
        <v>0.25983695886816455</v>
      </c>
      <c r="P4093" s="151">
        <f t="shared" ref="P4093:P4096" si="612">(L4093-N4093)/L4093</f>
        <v>-0.43785193100607639</v>
      </c>
    </row>
    <row r="4094" spans="1:16" x14ac:dyDescent="0.25">
      <c r="A4094" s="3" t="s">
        <v>1563</v>
      </c>
      <c r="B4094" s="3" t="s">
        <v>333</v>
      </c>
      <c r="C4094" s="3">
        <v>25</v>
      </c>
      <c r="D4094" s="189">
        <v>17809.326005999999</v>
      </c>
      <c r="E4094" s="3">
        <v>1</v>
      </c>
      <c r="F4094" s="189">
        <v>13919.895338</v>
      </c>
      <c r="G4094" s="3" t="s">
        <v>335</v>
      </c>
      <c r="H4094" s="79">
        <f t="shared" si="609"/>
        <v>0.78160708234047482</v>
      </c>
      <c r="J4094" s="6">
        <v>10000</v>
      </c>
      <c r="K4094" s="119">
        <f>D4098</f>
        <v>194575.977464</v>
      </c>
      <c r="L4094" s="119">
        <f>D4099</f>
        <v>86899.573843999999</v>
      </c>
      <c r="M4094" s="18">
        <f t="shared" si="610"/>
        <v>0.55339001773701502</v>
      </c>
      <c r="N4094" s="73">
        <f>D4100</f>
        <v>145293.98231399999</v>
      </c>
      <c r="O4094" s="22">
        <f t="shared" si="611"/>
        <v>0.25327892883959968</v>
      </c>
      <c r="P4094" s="151">
        <f t="shared" si="612"/>
        <v>-0.67197577487351334</v>
      </c>
    </row>
    <row r="4095" spans="1:16" x14ac:dyDescent="0.25">
      <c r="A4095" s="3" t="s">
        <v>1564</v>
      </c>
      <c r="B4095" s="3" t="s">
        <v>333</v>
      </c>
      <c r="C4095" s="3">
        <v>25</v>
      </c>
      <c r="D4095" s="189">
        <v>19184.152518999999</v>
      </c>
      <c r="E4095" s="3">
        <v>1</v>
      </c>
      <c r="F4095" s="189">
        <v>6466.7082090000004</v>
      </c>
      <c r="G4095" s="3" t="s">
        <v>335</v>
      </c>
      <c r="H4095" s="79">
        <f t="shared" si="609"/>
        <v>0.33708594646520701</v>
      </c>
      <c r="J4095" s="6">
        <v>50000</v>
      </c>
      <c r="K4095" s="119">
        <f>D4101</f>
        <v>1017409.562093</v>
      </c>
      <c r="L4095" s="119">
        <f>D4102</f>
        <v>409992.71361999999</v>
      </c>
      <c r="M4095" s="18">
        <f t="shared" si="610"/>
        <v>0.59702294051908755</v>
      </c>
      <c r="N4095" s="73">
        <f>D4103</f>
        <v>753261.750504</v>
      </c>
      <c r="O4095" s="22">
        <f t="shared" si="611"/>
        <v>0.25962780519341594</v>
      </c>
      <c r="P4095" s="151">
        <f t="shared" si="612"/>
        <v>-0.83725643281104123</v>
      </c>
    </row>
    <row r="4096" spans="1:16" x14ac:dyDescent="0.25">
      <c r="A4096" s="3" t="s">
        <v>1565</v>
      </c>
      <c r="B4096" s="3" t="s">
        <v>333</v>
      </c>
      <c r="C4096" s="3">
        <v>25</v>
      </c>
      <c r="D4096" s="189">
        <v>9875.4262269999999</v>
      </c>
      <c r="E4096" s="3">
        <v>1</v>
      </c>
      <c r="F4096" s="189">
        <v>1712.654115</v>
      </c>
      <c r="G4096" s="3" t="s">
        <v>335</v>
      </c>
      <c r="H4096" s="79">
        <f t="shared" si="609"/>
        <v>0.17342584265553038</v>
      </c>
      <c r="J4096" s="6">
        <v>100000</v>
      </c>
      <c r="K4096" s="119">
        <f>D4104</f>
        <v>1965082.302104</v>
      </c>
      <c r="L4096" s="119">
        <f>D4105</f>
        <v>924302.46957900003</v>
      </c>
      <c r="M4096" s="18">
        <f t="shared" si="610"/>
        <v>0.52963676453176756</v>
      </c>
      <c r="N4096" s="158">
        <f>D4106</f>
        <v>1428148.3140680001</v>
      </c>
      <c r="O4096" s="22">
        <f t="shared" si="611"/>
        <v>0.2732374045917102</v>
      </c>
      <c r="P4096" s="151">
        <f t="shared" si="612"/>
        <v>-0.545109270040673</v>
      </c>
    </row>
    <row r="4097" spans="1:16" x14ac:dyDescent="0.25">
      <c r="A4097" s="3" t="s">
        <v>1566</v>
      </c>
      <c r="B4097" s="3" t="s">
        <v>333</v>
      </c>
      <c r="C4097" s="3">
        <v>25</v>
      </c>
      <c r="D4097" s="189">
        <v>14199.400670000001</v>
      </c>
      <c r="E4097" s="3">
        <v>1</v>
      </c>
      <c r="F4097" s="189">
        <v>4314.0206360000002</v>
      </c>
      <c r="G4097" s="3" t="s">
        <v>335</v>
      </c>
      <c r="H4097" s="79">
        <f t="shared" si="609"/>
        <v>0.30381709314777722</v>
      </c>
    </row>
    <row r="4098" spans="1:16" x14ac:dyDescent="0.25">
      <c r="A4098" s="3" t="s">
        <v>1567</v>
      </c>
      <c r="B4098" s="3" t="s">
        <v>333</v>
      </c>
      <c r="C4098" s="3">
        <v>25</v>
      </c>
      <c r="D4098" s="189">
        <v>194575.977464</v>
      </c>
      <c r="E4098" s="3">
        <v>1</v>
      </c>
      <c r="F4098" s="189">
        <v>47918.520074</v>
      </c>
      <c r="G4098" s="3" t="s">
        <v>335</v>
      </c>
      <c r="H4098" s="79">
        <f t="shared" si="609"/>
        <v>0.24627151151208157</v>
      </c>
    </row>
    <row r="4099" spans="1:16" x14ac:dyDescent="0.25">
      <c r="A4099" s="3" t="s">
        <v>1568</v>
      </c>
      <c r="B4099" s="3" t="s">
        <v>333</v>
      </c>
      <c r="C4099" s="3">
        <v>25</v>
      </c>
      <c r="D4099" s="189">
        <v>86899.573843999999</v>
      </c>
      <c r="E4099" s="3">
        <v>1</v>
      </c>
      <c r="F4099" s="189">
        <v>18805.732196000001</v>
      </c>
      <c r="G4099" s="3" t="s">
        <v>335</v>
      </c>
      <c r="H4099" s="79">
        <f t="shared" si="609"/>
        <v>0.21640764579305755</v>
      </c>
    </row>
    <row r="4100" spans="1:16" x14ac:dyDescent="0.25">
      <c r="A4100" s="3" t="s">
        <v>1569</v>
      </c>
      <c r="B4100" s="3" t="s">
        <v>333</v>
      </c>
      <c r="C4100" s="3">
        <v>25</v>
      </c>
      <c r="D4100" s="189">
        <v>145293.98231399999</v>
      </c>
      <c r="E4100" s="3">
        <v>1</v>
      </c>
      <c r="F4100" s="189">
        <v>50563.262437999998</v>
      </c>
      <c r="G4100" s="3" t="s">
        <v>335</v>
      </c>
      <c r="H4100" s="79">
        <f t="shared" si="609"/>
        <v>0.34800658384272193</v>
      </c>
    </row>
    <row r="4101" spans="1:16" x14ac:dyDescent="0.25">
      <c r="A4101" s="3" t="s">
        <v>1570</v>
      </c>
      <c r="B4101" s="3" t="s">
        <v>333</v>
      </c>
      <c r="C4101" s="3">
        <v>25</v>
      </c>
      <c r="D4101" s="189">
        <v>1017409.562093</v>
      </c>
      <c r="E4101" s="3">
        <v>1</v>
      </c>
      <c r="F4101" s="189">
        <v>171233.38060100001</v>
      </c>
      <c r="G4101" s="3" t="s">
        <v>335</v>
      </c>
      <c r="H4101" s="79">
        <f t="shared" si="609"/>
        <v>0.16830329395444368</v>
      </c>
    </row>
    <row r="4102" spans="1:16" x14ac:dyDescent="0.25">
      <c r="A4102" s="3" t="s">
        <v>1571</v>
      </c>
      <c r="B4102" s="3" t="s">
        <v>333</v>
      </c>
      <c r="C4102" s="3">
        <v>25</v>
      </c>
      <c r="D4102" s="189">
        <v>409992.71361999999</v>
      </c>
      <c r="E4102" s="3">
        <v>1</v>
      </c>
      <c r="F4102" s="189">
        <v>58764.601361000001</v>
      </c>
      <c r="G4102" s="3" t="s">
        <v>335</v>
      </c>
      <c r="H4102" s="79">
        <f t="shared" si="609"/>
        <v>0.14333084322924267</v>
      </c>
    </row>
    <row r="4103" spans="1:16" x14ac:dyDescent="0.25">
      <c r="A4103" s="3" t="s">
        <v>1572</v>
      </c>
      <c r="B4103" s="3" t="s">
        <v>333</v>
      </c>
      <c r="C4103" s="3">
        <v>25</v>
      </c>
      <c r="D4103" s="189">
        <v>753261.750504</v>
      </c>
      <c r="E4103" s="3">
        <v>1</v>
      </c>
      <c r="F4103" s="189">
        <v>178766.84751600001</v>
      </c>
      <c r="G4103" s="3" t="s">
        <v>335</v>
      </c>
      <c r="H4103" s="79">
        <f t="shared" si="609"/>
        <v>0.23732367586219383</v>
      </c>
    </row>
    <row r="4104" spans="1:16" x14ac:dyDescent="0.25">
      <c r="A4104" s="3" t="s">
        <v>1573</v>
      </c>
      <c r="B4104" s="3" t="s">
        <v>333</v>
      </c>
      <c r="C4104" s="3">
        <v>25</v>
      </c>
      <c r="D4104" s="189">
        <v>1965082.302104</v>
      </c>
      <c r="E4104" s="3">
        <v>1</v>
      </c>
      <c r="F4104" s="189">
        <v>470128.04767499998</v>
      </c>
      <c r="G4104" s="3" t="s">
        <v>335</v>
      </c>
      <c r="H4104" s="79">
        <f t="shared" si="609"/>
        <v>0.23924089447634694</v>
      </c>
    </row>
    <row r="4105" spans="1:16" x14ac:dyDescent="0.25">
      <c r="A4105" s="3" t="s">
        <v>1574</v>
      </c>
      <c r="B4105" s="3" t="s">
        <v>333</v>
      </c>
      <c r="C4105" s="3">
        <v>25</v>
      </c>
      <c r="D4105" s="189">
        <v>924302.46957900003</v>
      </c>
      <c r="E4105" s="3">
        <v>1</v>
      </c>
      <c r="F4105" s="189">
        <v>147191.01989200001</v>
      </c>
      <c r="G4105" s="3" t="s">
        <v>335</v>
      </c>
      <c r="H4105" s="79">
        <f t="shared" si="609"/>
        <v>0.15924551187128427</v>
      </c>
    </row>
    <row r="4106" spans="1:16" x14ac:dyDescent="0.25">
      <c r="A4106" s="3" t="s">
        <v>1575</v>
      </c>
      <c r="B4106" s="3" t="s">
        <v>333</v>
      </c>
      <c r="C4106" s="3">
        <v>25</v>
      </c>
      <c r="D4106" s="189">
        <v>1428148.3140680001</v>
      </c>
      <c r="E4106" s="3">
        <v>1</v>
      </c>
      <c r="F4106" s="189">
        <v>354287.99990400003</v>
      </c>
      <c r="G4106" s="3" t="s">
        <v>335</v>
      </c>
      <c r="H4106" s="79">
        <f t="shared" si="609"/>
        <v>0.24807507484627461</v>
      </c>
    </row>
    <row r="4108" spans="1:16" ht="20" thickBot="1" x14ac:dyDescent="0.3">
      <c r="A4108" s="3" t="s">
        <v>164</v>
      </c>
    </row>
    <row r="4109" spans="1:16" x14ac:dyDescent="0.25">
      <c r="A4109" s="3" t="s">
        <v>2</v>
      </c>
      <c r="B4109" s="3" t="s">
        <v>3</v>
      </c>
      <c r="C4109" s="3" t="s">
        <v>504</v>
      </c>
      <c r="D4109" s="189" t="s">
        <v>5</v>
      </c>
      <c r="E4109" s="3" t="s">
        <v>1247</v>
      </c>
      <c r="F4109" s="189" t="s">
        <v>505</v>
      </c>
      <c r="G4109" s="3" t="s">
        <v>506</v>
      </c>
      <c r="J4109" s="5" t="str">
        <f>A4108</f>
        <v>map3</v>
      </c>
      <c r="K4109" s="72" t="s">
        <v>340</v>
      </c>
      <c r="L4109" s="72" t="s">
        <v>341</v>
      </c>
      <c r="M4109" s="17" t="s">
        <v>162</v>
      </c>
      <c r="N4109" s="72" t="s">
        <v>342</v>
      </c>
      <c r="O4109" s="21" t="s">
        <v>162</v>
      </c>
      <c r="P4109" s="150" t="s">
        <v>1245</v>
      </c>
    </row>
    <row r="4110" spans="1:16" x14ac:dyDescent="0.25">
      <c r="A4110" s="3" t="s">
        <v>1576</v>
      </c>
      <c r="B4110" s="3" t="s">
        <v>333</v>
      </c>
      <c r="C4110" s="3">
        <v>25</v>
      </c>
      <c r="D4110" s="189">
        <v>2230.5954510000001</v>
      </c>
      <c r="E4110" s="3">
        <v>1</v>
      </c>
      <c r="F4110" s="189">
        <v>275.86014599999999</v>
      </c>
      <c r="G4110" s="3" t="s">
        <v>335</v>
      </c>
      <c r="H4110" s="79">
        <f t="shared" ref="H4110:H4124" si="613">F4110/D4110</f>
        <v>0.12367107889345372</v>
      </c>
      <c r="J4110" s="6">
        <v>100</v>
      </c>
      <c r="K4110" s="119">
        <f>D4110</f>
        <v>2230.5954510000001</v>
      </c>
      <c r="L4110" s="119">
        <f>D4111</f>
        <v>4704.6696140000004</v>
      </c>
      <c r="M4110" s="18">
        <f>(K4110-L4110)/K4110</f>
        <v>-1.1091541327634493</v>
      </c>
      <c r="N4110" s="73">
        <f>D4112</f>
        <v>20802.733465000001</v>
      </c>
      <c r="O4110" s="22">
        <f>(K4110-N4110)/K4110</f>
        <v>-8.3260897917073713</v>
      </c>
      <c r="P4110" s="151">
        <f>(L4110-N4110)/L4110</f>
        <v>-3.421720369714361</v>
      </c>
    </row>
    <row r="4111" spans="1:16" x14ac:dyDescent="0.25">
      <c r="A4111" s="3" t="s">
        <v>1577</v>
      </c>
      <c r="B4111" s="3" t="s">
        <v>333</v>
      </c>
      <c r="C4111" s="3">
        <v>25</v>
      </c>
      <c r="D4111" s="189">
        <v>4704.6696140000004</v>
      </c>
      <c r="E4111" s="3">
        <v>1</v>
      </c>
      <c r="F4111" s="189">
        <v>1793.476936</v>
      </c>
      <c r="G4111" s="3" t="s">
        <v>335</v>
      </c>
      <c r="H4111" s="79">
        <f t="shared" si="613"/>
        <v>0.38121208993359079</v>
      </c>
      <c r="J4111" s="6">
        <v>1000</v>
      </c>
      <c r="K4111" s="119">
        <f>D4113</f>
        <v>23749.982788000001</v>
      </c>
      <c r="L4111" s="119">
        <f>D4114</f>
        <v>29777.596382</v>
      </c>
      <c r="M4111" s="18">
        <f t="shared" ref="M4111:M4114" si="614">(K4111-L4111)/K4111</f>
        <v>-0.25379444051831196</v>
      </c>
      <c r="N4111" s="73">
        <f>D4115</f>
        <v>35872.192382000001</v>
      </c>
      <c r="O4111" s="22">
        <f t="shared" ref="O4111:O4114" si="615">(K4111-N4111)/K4111</f>
        <v>-0.51040919491212888</v>
      </c>
      <c r="P4111" s="151">
        <f t="shared" ref="P4111:P4114" si="616">(L4111-N4111)/L4111</f>
        <v>-0.20467051543770909</v>
      </c>
    </row>
    <row r="4112" spans="1:16" x14ac:dyDescent="0.25">
      <c r="A4112" s="3" t="s">
        <v>1578</v>
      </c>
      <c r="B4112" s="3" t="s">
        <v>333</v>
      </c>
      <c r="C4112" s="3">
        <v>25</v>
      </c>
      <c r="D4112" s="189">
        <v>20802.733465000001</v>
      </c>
      <c r="E4112" s="3">
        <v>1</v>
      </c>
      <c r="F4112" s="189">
        <v>14594.495339999999</v>
      </c>
      <c r="G4112" s="3" t="s">
        <v>335</v>
      </c>
      <c r="H4112" s="79">
        <f t="shared" si="613"/>
        <v>0.70156623236820381</v>
      </c>
      <c r="J4112" s="6">
        <v>10000</v>
      </c>
      <c r="K4112" s="119">
        <f>D4116</f>
        <v>263815.61202399997</v>
      </c>
      <c r="L4112" s="119">
        <f>D4117</f>
        <v>363378.42057399999</v>
      </c>
      <c r="M4112" s="18">
        <f t="shared" si="614"/>
        <v>-0.37739543837512746</v>
      </c>
      <c r="N4112" s="73">
        <f>D4118</f>
        <v>312143.62601900002</v>
      </c>
      <c r="O4112" s="22">
        <f t="shared" si="615"/>
        <v>-0.18318860519370447</v>
      </c>
      <c r="P4112" s="151">
        <f t="shared" si="616"/>
        <v>0.14099569939807774</v>
      </c>
    </row>
    <row r="4113" spans="1:16" x14ac:dyDescent="0.25">
      <c r="A4113" s="3" t="s">
        <v>1579</v>
      </c>
      <c r="B4113" s="3" t="s">
        <v>333</v>
      </c>
      <c r="C4113" s="3">
        <v>25</v>
      </c>
      <c r="D4113" s="189">
        <v>23749.982788000001</v>
      </c>
      <c r="E4113" s="3">
        <v>1</v>
      </c>
      <c r="F4113" s="189">
        <v>4565.0701769999996</v>
      </c>
      <c r="G4113" s="3" t="s">
        <v>335</v>
      </c>
      <c r="H4113" s="79">
        <f t="shared" si="613"/>
        <v>0.19221362043708776</v>
      </c>
      <c r="J4113" s="6">
        <v>50000</v>
      </c>
      <c r="K4113" s="119">
        <f>D4119</f>
        <v>1551217.110867</v>
      </c>
      <c r="L4113" s="119">
        <f>D4120</f>
        <v>1602148.8530540001</v>
      </c>
      <c r="M4113" s="18">
        <f t="shared" si="614"/>
        <v>-3.2833406639341124E-2</v>
      </c>
      <c r="N4113" s="73">
        <f>D4121</f>
        <v>1603893.8972459999</v>
      </c>
      <c r="O4113" s="22">
        <f t="shared" si="615"/>
        <v>-3.3958358252996604E-2</v>
      </c>
      <c r="P4113" s="151">
        <f t="shared" si="616"/>
        <v>-1.0891898019796606E-3</v>
      </c>
    </row>
    <row r="4114" spans="1:16" x14ac:dyDescent="0.25">
      <c r="A4114" s="3" t="s">
        <v>1580</v>
      </c>
      <c r="B4114" s="3" t="s">
        <v>333</v>
      </c>
      <c r="C4114" s="3">
        <v>25</v>
      </c>
      <c r="D4114" s="189">
        <v>29777.596382</v>
      </c>
      <c r="E4114" s="3">
        <v>1</v>
      </c>
      <c r="F4114" s="189">
        <v>3721.539217</v>
      </c>
      <c r="G4114" s="3" t="s">
        <v>335</v>
      </c>
      <c r="H4114" s="79">
        <f t="shared" si="613"/>
        <v>0.12497782457853451</v>
      </c>
      <c r="J4114" s="6">
        <v>100000</v>
      </c>
      <c r="K4114" s="119">
        <f>D4122</f>
        <v>3067542.0498560001</v>
      </c>
      <c r="L4114" s="119">
        <f>D4123</f>
        <v>3166071.5835859999</v>
      </c>
      <c r="M4114" s="18">
        <f t="shared" si="614"/>
        <v>-3.2120027086385033E-2</v>
      </c>
      <c r="N4114" s="158">
        <f>D4124</f>
        <v>3817540.0101700001</v>
      </c>
      <c r="O4114" s="22">
        <f t="shared" si="615"/>
        <v>-0.24449476099250447</v>
      </c>
      <c r="P4114" s="151">
        <f t="shared" si="616"/>
        <v>-0.2057655392131485</v>
      </c>
    </row>
    <row r="4115" spans="1:16" x14ac:dyDescent="0.25">
      <c r="A4115" s="3" t="s">
        <v>1581</v>
      </c>
      <c r="B4115" s="3" t="s">
        <v>333</v>
      </c>
      <c r="C4115" s="3">
        <v>25</v>
      </c>
      <c r="D4115" s="189">
        <v>35872.192382000001</v>
      </c>
      <c r="E4115" s="3">
        <v>1</v>
      </c>
      <c r="F4115" s="189">
        <v>5386.6743189999997</v>
      </c>
      <c r="G4115" s="3" t="s">
        <v>335</v>
      </c>
      <c r="H4115" s="79">
        <f t="shared" si="613"/>
        <v>0.15016295245179753</v>
      </c>
    </row>
    <row r="4116" spans="1:16" x14ac:dyDescent="0.25">
      <c r="A4116" s="3" t="s">
        <v>1582</v>
      </c>
      <c r="B4116" s="3" t="s">
        <v>333</v>
      </c>
      <c r="C4116" s="3">
        <v>25</v>
      </c>
      <c r="D4116" s="189">
        <v>263815.61202399997</v>
      </c>
      <c r="E4116" s="3">
        <v>1</v>
      </c>
      <c r="F4116" s="189">
        <v>67153.083008000001</v>
      </c>
      <c r="G4116" s="3" t="s">
        <v>335</v>
      </c>
      <c r="H4116" s="79">
        <f t="shared" si="613"/>
        <v>0.25454552326452506</v>
      </c>
    </row>
    <row r="4117" spans="1:16" x14ac:dyDescent="0.25">
      <c r="A4117" s="3" t="s">
        <v>1583</v>
      </c>
      <c r="B4117" s="3" t="s">
        <v>333</v>
      </c>
      <c r="C4117" s="3">
        <v>25</v>
      </c>
      <c r="D4117" s="189">
        <v>363378.42057399999</v>
      </c>
      <c r="E4117" s="3">
        <v>1</v>
      </c>
      <c r="F4117" s="189">
        <v>109324.95403199999</v>
      </c>
      <c r="G4117" s="3" t="s">
        <v>335</v>
      </c>
      <c r="H4117" s="79">
        <f t="shared" si="613"/>
        <v>0.30085703454626739</v>
      </c>
    </row>
    <row r="4118" spans="1:16" x14ac:dyDescent="0.25">
      <c r="A4118" s="3" t="s">
        <v>1584</v>
      </c>
      <c r="B4118" s="3" t="s">
        <v>333</v>
      </c>
      <c r="C4118" s="3">
        <v>25</v>
      </c>
      <c r="D4118" s="189">
        <v>312143.62601900002</v>
      </c>
      <c r="E4118" s="3">
        <v>1</v>
      </c>
      <c r="F4118" s="189">
        <v>69919.387241999997</v>
      </c>
      <c r="G4118" s="3" t="s">
        <v>335</v>
      </c>
      <c r="H4118" s="79">
        <f t="shared" si="613"/>
        <v>0.22399748517608378</v>
      </c>
    </row>
    <row r="4119" spans="1:16" x14ac:dyDescent="0.25">
      <c r="A4119" s="3" t="s">
        <v>1585</v>
      </c>
      <c r="B4119" s="3" t="s">
        <v>333</v>
      </c>
      <c r="C4119" s="3">
        <v>25</v>
      </c>
      <c r="D4119" s="189">
        <v>1551217.110867</v>
      </c>
      <c r="E4119" s="3">
        <v>1</v>
      </c>
      <c r="F4119" s="189">
        <v>316112.22645399999</v>
      </c>
      <c r="G4119" s="3" t="s">
        <v>335</v>
      </c>
      <c r="H4119" s="79">
        <f t="shared" si="613"/>
        <v>0.20378335452818711</v>
      </c>
    </row>
    <row r="4120" spans="1:16" x14ac:dyDescent="0.25">
      <c r="A4120" s="3" t="s">
        <v>1586</v>
      </c>
      <c r="B4120" s="3" t="s">
        <v>333</v>
      </c>
      <c r="C4120" s="3">
        <v>25</v>
      </c>
      <c r="D4120" s="189">
        <v>1602148.8530540001</v>
      </c>
      <c r="E4120" s="3">
        <v>1</v>
      </c>
      <c r="F4120" s="189">
        <v>273843.02227199997</v>
      </c>
      <c r="G4120" s="3" t="s">
        <v>335</v>
      </c>
      <c r="H4120" s="79">
        <f t="shared" si="613"/>
        <v>0.1709223345571188</v>
      </c>
    </row>
    <row r="4121" spans="1:16" x14ac:dyDescent="0.25">
      <c r="A4121" s="3" t="s">
        <v>1587</v>
      </c>
      <c r="B4121" s="3" t="s">
        <v>333</v>
      </c>
      <c r="C4121" s="3">
        <v>25</v>
      </c>
      <c r="D4121" s="189">
        <v>1603893.8972459999</v>
      </c>
      <c r="E4121" s="3">
        <v>1</v>
      </c>
      <c r="F4121" s="189">
        <v>225112.98728599999</v>
      </c>
      <c r="G4121" s="3" t="s">
        <v>335</v>
      </c>
      <c r="H4121" s="79">
        <f t="shared" si="613"/>
        <v>0.14035403942401367</v>
      </c>
    </row>
    <row r="4122" spans="1:16" x14ac:dyDescent="0.25">
      <c r="A4122" s="3" t="s">
        <v>1588</v>
      </c>
      <c r="B4122" s="3" t="s">
        <v>333</v>
      </c>
      <c r="C4122" s="3">
        <v>25</v>
      </c>
      <c r="D4122" s="189">
        <v>3067542.0498560001</v>
      </c>
      <c r="E4122" s="3">
        <v>1</v>
      </c>
      <c r="F4122" s="189">
        <v>620540.65345500002</v>
      </c>
      <c r="G4122" s="3" t="s">
        <v>335</v>
      </c>
      <c r="H4122" s="79">
        <f t="shared" si="613"/>
        <v>0.20229246848763821</v>
      </c>
    </row>
    <row r="4123" spans="1:16" x14ac:dyDescent="0.25">
      <c r="A4123" s="3" t="s">
        <v>1589</v>
      </c>
      <c r="B4123" s="3" t="s">
        <v>333</v>
      </c>
      <c r="C4123" s="3">
        <v>25</v>
      </c>
      <c r="D4123" s="189">
        <v>3166071.5835859999</v>
      </c>
      <c r="E4123" s="3">
        <v>1</v>
      </c>
      <c r="F4123" s="189">
        <v>488413.877393</v>
      </c>
      <c r="G4123" s="3" t="s">
        <v>335</v>
      </c>
      <c r="H4123" s="79">
        <f t="shared" si="613"/>
        <v>0.15426495090164888</v>
      </c>
    </row>
    <row r="4124" spans="1:16" x14ac:dyDescent="0.25">
      <c r="A4124" s="3" t="s">
        <v>1590</v>
      </c>
      <c r="B4124" s="3" t="s">
        <v>333</v>
      </c>
      <c r="C4124" s="3">
        <v>25</v>
      </c>
      <c r="D4124" s="189">
        <v>3817540.0101700001</v>
      </c>
      <c r="E4124" s="3">
        <v>1</v>
      </c>
      <c r="F4124" s="189">
        <v>580792.53099899995</v>
      </c>
      <c r="G4124" s="3" t="s">
        <v>335</v>
      </c>
      <c r="H4124" s="79">
        <f t="shared" si="613"/>
        <v>0.15213790279912129</v>
      </c>
    </row>
    <row r="4126" spans="1:16" ht="20" thickBot="1" x14ac:dyDescent="0.3">
      <c r="A4126" s="3" t="s">
        <v>163</v>
      </c>
    </row>
    <row r="4127" spans="1:16" x14ac:dyDescent="0.25">
      <c r="A4127" s="3" t="s">
        <v>2</v>
      </c>
      <c r="B4127" s="3" t="s">
        <v>3</v>
      </c>
      <c r="C4127" s="3" t="s">
        <v>504</v>
      </c>
      <c r="D4127" s="189" t="s">
        <v>5</v>
      </c>
      <c r="E4127" s="3" t="s">
        <v>1247</v>
      </c>
      <c r="F4127" s="189" t="s">
        <v>505</v>
      </c>
      <c r="G4127" s="3" t="s">
        <v>506</v>
      </c>
      <c r="J4127" s="5" t="str">
        <f>A4126</f>
        <v>map5</v>
      </c>
      <c r="K4127" s="72" t="s">
        <v>340</v>
      </c>
      <c r="L4127" s="72" t="s">
        <v>341</v>
      </c>
      <c r="M4127" s="17" t="s">
        <v>162</v>
      </c>
      <c r="N4127" s="72" t="s">
        <v>342</v>
      </c>
      <c r="O4127" s="21" t="s">
        <v>162</v>
      </c>
      <c r="P4127" s="150" t="s">
        <v>1245</v>
      </c>
    </row>
    <row r="4128" spans="1:16" x14ac:dyDescent="0.25">
      <c r="A4128" s="3" t="s">
        <v>1591</v>
      </c>
      <c r="B4128" s="3" t="s">
        <v>333</v>
      </c>
      <c r="C4128" s="3">
        <v>25</v>
      </c>
      <c r="D4128" s="189">
        <v>26428.383341000001</v>
      </c>
      <c r="E4128" s="3">
        <v>1</v>
      </c>
      <c r="F4128" s="189">
        <v>57045.384588000001</v>
      </c>
      <c r="G4128" s="3" t="s">
        <v>335</v>
      </c>
      <c r="H4128" s="79">
        <f t="shared" ref="H4128:H4142" si="617">F4128/D4128</f>
        <v>2.1584893730333454</v>
      </c>
      <c r="J4128" s="6">
        <v>100</v>
      </c>
      <c r="K4128" s="119">
        <f>D4128</f>
        <v>26428.383341000001</v>
      </c>
      <c r="L4128" s="119">
        <f>D4129</f>
        <v>10605.929614000001</v>
      </c>
      <c r="M4128" s="18">
        <f>(K4128-L4128)/K4128</f>
        <v>0.59869169910418396</v>
      </c>
      <c r="N4128" s="73">
        <f>D4130</f>
        <v>6879.1741220000004</v>
      </c>
      <c r="O4128" s="22">
        <f>(K4128-N4128)/K4128</f>
        <v>0.73970507263953944</v>
      </c>
      <c r="P4128" s="151">
        <f>(L4128-N4128)/L4128</f>
        <v>0.35138414336454032</v>
      </c>
    </row>
    <row r="4129" spans="1:16" x14ac:dyDescent="0.25">
      <c r="A4129" s="3" t="s">
        <v>1592</v>
      </c>
      <c r="B4129" s="3" t="s">
        <v>333</v>
      </c>
      <c r="C4129" s="3">
        <v>25</v>
      </c>
      <c r="D4129" s="189">
        <v>10605.929614000001</v>
      </c>
      <c r="E4129" s="3">
        <v>1</v>
      </c>
      <c r="F4129" s="189">
        <v>7165.3584879999999</v>
      </c>
      <c r="G4129" s="3" t="s">
        <v>335</v>
      </c>
      <c r="H4129" s="79">
        <f t="shared" si="617"/>
        <v>0.67559928726489094</v>
      </c>
      <c r="J4129" s="6">
        <v>1000</v>
      </c>
      <c r="K4129" s="119">
        <f>D4131</f>
        <v>48231.377871999997</v>
      </c>
      <c r="L4129" s="119">
        <f>D4132</f>
        <v>54827.954060999997</v>
      </c>
      <c r="M4129" s="18">
        <f t="shared" ref="M4129:M4132" si="618">(K4129-L4129)/K4129</f>
        <v>-0.13676939121470844</v>
      </c>
      <c r="N4129" s="73">
        <f>D4133</f>
        <v>61326.388713</v>
      </c>
      <c r="O4129" s="22">
        <f t="shared" ref="O4129:O4132" si="619">(K4129-N4129)/K4129</f>
        <v>-0.27150397560178591</v>
      </c>
      <c r="P4129" s="151">
        <f t="shared" ref="P4129:P4132" si="620">(L4129-N4129)/L4129</f>
        <v>-0.11852411353467673</v>
      </c>
    </row>
    <row r="4130" spans="1:16" x14ac:dyDescent="0.25">
      <c r="A4130" s="3" t="s">
        <v>1593</v>
      </c>
      <c r="B4130" s="3" t="s">
        <v>333</v>
      </c>
      <c r="C4130" s="3">
        <v>25</v>
      </c>
      <c r="D4130" s="189">
        <v>6879.1741220000004</v>
      </c>
      <c r="E4130" s="3">
        <v>1</v>
      </c>
      <c r="F4130" s="189">
        <v>2433.4331320000001</v>
      </c>
      <c r="G4130" s="3" t="s">
        <v>335</v>
      </c>
      <c r="H4130" s="79">
        <f t="shared" si="617"/>
        <v>0.35373913915301824</v>
      </c>
      <c r="J4130" s="6">
        <v>10000</v>
      </c>
      <c r="K4130" s="119">
        <f>D4134</f>
        <v>518799.92947500001</v>
      </c>
      <c r="L4130" s="119">
        <f>D4135</f>
        <v>544195.81750500004</v>
      </c>
      <c r="M4130" s="18">
        <f t="shared" si="618"/>
        <v>-4.8951217197927187E-2</v>
      </c>
      <c r="N4130" s="73">
        <f>D4136</f>
        <v>615865.02549599996</v>
      </c>
      <c r="O4130" s="22">
        <f t="shared" si="619"/>
        <v>-0.18709543025425052</v>
      </c>
      <c r="P4130" s="151">
        <f t="shared" si="620"/>
        <v>-0.13169746199003343</v>
      </c>
    </row>
    <row r="4131" spans="1:16" x14ac:dyDescent="0.25">
      <c r="A4131" s="3" t="s">
        <v>1594</v>
      </c>
      <c r="B4131" s="3" t="s">
        <v>333</v>
      </c>
      <c r="C4131" s="3">
        <v>25</v>
      </c>
      <c r="D4131" s="189">
        <v>48231.377871999997</v>
      </c>
      <c r="E4131" s="3">
        <v>1</v>
      </c>
      <c r="F4131" s="189">
        <v>9807.4387540000007</v>
      </c>
      <c r="G4131" s="3" t="s">
        <v>335</v>
      </c>
      <c r="H4131" s="79">
        <f t="shared" si="617"/>
        <v>0.20334145916435786</v>
      </c>
      <c r="J4131" s="6">
        <v>50000</v>
      </c>
      <c r="K4131" s="119">
        <f>D4137</f>
        <v>2553553.5593030001</v>
      </c>
      <c r="L4131" s="119">
        <f>D4138</f>
        <v>2718553.5945350002</v>
      </c>
      <c r="M4131" s="18">
        <f t="shared" si="618"/>
        <v>-6.4615850578453232E-2</v>
      </c>
      <c r="N4131" s="73">
        <f>D4139</f>
        <v>3516664.5174710001</v>
      </c>
      <c r="O4131" s="22">
        <f t="shared" si="619"/>
        <v>-0.37716497257683679</v>
      </c>
      <c r="P4131" s="151">
        <f t="shared" si="620"/>
        <v>-0.29357924910526334</v>
      </c>
    </row>
    <row r="4132" spans="1:16" x14ac:dyDescent="0.25">
      <c r="A4132" s="3" t="s">
        <v>1595</v>
      </c>
      <c r="B4132" s="3" t="s">
        <v>333</v>
      </c>
      <c r="C4132" s="3">
        <v>25</v>
      </c>
      <c r="D4132" s="189">
        <v>54827.954060999997</v>
      </c>
      <c r="E4132" s="3">
        <v>1</v>
      </c>
      <c r="F4132" s="189">
        <v>8849.4405310000002</v>
      </c>
      <c r="G4132" s="3" t="s">
        <v>335</v>
      </c>
      <c r="H4132" s="79">
        <f t="shared" si="617"/>
        <v>0.16140380728331333</v>
      </c>
      <c r="J4132" s="6">
        <v>100000</v>
      </c>
      <c r="K4132" s="119">
        <f>D4140</f>
        <v>5071555.3372870004</v>
      </c>
      <c r="L4132" s="119">
        <f>D4141</f>
        <v>5480272.1732120002</v>
      </c>
      <c r="M4132" s="18">
        <f t="shared" si="618"/>
        <v>-8.0590037718811625E-2</v>
      </c>
      <c r="N4132" s="158">
        <f>D4142</f>
        <v>6664535.7678850004</v>
      </c>
      <c r="O4132" s="22">
        <f t="shared" si="619"/>
        <v>-0.31410096600664439</v>
      </c>
      <c r="P4132" s="151">
        <f t="shared" si="620"/>
        <v>-0.21609576262685884</v>
      </c>
    </row>
    <row r="4133" spans="1:16" x14ac:dyDescent="0.25">
      <c r="A4133" s="3" t="s">
        <v>1596</v>
      </c>
      <c r="B4133" s="3" t="s">
        <v>333</v>
      </c>
      <c r="C4133" s="3">
        <v>25</v>
      </c>
      <c r="D4133" s="189">
        <v>61326.388713</v>
      </c>
      <c r="E4133" s="3">
        <v>1</v>
      </c>
      <c r="F4133" s="189">
        <v>9409.8560560000005</v>
      </c>
      <c r="G4133" s="3" t="s">
        <v>335</v>
      </c>
      <c r="H4133" s="79">
        <f t="shared" si="617"/>
        <v>0.15343893963880664</v>
      </c>
    </row>
    <row r="4134" spans="1:16" x14ac:dyDescent="0.25">
      <c r="A4134" s="3" t="s">
        <v>1597</v>
      </c>
      <c r="B4134" s="3" t="s">
        <v>333</v>
      </c>
      <c r="C4134" s="3">
        <v>25</v>
      </c>
      <c r="D4134" s="189">
        <v>518799.92947500001</v>
      </c>
      <c r="E4134" s="3">
        <v>1</v>
      </c>
      <c r="F4134" s="189">
        <v>140483.14084499999</v>
      </c>
      <c r="G4134" s="3" t="s">
        <v>335</v>
      </c>
      <c r="H4134" s="79">
        <f t="shared" si="617"/>
        <v>0.27078481099093826</v>
      </c>
    </row>
    <row r="4135" spans="1:16" x14ac:dyDescent="0.25">
      <c r="A4135" s="3" t="s">
        <v>1598</v>
      </c>
      <c r="B4135" s="3" t="s">
        <v>333</v>
      </c>
      <c r="C4135" s="3">
        <v>25</v>
      </c>
      <c r="D4135" s="189">
        <v>544195.81750500004</v>
      </c>
      <c r="E4135" s="3">
        <v>1</v>
      </c>
      <c r="F4135" s="189">
        <v>90614.665143000006</v>
      </c>
      <c r="G4135" s="3" t="s">
        <v>335</v>
      </c>
      <c r="H4135" s="79">
        <f t="shared" si="617"/>
        <v>0.16651113850607174</v>
      </c>
    </row>
    <row r="4136" spans="1:16" x14ac:dyDescent="0.25">
      <c r="A4136" s="3" t="s">
        <v>1599</v>
      </c>
      <c r="B4136" s="3" t="s">
        <v>333</v>
      </c>
      <c r="C4136" s="3">
        <v>25</v>
      </c>
      <c r="D4136" s="189">
        <v>615865.02549599996</v>
      </c>
      <c r="E4136" s="3">
        <v>1</v>
      </c>
      <c r="F4136" s="189">
        <v>54325.297348</v>
      </c>
      <c r="G4136" s="3" t="s">
        <v>335</v>
      </c>
      <c r="H4136" s="79">
        <f t="shared" si="617"/>
        <v>8.820974580306451E-2</v>
      </c>
    </row>
    <row r="4137" spans="1:16" x14ac:dyDescent="0.25">
      <c r="A4137" s="3" t="s">
        <v>1600</v>
      </c>
      <c r="B4137" s="3" t="s">
        <v>333</v>
      </c>
      <c r="C4137" s="3">
        <v>25</v>
      </c>
      <c r="D4137" s="189">
        <v>2553553.5593030001</v>
      </c>
      <c r="E4137" s="3">
        <v>1</v>
      </c>
      <c r="F4137" s="189">
        <v>472131.49885700003</v>
      </c>
      <c r="G4137" s="3" t="s">
        <v>335</v>
      </c>
      <c r="H4137" s="79">
        <f t="shared" si="617"/>
        <v>0.18489195072370823</v>
      </c>
    </row>
    <row r="4138" spans="1:16" x14ac:dyDescent="0.25">
      <c r="A4138" s="3" t="s">
        <v>1601</v>
      </c>
      <c r="B4138" s="3" t="s">
        <v>333</v>
      </c>
      <c r="C4138" s="3">
        <v>25</v>
      </c>
      <c r="D4138" s="189">
        <v>2718553.5945350002</v>
      </c>
      <c r="E4138" s="3">
        <v>1</v>
      </c>
      <c r="F4138" s="189">
        <v>302869.91570900002</v>
      </c>
      <c r="G4138" s="3" t="s">
        <v>335</v>
      </c>
      <c r="H4138" s="79">
        <f t="shared" si="617"/>
        <v>0.11140847703640912</v>
      </c>
    </row>
    <row r="4139" spans="1:16" x14ac:dyDescent="0.25">
      <c r="A4139" s="3" t="s">
        <v>1602</v>
      </c>
      <c r="B4139" s="3" t="s">
        <v>333</v>
      </c>
      <c r="C4139" s="3">
        <v>25</v>
      </c>
      <c r="D4139" s="189">
        <v>3516664.5174710001</v>
      </c>
      <c r="E4139" s="3">
        <v>1</v>
      </c>
      <c r="F4139" s="189">
        <v>552173.35536100005</v>
      </c>
      <c r="G4139" s="3" t="s">
        <v>335</v>
      </c>
      <c r="H4139" s="79">
        <f t="shared" si="617"/>
        <v>0.15701621596765053</v>
      </c>
    </row>
    <row r="4140" spans="1:16" x14ac:dyDescent="0.25">
      <c r="A4140" s="3" t="s">
        <v>1603</v>
      </c>
      <c r="B4140" s="3" t="s">
        <v>333</v>
      </c>
      <c r="C4140" s="3">
        <v>25</v>
      </c>
      <c r="D4140" s="189">
        <v>5071555.3372870004</v>
      </c>
      <c r="E4140" s="3">
        <v>1</v>
      </c>
      <c r="F4140" s="189">
        <v>1009050.479936</v>
      </c>
      <c r="G4140" s="3" t="s">
        <v>335</v>
      </c>
      <c r="H4140" s="79">
        <f t="shared" si="617"/>
        <v>0.19896272697988263</v>
      </c>
    </row>
    <row r="4141" spans="1:16" x14ac:dyDescent="0.25">
      <c r="A4141" s="3" t="s">
        <v>1604</v>
      </c>
      <c r="B4141" s="3" t="s">
        <v>333</v>
      </c>
      <c r="C4141" s="3">
        <v>25</v>
      </c>
      <c r="D4141" s="189">
        <v>5480272.1732120002</v>
      </c>
      <c r="E4141" s="3">
        <v>1</v>
      </c>
      <c r="F4141" s="189">
        <v>798222.66156200005</v>
      </c>
      <c r="G4141" s="3" t="s">
        <v>335</v>
      </c>
      <c r="H4141" s="79">
        <f t="shared" si="617"/>
        <v>0.14565383549083108</v>
      </c>
    </row>
    <row r="4142" spans="1:16" x14ac:dyDescent="0.25">
      <c r="A4142" s="3" t="s">
        <v>1605</v>
      </c>
      <c r="B4142" s="3" t="s">
        <v>333</v>
      </c>
      <c r="C4142" s="3">
        <v>25</v>
      </c>
      <c r="D4142" s="189">
        <v>6664535.7678850004</v>
      </c>
      <c r="E4142" s="3">
        <v>1</v>
      </c>
      <c r="F4142" s="189">
        <v>1236211.93851</v>
      </c>
      <c r="G4142" s="3" t="s">
        <v>335</v>
      </c>
      <c r="H4142" s="79">
        <f t="shared" si="617"/>
        <v>0.18549108018401611</v>
      </c>
    </row>
    <row r="4144" spans="1:16" ht="20" thickBot="1" x14ac:dyDescent="0.3">
      <c r="A4144" s="3" t="s">
        <v>161</v>
      </c>
    </row>
    <row r="4145" spans="1:16" x14ac:dyDescent="0.25">
      <c r="A4145" s="3" t="s">
        <v>2</v>
      </c>
      <c r="B4145" s="3" t="s">
        <v>3</v>
      </c>
      <c r="C4145" s="3" t="s">
        <v>504</v>
      </c>
      <c r="D4145" s="189" t="s">
        <v>5</v>
      </c>
      <c r="E4145" s="3" t="s">
        <v>1247</v>
      </c>
      <c r="F4145" s="189" t="s">
        <v>505</v>
      </c>
      <c r="G4145" s="3" t="s">
        <v>506</v>
      </c>
      <c r="J4145" s="5" t="str">
        <f>A4144</f>
        <v>map10</v>
      </c>
      <c r="K4145" s="72" t="s">
        <v>340</v>
      </c>
      <c r="L4145" s="72" t="s">
        <v>341</v>
      </c>
      <c r="M4145" s="17" t="s">
        <v>162</v>
      </c>
      <c r="N4145" s="72" t="s">
        <v>342</v>
      </c>
      <c r="O4145" s="21" t="s">
        <v>162</v>
      </c>
      <c r="P4145" s="150" t="s">
        <v>1245</v>
      </c>
    </row>
    <row r="4146" spans="1:16" x14ac:dyDescent="0.25">
      <c r="A4146" s="3" t="s">
        <v>1606</v>
      </c>
      <c r="B4146" s="3" t="s">
        <v>333</v>
      </c>
      <c r="C4146" s="3">
        <v>25</v>
      </c>
      <c r="D4146" s="189">
        <v>7026.5154309999998</v>
      </c>
      <c r="E4146" s="3">
        <v>1</v>
      </c>
      <c r="F4146" s="189">
        <v>850.83414900000002</v>
      </c>
      <c r="G4146" s="3" t="s">
        <v>335</v>
      </c>
      <c r="H4146" s="79">
        <f t="shared" ref="H4146:H4160" si="621">F4146/D4146</f>
        <v>0.12108906005475192</v>
      </c>
      <c r="J4146" s="6">
        <v>100</v>
      </c>
      <c r="K4146" s="119">
        <f>D4146</f>
        <v>7026.5154309999998</v>
      </c>
      <c r="L4146" s="119">
        <f>D4147</f>
        <v>21165.187253</v>
      </c>
      <c r="M4146" s="18">
        <f>(K4146-L4146)/K4146</f>
        <v>-2.0121882547389229</v>
      </c>
      <c r="N4146" s="73">
        <f>D4148</f>
        <v>10195.774422</v>
      </c>
      <c r="O4146" s="22">
        <f>(K4146-N4146)/K4146</f>
        <v>-0.45104277107507296</v>
      </c>
      <c r="P4146" s="151">
        <f>(L4146-N4146)/L4146</f>
        <v>0.51827620043593858</v>
      </c>
    </row>
    <row r="4147" spans="1:16" x14ac:dyDescent="0.25">
      <c r="A4147" s="3" t="s">
        <v>1607</v>
      </c>
      <c r="B4147" s="3" t="s">
        <v>333</v>
      </c>
      <c r="C4147" s="3">
        <v>25</v>
      </c>
      <c r="D4147" s="189">
        <v>21165.187253</v>
      </c>
      <c r="E4147" s="3">
        <v>1</v>
      </c>
      <c r="F4147" s="189">
        <v>16377.617361000001</v>
      </c>
      <c r="G4147" s="3" t="s">
        <v>335</v>
      </c>
      <c r="H4147" s="79">
        <f t="shared" si="621"/>
        <v>0.773799785715508</v>
      </c>
      <c r="J4147" s="6">
        <v>1000</v>
      </c>
      <c r="K4147" s="119">
        <f>D4149</f>
        <v>82030.127342000007</v>
      </c>
      <c r="L4147" s="119">
        <f>D4150</f>
        <v>100117.057506</v>
      </c>
      <c r="M4147" s="18">
        <f t="shared" ref="M4147:M4150" si="622">(K4147-L4147)/K4147</f>
        <v>-0.22049130910881024</v>
      </c>
      <c r="N4147" s="73">
        <f>D4151</f>
        <v>127214.191376</v>
      </c>
      <c r="O4147" s="22">
        <f t="shared" ref="O4147:O4150" si="623">(K4147-N4147)/K4147</f>
        <v>-0.55082279521057664</v>
      </c>
      <c r="P4147" s="151">
        <f t="shared" ref="P4147:P4150" si="624">(L4147-N4147)/L4147</f>
        <v>-0.27065451727220485</v>
      </c>
    </row>
    <row r="4148" spans="1:16" x14ac:dyDescent="0.25">
      <c r="A4148" s="3" t="s">
        <v>1608</v>
      </c>
      <c r="B4148" s="3" t="s">
        <v>333</v>
      </c>
      <c r="C4148" s="3">
        <v>25</v>
      </c>
      <c r="D4148" s="189">
        <v>10195.774422</v>
      </c>
      <c r="E4148" s="3">
        <v>1</v>
      </c>
      <c r="F4148" s="189">
        <v>1267.3303800000001</v>
      </c>
      <c r="G4148" s="3" t="s">
        <v>335</v>
      </c>
      <c r="H4148" s="79">
        <f t="shared" si="621"/>
        <v>0.12429957034606508</v>
      </c>
      <c r="J4148" s="6">
        <v>10000</v>
      </c>
      <c r="K4148" s="119">
        <f>D4152</f>
        <v>827918.26691600005</v>
      </c>
      <c r="L4148" s="119">
        <f>D4153</f>
        <v>1310091.1325099999</v>
      </c>
      <c r="M4148" s="18">
        <f t="shared" si="622"/>
        <v>-0.58239186748481386</v>
      </c>
      <c r="N4148" s="73">
        <f>D4154</f>
        <v>1287045.0939199999</v>
      </c>
      <c r="O4148" s="22">
        <f t="shared" si="623"/>
        <v>-0.55455573980055994</v>
      </c>
      <c r="P4148" s="151">
        <f t="shared" si="624"/>
        <v>1.7591172108650313E-2</v>
      </c>
    </row>
    <row r="4149" spans="1:16" x14ac:dyDescent="0.25">
      <c r="A4149" s="3" t="s">
        <v>1609</v>
      </c>
      <c r="B4149" s="3" t="s">
        <v>333</v>
      </c>
      <c r="C4149" s="3">
        <v>25</v>
      </c>
      <c r="D4149" s="189">
        <v>82030.127342000007</v>
      </c>
      <c r="E4149" s="3">
        <v>1</v>
      </c>
      <c r="F4149" s="189">
        <v>14741.401046999999</v>
      </c>
      <c r="G4149" s="3" t="s">
        <v>335</v>
      </c>
      <c r="H4149" s="79">
        <f t="shared" si="621"/>
        <v>0.17970715790236616</v>
      </c>
      <c r="J4149" s="6">
        <v>50000</v>
      </c>
      <c r="K4149" s="119">
        <f>D4155</f>
        <v>4251105.261252</v>
      </c>
      <c r="L4149" s="119">
        <f>D4156</f>
        <v>5208727.4326470001</v>
      </c>
      <c r="M4149" s="18">
        <f t="shared" si="622"/>
        <v>-0.22526428129727591</v>
      </c>
      <c r="N4149" s="73">
        <f>D4157</f>
        <v>6267259.1210240005</v>
      </c>
      <c r="O4149" s="22">
        <f t="shared" si="623"/>
        <v>-0.47426580521278827</v>
      </c>
      <c r="P4149" s="151">
        <f t="shared" si="624"/>
        <v>-0.20322270690195626</v>
      </c>
    </row>
    <row r="4150" spans="1:16" x14ac:dyDescent="0.25">
      <c r="A4150" s="3" t="s">
        <v>1610</v>
      </c>
      <c r="B4150" s="3" t="s">
        <v>333</v>
      </c>
      <c r="C4150" s="3">
        <v>25</v>
      </c>
      <c r="D4150" s="189">
        <v>100117.057506</v>
      </c>
      <c r="E4150" s="3">
        <v>1</v>
      </c>
      <c r="F4150" s="189">
        <v>13269.377189000001</v>
      </c>
      <c r="G4150" s="3" t="s">
        <v>335</v>
      </c>
      <c r="H4150" s="79">
        <f t="shared" si="621"/>
        <v>0.13253862548052583</v>
      </c>
      <c r="J4150" s="6">
        <v>100000</v>
      </c>
      <c r="K4150" s="119">
        <f>D4158</f>
        <v>8848497.1070370004</v>
      </c>
      <c r="L4150" s="119">
        <f>D4159</f>
        <v>10827308.989757</v>
      </c>
      <c r="M4150" s="18">
        <f t="shared" si="622"/>
        <v>-0.22363253994243801</v>
      </c>
      <c r="N4150" s="158">
        <f>D4160</f>
        <v>12635840.950547</v>
      </c>
      <c r="O4150" s="22">
        <f t="shared" si="623"/>
        <v>-0.42802114276536463</v>
      </c>
      <c r="P4150" s="151">
        <f t="shared" si="624"/>
        <v>-0.16703429841163056</v>
      </c>
    </row>
    <row r="4151" spans="1:16" x14ac:dyDescent="0.25">
      <c r="A4151" s="3" t="s">
        <v>1611</v>
      </c>
      <c r="B4151" s="3" t="s">
        <v>333</v>
      </c>
      <c r="C4151" s="3">
        <v>25</v>
      </c>
      <c r="D4151" s="189">
        <v>127214.191376</v>
      </c>
      <c r="E4151" s="3">
        <v>1</v>
      </c>
      <c r="F4151" s="189">
        <v>19288.119949</v>
      </c>
      <c r="G4151" s="3" t="s">
        <v>335</v>
      </c>
      <c r="H4151" s="79">
        <f t="shared" si="621"/>
        <v>0.15161924735260993</v>
      </c>
    </row>
    <row r="4152" spans="1:16" x14ac:dyDescent="0.25">
      <c r="A4152" s="3" t="s">
        <v>1612</v>
      </c>
      <c r="B4152" s="3" t="s">
        <v>333</v>
      </c>
      <c r="C4152" s="3">
        <v>25</v>
      </c>
      <c r="D4152" s="189">
        <v>827918.26691600005</v>
      </c>
      <c r="E4152" s="3">
        <v>1</v>
      </c>
      <c r="F4152" s="189">
        <v>296103.50995799998</v>
      </c>
      <c r="G4152" s="3" t="s">
        <v>335</v>
      </c>
      <c r="H4152" s="79">
        <f t="shared" si="621"/>
        <v>0.35764823870958556</v>
      </c>
    </row>
    <row r="4153" spans="1:16" x14ac:dyDescent="0.25">
      <c r="A4153" s="3" t="s">
        <v>1613</v>
      </c>
      <c r="B4153" s="3" t="s">
        <v>333</v>
      </c>
      <c r="C4153" s="3">
        <v>25</v>
      </c>
      <c r="D4153" s="189">
        <v>1310091.1325099999</v>
      </c>
      <c r="E4153" s="3">
        <v>1</v>
      </c>
      <c r="F4153" s="189">
        <v>303865.397115</v>
      </c>
      <c r="G4153" s="3" t="s">
        <v>335</v>
      </c>
      <c r="H4153" s="79">
        <f t="shared" si="621"/>
        <v>0.23194218293259122</v>
      </c>
    </row>
    <row r="4154" spans="1:16" x14ac:dyDescent="0.25">
      <c r="A4154" s="3" t="s">
        <v>1614</v>
      </c>
      <c r="B4154" s="3" t="s">
        <v>333</v>
      </c>
      <c r="C4154" s="3">
        <v>25</v>
      </c>
      <c r="D4154" s="189">
        <v>1287045.0939199999</v>
      </c>
      <c r="E4154" s="3">
        <v>1</v>
      </c>
      <c r="F4154" s="189">
        <v>218428.41731700001</v>
      </c>
      <c r="G4154" s="3" t="s">
        <v>335</v>
      </c>
      <c r="H4154" s="79">
        <f t="shared" si="621"/>
        <v>0.16971310356479016</v>
      </c>
    </row>
    <row r="4155" spans="1:16" x14ac:dyDescent="0.25">
      <c r="A4155" s="3" t="s">
        <v>1615</v>
      </c>
      <c r="B4155" s="3" t="s">
        <v>333</v>
      </c>
      <c r="C4155" s="3">
        <v>25</v>
      </c>
      <c r="D4155" s="189">
        <v>4251105.261252</v>
      </c>
      <c r="E4155" s="3">
        <v>1</v>
      </c>
      <c r="F4155" s="189">
        <v>1415156.1534780001</v>
      </c>
      <c r="G4155" s="3" t="s">
        <v>335</v>
      </c>
      <c r="H4155" s="79">
        <f t="shared" si="621"/>
        <v>0.33289134625220268</v>
      </c>
    </row>
    <row r="4156" spans="1:16" x14ac:dyDescent="0.25">
      <c r="A4156" s="3" t="s">
        <v>1616</v>
      </c>
      <c r="B4156" s="3" t="s">
        <v>333</v>
      </c>
      <c r="C4156" s="3">
        <v>25</v>
      </c>
      <c r="D4156" s="189">
        <v>5208727.4326470001</v>
      </c>
      <c r="E4156" s="3">
        <v>1</v>
      </c>
      <c r="F4156" s="189">
        <v>874847.92793799995</v>
      </c>
      <c r="G4156" s="3" t="s">
        <v>335</v>
      </c>
      <c r="H4156" s="79">
        <f t="shared" si="621"/>
        <v>0.16795809326759395</v>
      </c>
    </row>
    <row r="4157" spans="1:16" x14ac:dyDescent="0.25">
      <c r="A4157" s="3" t="s">
        <v>1617</v>
      </c>
      <c r="B4157" s="3" t="s">
        <v>333</v>
      </c>
      <c r="C4157" s="3">
        <v>25</v>
      </c>
      <c r="D4157" s="189">
        <v>6267259.1210240005</v>
      </c>
      <c r="E4157" s="3">
        <v>1</v>
      </c>
      <c r="F4157" s="189">
        <v>1032384.69865</v>
      </c>
      <c r="G4157" s="3" t="s">
        <v>335</v>
      </c>
      <c r="H4157" s="79">
        <f t="shared" si="621"/>
        <v>0.16472666579027928</v>
      </c>
    </row>
    <row r="4158" spans="1:16" x14ac:dyDescent="0.25">
      <c r="A4158" s="3" t="s">
        <v>1618</v>
      </c>
      <c r="B4158" s="3" t="s">
        <v>333</v>
      </c>
      <c r="C4158" s="3">
        <v>25</v>
      </c>
      <c r="D4158" s="189">
        <v>8848497.1070370004</v>
      </c>
      <c r="E4158" s="3">
        <v>1</v>
      </c>
      <c r="F4158" s="189">
        <v>2366050.1678200001</v>
      </c>
      <c r="G4158" s="3" t="s">
        <v>335</v>
      </c>
      <c r="H4158" s="79">
        <f t="shared" si="621"/>
        <v>0.26739571016397085</v>
      </c>
    </row>
    <row r="4159" spans="1:16" x14ac:dyDescent="0.25">
      <c r="A4159" s="3" t="s">
        <v>1619</v>
      </c>
      <c r="B4159" s="3" t="s">
        <v>333</v>
      </c>
      <c r="C4159" s="3">
        <v>25</v>
      </c>
      <c r="D4159" s="189">
        <v>10827308.989757</v>
      </c>
      <c r="E4159" s="3">
        <v>1</v>
      </c>
      <c r="F4159" s="189">
        <v>2252686.9599720002</v>
      </c>
      <c r="G4159" s="3" t="s">
        <v>335</v>
      </c>
      <c r="H4159" s="79">
        <f t="shared" si="621"/>
        <v>0.20805603332306469</v>
      </c>
    </row>
    <row r="4160" spans="1:16" x14ac:dyDescent="0.25">
      <c r="A4160" s="3" t="s">
        <v>1620</v>
      </c>
      <c r="B4160" s="3" t="s">
        <v>333</v>
      </c>
      <c r="C4160" s="3">
        <v>25</v>
      </c>
      <c r="D4160" s="189">
        <v>12635840.950547</v>
      </c>
      <c r="E4160" s="3">
        <v>1</v>
      </c>
      <c r="F4160" s="189">
        <v>1412305.8690450001</v>
      </c>
      <c r="G4160" s="3" t="s">
        <v>335</v>
      </c>
      <c r="H4160" s="79">
        <f t="shared" si="621"/>
        <v>0.11176983586390124</v>
      </c>
    </row>
    <row r="4162" spans="1:16" ht="20" thickBot="1" x14ac:dyDescent="0.3">
      <c r="A4162" s="3" t="s">
        <v>1621</v>
      </c>
    </row>
    <row r="4163" spans="1:16" x14ac:dyDescent="0.25">
      <c r="A4163" s="3" t="s">
        <v>2</v>
      </c>
      <c r="B4163" s="3" t="s">
        <v>3</v>
      </c>
      <c r="C4163" s="3" t="s">
        <v>504</v>
      </c>
      <c r="D4163" s="189" t="s">
        <v>5</v>
      </c>
      <c r="E4163" s="3" t="s">
        <v>1247</v>
      </c>
      <c r="F4163" s="189" t="s">
        <v>505</v>
      </c>
      <c r="G4163" s="3" t="s">
        <v>506</v>
      </c>
      <c r="J4163" s="5" t="str">
        <f>A4162</f>
        <v>middle2</v>
      </c>
      <c r="K4163" s="72" t="s">
        <v>340</v>
      </c>
      <c r="L4163" s="72" t="s">
        <v>341</v>
      </c>
      <c r="M4163" s="17" t="s">
        <v>162</v>
      </c>
      <c r="N4163" s="72" t="s">
        <v>342</v>
      </c>
      <c r="O4163" s="21" t="s">
        <v>162</v>
      </c>
      <c r="P4163" s="150" t="s">
        <v>1245</v>
      </c>
    </row>
    <row r="4164" spans="1:16" x14ac:dyDescent="0.25">
      <c r="A4164" s="3" t="s">
        <v>1622</v>
      </c>
      <c r="B4164" s="3" t="s">
        <v>333</v>
      </c>
      <c r="C4164" s="3">
        <v>25</v>
      </c>
      <c r="D4164" s="189">
        <v>9759.0313810000007</v>
      </c>
      <c r="E4164" s="3">
        <v>1</v>
      </c>
      <c r="F4164" s="189">
        <v>14035.072133</v>
      </c>
      <c r="G4164" s="3" t="s">
        <v>335</v>
      </c>
      <c r="H4164" s="79">
        <f t="shared" ref="H4164:H4178" si="625">F4164/D4164</f>
        <v>1.4381624143893097</v>
      </c>
      <c r="J4164" s="6">
        <v>100</v>
      </c>
      <c r="K4164" s="119">
        <f>D4164</f>
        <v>9759.0313810000007</v>
      </c>
      <c r="L4164" s="119">
        <f>D4165</f>
        <v>30022.791165999999</v>
      </c>
      <c r="M4164" s="18">
        <f>(K4164-L4164)/K4164</f>
        <v>-2.0764109668149859</v>
      </c>
      <c r="N4164" s="73">
        <f>D4166</f>
        <v>8547.1210749999991</v>
      </c>
      <c r="O4164" s="22">
        <f>(K4164-N4164)/K4164</f>
        <v>0.12418346234232705</v>
      </c>
      <c r="P4164" s="151">
        <f>(L4164-N4164)/L4164</f>
        <v>0.71531224303090835</v>
      </c>
    </row>
    <row r="4165" spans="1:16" x14ac:dyDescent="0.25">
      <c r="A4165" s="3" t="s">
        <v>1623</v>
      </c>
      <c r="B4165" s="3" t="s">
        <v>333</v>
      </c>
      <c r="C4165" s="3">
        <v>25</v>
      </c>
      <c r="D4165" s="189">
        <v>30022.791165999999</v>
      </c>
      <c r="E4165" s="3">
        <v>1</v>
      </c>
      <c r="F4165" s="189">
        <v>32160.044782000001</v>
      </c>
      <c r="G4165" s="3" t="s">
        <v>335</v>
      </c>
      <c r="H4165" s="79">
        <f t="shared" si="625"/>
        <v>1.0711877055062218</v>
      </c>
      <c r="J4165" s="6">
        <v>1000</v>
      </c>
      <c r="K4165" s="119">
        <f>D4167</f>
        <v>98577.166408000005</v>
      </c>
      <c r="L4165" s="119">
        <f>D4168</f>
        <v>115543.305855</v>
      </c>
      <c r="M4165" s="18">
        <f t="shared" ref="M4165:M4168" si="626">(K4165-L4165)/K4165</f>
        <v>-0.17211023673351511</v>
      </c>
      <c r="N4165" s="73">
        <f>D4169</f>
        <v>338068.15080800001</v>
      </c>
      <c r="O4165" s="22">
        <f t="shared" ref="O4165:O4168" si="627">(K4165-N4165)/K4165</f>
        <v>-2.4294772626023078</v>
      </c>
      <c r="P4165" s="151">
        <f t="shared" ref="P4165:P4168" si="628">(L4165-N4165)/L4165</f>
        <v>-1.9258999325521766</v>
      </c>
    </row>
    <row r="4166" spans="1:16" x14ac:dyDescent="0.25">
      <c r="A4166" s="3" t="s">
        <v>1624</v>
      </c>
      <c r="B4166" s="3" t="s">
        <v>333</v>
      </c>
      <c r="C4166" s="3">
        <v>25</v>
      </c>
      <c r="D4166" s="189">
        <v>8547.1210749999991</v>
      </c>
      <c r="E4166" s="3">
        <v>1</v>
      </c>
      <c r="F4166" s="189">
        <v>2255.1859180000001</v>
      </c>
      <c r="G4166" s="3" t="s">
        <v>335</v>
      </c>
      <c r="H4166" s="79">
        <f t="shared" si="625"/>
        <v>0.26385327857310131</v>
      </c>
      <c r="J4166" s="6">
        <v>10000</v>
      </c>
      <c r="K4166" s="119">
        <f>D4170</f>
        <v>1118899.183772</v>
      </c>
      <c r="L4166" s="119">
        <f>D4171</f>
        <v>4680926.5148910005</v>
      </c>
      <c r="M4166" s="18">
        <f t="shared" si="626"/>
        <v>-3.1835105278303972</v>
      </c>
      <c r="N4166" s="73">
        <f>D4172</f>
        <v>1393410.723403</v>
      </c>
      <c r="O4166" s="22">
        <f t="shared" si="627"/>
        <v>-0.24534072739741822</v>
      </c>
      <c r="P4166" s="151">
        <f t="shared" si="628"/>
        <v>0.70232159830532026</v>
      </c>
    </row>
    <row r="4167" spans="1:16" x14ac:dyDescent="0.25">
      <c r="A4167" s="3" t="s">
        <v>1625</v>
      </c>
      <c r="B4167" s="3" t="s">
        <v>333</v>
      </c>
      <c r="C4167" s="3">
        <v>25</v>
      </c>
      <c r="D4167" s="189">
        <v>98577.166408000005</v>
      </c>
      <c r="E4167" s="3">
        <v>1</v>
      </c>
      <c r="F4167" s="189">
        <v>32212.434419000001</v>
      </c>
      <c r="G4167" s="3" t="s">
        <v>335</v>
      </c>
      <c r="H4167" s="79">
        <f t="shared" si="625"/>
        <v>0.32677379146481339</v>
      </c>
      <c r="J4167" s="6">
        <v>50000</v>
      </c>
      <c r="K4167" s="119">
        <f>D4173</f>
        <v>6567609.1349640004</v>
      </c>
      <c r="L4167" s="119">
        <f>D4174</f>
        <v>7604717.8718130002</v>
      </c>
      <c r="M4167" s="18">
        <f t="shared" si="626"/>
        <v>-0.15791267652146668</v>
      </c>
      <c r="N4167" s="73">
        <f>D4175</f>
        <v>11103253.652803</v>
      </c>
      <c r="O4167" s="22">
        <f t="shared" si="627"/>
        <v>-0.6906081687615323</v>
      </c>
      <c r="P4167" s="151">
        <f t="shared" si="628"/>
        <v>-0.46004807015357857</v>
      </c>
    </row>
    <row r="4168" spans="1:16" x14ac:dyDescent="0.25">
      <c r="A4168" s="3" t="s">
        <v>1626</v>
      </c>
      <c r="B4168" s="3" t="s">
        <v>333</v>
      </c>
      <c r="C4168" s="3">
        <v>25</v>
      </c>
      <c r="D4168" s="189">
        <v>115543.305855</v>
      </c>
      <c r="E4168" s="3">
        <v>1</v>
      </c>
      <c r="F4168" s="189">
        <v>35766.409455000001</v>
      </c>
      <c r="G4168" s="3" t="s">
        <v>335</v>
      </c>
      <c r="H4168" s="79">
        <f t="shared" si="625"/>
        <v>0.30954981935417986</v>
      </c>
      <c r="J4168" s="6">
        <v>100000</v>
      </c>
      <c r="K4168" s="119">
        <f>D4176</f>
        <v>14202421.053255999</v>
      </c>
      <c r="L4168" s="119">
        <f>D4177</f>
        <v>108815714.673667</v>
      </c>
      <c r="M4168" s="18">
        <f t="shared" si="626"/>
        <v>-6.6617721912082217</v>
      </c>
      <c r="N4168" s="158">
        <f>D4178</f>
        <v>14843870.546759</v>
      </c>
      <c r="O4168" s="22">
        <f t="shared" si="627"/>
        <v>-4.5164799092894378E-2</v>
      </c>
      <c r="P4168" s="151">
        <f t="shared" si="628"/>
        <v>0.86358706928245577</v>
      </c>
    </row>
    <row r="4169" spans="1:16" x14ac:dyDescent="0.25">
      <c r="A4169" s="3" t="s">
        <v>1627</v>
      </c>
      <c r="B4169" s="3" t="s">
        <v>333</v>
      </c>
      <c r="C4169" s="3">
        <v>25</v>
      </c>
      <c r="D4169" s="189">
        <v>338068.15080800001</v>
      </c>
      <c r="E4169" s="3">
        <v>1</v>
      </c>
      <c r="F4169" s="189">
        <v>561271.89232900005</v>
      </c>
      <c r="G4169" s="3" t="s">
        <v>335</v>
      </c>
      <c r="H4169" s="79">
        <f t="shared" si="625"/>
        <v>1.6602329766573154</v>
      </c>
    </row>
    <row r="4170" spans="1:16" x14ac:dyDescent="0.25">
      <c r="A4170" s="3" t="s">
        <v>1628</v>
      </c>
      <c r="B4170" s="3" t="s">
        <v>333</v>
      </c>
      <c r="C4170" s="3">
        <v>25</v>
      </c>
      <c r="D4170" s="189">
        <v>1118899.183772</v>
      </c>
      <c r="E4170" s="3">
        <v>1</v>
      </c>
      <c r="F4170" s="189">
        <v>360433.11355499999</v>
      </c>
      <c r="G4170" s="3" t="s">
        <v>335</v>
      </c>
      <c r="H4170" s="79">
        <f t="shared" si="625"/>
        <v>0.32213189426049849</v>
      </c>
    </row>
    <row r="4171" spans="1:16" x14ac:dyDescent="0.25">
      <c r="A4171" s="3" t="s">
        <v>1629</v>
      </c>
      <c r="B4171" s="3" t="s">
        <v>333</v>
      </c>
      <c r="C4171" s="3">
        <v>25</v>
      </c>
      <c r="D4171" s="189">
        <v>4680926.5148910005</v>
      </c>
      <c r="E4171" s="3">
        <v>1</v>
      </c>
      <c r="F4171" s="189">
        <v>7654949.4443380004</v>
      </c>
      <c r="G4171" s="3" t="s">
        <v>335</v>
      </c>
      <c r="H4171" s="79">
        <f t="shared" si="625"/>
        <v>1.6353492027670193</v>
      </c>
    </row>
    <row r="4172" spans="1:16" x14ac:dyDescent="0.25">
      <c r="A4172" s="3" t="s">
        <v>1630</v>
      </c>
      <c r="B4172" s="3" t="s">
        <v>333</v>
      </c>
      <c r="C4172" s="3">
        <v>25</v>
      </c>
      <c r="D4172" s="189">
        <v>1393410.723403</v>
      </c>
      <c r="E4172" s="3">
        <v>1</v>
      </c>
      <c r="F4172" s="189">
        <v>429341.25070700003</v>
      </c>
      <c r="G4172" s="3" t="s">
        <v>335</v>
      </c>
      <c r="H4172" s="79">
        <f t="shared" si="625"/>
        <v>0.30812253953267921</v>
      </c>
    </row>
    <row r="4173" spans="1:16" x14ac:dyDescent="0.25">
      <c r="A4173" s="3" t="s">
        <v>1631</v>
      </c>
      <c r="B4173" s="3" t="s">
        <v>333</v>
      </c>
      <c r="C4173" s="3">
        <v>25</v>
      </c>
      <c r="D4173" s="189">
        <v>6567609.1349640004</v>
      </c>
      <c r="E4173" s="3">
        <v>1</v>
      </c>
      <c r="F4173" s="189">
        <v>2467784.925969</v>
      </c>
      <c r="G4173" s="3" t="s">
        <v>335</v>
      </c>
      <c r="H4173" s="79">
        <f t="shared" si="625"/>
        <v>0.3757508821332326</v>
      </c>
    </row>
    <row r="4174" spans="1:16" x14ac:dyDescent="0.25">
      <c r="A4174" s="3" t="s">
        <v>1632</v>
      </c>
      <c r="B4174" s="3" t="s">
        <v>333</v>
      </c>
      <c r="C4174" s="3">
        <v>25</v>
      </c>
      <c r="D4174" s="189">
        <v>7604717.8718130002</v>
      </c>
      <c r="E4174" s="3">
        <v>1</v>
      </c>
      <c r="F4174" s="189">
        <v>4582412.2000219999</v>
      </c>
      <c r="G4174" s="3" t="s">
        <v>335</v>
      </c>
      <c r="H4174" s="79">
        <f t="shared" si="625"/>
        <v>0.60257491168827959</v>
      </c>
    </row>
    <row r="4175" spans="1:16" x14ac:dyDescent="0.25">
      <c r="A4175" s="3" t="s">
        <v>1633</v>
      </c>
      <c r="B4175" s="3" t="s">
        <v>333</v>
      </c>
      <c r="C4175" s="3">
        <v>25</v>
      </c>
      <c r="D4175" s="189">
        <v>11103253.652803</v>
      </c>
      <c r="E4175" s="3">
        <v>1</v>
      </c>
      <c r="F4175" s="189">
        <v>12576820.224594999</v>
      </c>
      <c r="G4175" s="3" t="s">
        <v>335</v>
      </c>
      <c r="H4175" s="79">
        <f t="shared" si="625"/>
        <v>1.1327148435828087</v>
      </c>
    </row>
    <row r="4176" spans="1:16" x14ac:dyDescent="0.25">
      <c r="A4176" s="3" t="s">
        <v>1634</v>
      </c>
      <c r="B4176" s="3" t="s">
        <v>333</v>
      </c>
      <c r="C4176" s="3">
        <v>25</v>
      </c>
      <c r="D4176" s="189">
        <v>14202421.053255999</v>
      </c>
      <c r="E4176" s="3">
        <v>1</v>
      </c>
      <c r="F4176" s="189">
        <v>5350771.2735719997</v>
      </c>
      <c r="G4176" s="3" t="s">
        <v>335</v>
      </c>
      <c r="H4176" s="79">
        <f t="shared" si="625"/>
        <v>0.37675064367601607</v>
      </c>
    </row>
    <row r="4177" spans="1:16" x14ac:dyDescent="0.25">
      <c r="A4177" s="3" t="s">
        <v>1635</v>
      </c>
      <c r="B4177" s="3" t="s">
        <v>333</v>
      </c>
      <c r="C4177" s="3">
        <v>25</v>
      </c>
      <c r="D4177" s="189">
        <v>108815714.673667</v>
      </c>
      <c r="E4177" s="3">
        <v>1</v>
      </c>
      <c r="F4177" s="189">
        <v>92208848.121158004</v>
      </c>
      <c r="G4177" s="3" t="s">
        <v>335</v>
      </c>
      <c r="H4177" s="79">
        <f t="shared" si="625"/>
        <v>0.84738540198617296</v>
      </c>
    </row>
    <row r="4178" spans="1:16" x14ac:dyDescent="0.25">
      <c r="A4178" s="3" t="s">
        <v>1636</v>
      </c>
      <c r="B4178" s="3" t="s">
        <v>333</v>
      </c>
      <c r="C4178" s="3">
        <v>25</v>
      </c>
      <c r="D4178" s="189">
        <v>14843870.546759</v>
      </c>
      <c r="E4178" s="3">
        <v>1</v>
      </c>
      <c r="F4178" s="189">
        <v>5427261.8031540001</v>
      </c>
      <c r="G4178" s="3" t="s">
        <v>335</v>
      </c>
      <c r="H4178" s="79">
        <f t="shared" si="625"/>
        <v>0.36562308907625068</v>
      </c>
    </row>
    <row r="4180" spans="1:16" ht="20" thickBot="1" x14ac:dyDescent="0.3">
      <c r="A4180" s="3" t="s">
        <v>1243</v>
      </c>
    </row>
    <row r="4181" spans="1:16" x14ac:dyDescent="0.25">
      <c r="A4181" s="3" t="s">
        <v>2</v>
      </c>
      <c r="B4181" s="3" t="s">
        <v>3</v>
      </c>
      <c r="C4181" s="3" t="s">
        <v>504</v>
      </c>
      <c r="D4181" s="189" t="s">
        <v>5</v>
      </c>
      <c r="E4181" s="3" t="s">
        <v>1247</v>
      </c>
      <c r="F4181" s="189" t="s">
        <v>505</v>
      </c>
      <c r="G4181" s="3" t="s">
        <v>506</v>
      </c>
      <c r="J4181" s="5" t="str">
        <f>A4180</f>
        <v>reality2</v>
      </c>
      <c r="K4181" s="72" t="s">
        <v>340</v>
      </c>
      <c r="L4181" s="72" t="s">
        <v>341</v>
      </c>
      <c r="M4181" s="17" t="s">
        <v>162</v>
      </c>
      <c r="N4181" s="72" t="s">
        <v>342</v>
      </c>
      <c r="O4181" s="21" t="s">
        <v>162</v>
      </c>
      <c r="P4181" s="150" t="s">
        <v>1245</v>
      </c>
    </row>
    <row r="4182" spans="1:16" x14ac:dyDescent="0.25">
      <c r="A4182" s="3" t="s">
        <v>1637</v>
      </c>
      <c r="B4182" s="3" t="s">
        <v>333</v>
      </c>
      <c r="C4182" s="3">
        <v>25</v>
      </c>
      <c r="D4182" s="189">
        <v>57523.526732999999</v>
      </c>
      <c r="E4182" s="3">
        <v>1</v>
      </c>
      <c r="F4182" s="189">
        <v>11772.277899999999</v>
      </c>
      <c r="G4182" s="3" t="s">
        <v>335</v>
      </c>
      <c r="H4182" s="79">
        <f t="shared" ref="H4182:H4196" si="629">F4182/D4182</f>
        <v>0.20465153248760212</v>
      </c>
      <c r="J4182" s="6">
        <v>100</v>
      </c>
      <c r="K4182" s="119">
        <f>D4182</f>
        <v>57523.526732999999</v>
      </c>
      <c r="L4182" s="119">
        <f>D4183</f>
        <v>69228.560630000007</v>
      </c>
      <c r="M4182" s="18">
        <f>(K4182-L4182)/K4182</f>
        <v>-0.20348254986746292</v>
      </c>
      <c r="N4182" s="73">
        <f>D4184</f>
        <v>59026.461644000003</v>
      </c>
      <c r="O4182" s="22">
        <f>(K4182-N4182)/K4182</f>
        <v>-2.6127308187761076E-2</v>
      </c>
      <c r="P4182" s="151">
        <f>(L4182-N4182)/L4182</f>
        <v>0.14736835336684659</v>
      </c>
    </row>
    <row r="4183" spans="1:16" x14ac:dyDescent="0.25">
      <c r="A4183" s="3" t="s">
        <v>1638</v>
      </c>
      <c r="B4183" s="3" t="s">
        <v>333</v>
      </c>
      <c r="C4183" s="3">
        <v>25</v>
      </c>
      <c r="D4183" s="189">
        <v>69228.560630000007</v>
      </c>
      <c r="E4183" s="3">
        <v>1</v>
      </c>
      <c r="F4183" s="189">
        <v>11903.535378</v>
      </c>
      <c r="G4183" s="3" t="s">
        <v>335</v>
      </c>
      <c r="H4183" s="79">
        <f t="shared" si="629"/>
        <v>0.17194544086536498</v>
      </c>
      <c r="J4183" s="6">
        <v>1000</v>
      </c>
      <c r="K4183" s="119">
        <f>D4185</f>
        <v>362093.40847700002</v>
      </c>
      <c r="L4183" s="119">
        <f>D4186</f>
        <v>494078.25881099998</v>
      </c>
      <c r="M4183" s="18">
        <f t="shared" ref="M4183:M4186" si="630">(K4183-L4183)/K4183</f>
        <v>-0.36450497922384456</v>
      </c>
      <c r="N4183" s="73">
        <f>D4187</f>
        <v>546953.54134999996</v>
      </c>
      <c r="O4183" s="22">
        <f t="shared" ref="O4183:O4186" si="631">(K4183-N4183)/K4183</f>
        <v>-0.51053161572462635</v>
      </c>
      <c r="P4183" s="151">
        <f t="shared" ref="P4183:P4186" si="632">(L4183-N4183)/L4183</f>
        <v>-0.10701803124518051</v>
      </c>
    </row>
    <row r="4184" spans="1:16" x14ac:dyDescent="0.25">
      <c r="A4184" s="3" t="s">
        <v>1639</v>
      </c>
      <c r="B4184" s="3" t="s">
        <v>333</v>
      </c>
      <c r="C4184" s="3">
        <v>25</v>
      </c>
      <c r="D4184" s="189">
        <v>59026.461644000003</v>
      </c>
      <c r="E4184" s="3">
        <v>1</v>
      </c>
      <c r="F4184" s="189">
        <v>10850.078664000001</v>
      </c>
      <c r="G4184" s="3" t="s">
        <v>335</v>
      </c>
      <c r="H4184" s="79">
        <f t="shared" si="629"/>
        <v>0.18381719591187631</v>
      </c>
      <c r="J4184" s="6">
        <v>10000</v>
      </c>
      <c r="K4184" s="119">
        <f>D4188</f>
        <v>3175032.7270240001</v>
      </c>
      <c r="L4184" s="119">
        <f>D4189</f>
        <v>12646917.412196999</v>
      </c>
      <c r="M4184" s="18">
        <f t="shared" si="630"/>
        <v>-2.9832400165686233</v>
      </c>
      <c r="N4184" s="73">
        <f>D4190</f>
        <v>5299348.5607939996</v>
      </c>
      <c r="O4184" s="22">
        <f t="shared" si="631"/>
        <v>-0.66906895657770071</v>
      </c>
      <c r="P4184" s="151">
        <f t="shared" si="632"/>
        <v>0.5809770564577913</v>
      </c>
    </row>
    <row r="4185" spans="1:16" x14ac:dyDescent="0.25">
      <c r="A4185" s="3" t="s">
        <v>1640</v>
      </c>
      <c r="B4185" s="3" t="s">
        <v>333</v>
      </c>
      <c r="C4185" s="3">
        <v>25</v>
      </c>
      <c r="D4185" s="189">
        <v>362093.40847700002</v>
      </c>
      <c r="E4185" s="3">
        <v>1</v>
      </c>
      <c r="F4185" s="189">
        <v>47761.838477999998</v>
      </c>
      <c r="G4185" s="3" t="s">
        <v>335</v>
      </c>
      <c r="H4185" s="79">
        <f t="shared" si="629"/>
        <v>0.13190474435558194</v>
      </c>
      <c r="J4185" s="6">
        <v>50000</v>
      </c>
      <c r="K4185" s="119">
        <f>D4191</f>
        <v>18375068.633202001</v>
      </c>
      <c r="L4185" s="119">
        <f>D4192</f>
        <v>41277009.276919998</v>
      </c>
      <c r="M4185" s="18">
        <f t="shared" si="630"/>
        <v>-1.2463594613375413</v>
      </c>
      <c r="N4185" s="73">
        <f>D4193</f>
        <v>21882443.699127</v>
      </c>
      <c r="O4185" s="22">
        <f t="shared" si="631"/>
        <v>-0.19087684165639007</v>
      </c>
      <c r="P4185" s="151">
        <f t="shared" si="632"/>
        <v>0.46986363395851577</v>
      </c>
    </row>
    <row r="4186" spans="1:16" x14ac:dyDescent="0.25">
      <c r="A4186" s="3" t="s">
        <v>1641</v>
      </c>
      <c r="B4186" s="3" t="s">
        <v>333</v>
      </c>
      <c r="C4186" s="3">
        <v>25</v>
      </c>
      <c r="D4186" s="189">
        <v>494078.25881099998</v>
      </c>
      <c r="E4186" s="3">
        <v>1</v>
      </c>
      <c r="F4186" s="189">
        <v>83288.080818000002</v>
      </c>
      <c r="G4186" s="3" t="s">
        <v>335</v>
      </c>
      <c r="H4186" s="79">
        <f t="shared" si="629"/>
        <v>0.16857264883185286</v>
      </c>
      <c r="J4186" s="6">
        <v>100000</v>
      </c>
      <c r="K4186" s="119">
        <f>D4194</f>
        <v>38863056.901096001</v>
      </c>
      <c r="L4186" s="119">
        <f>D4195</f>
        <v>193062131.271909</v>
      </c>
      <c r="M4186" s="18">
        <f t="shared" si="630"/>
        <v>-3.9677546406923114</v>
      </c>
      <c r="N4186" s="158">
        <f>D4196</f>
        <v>45150429.363371</v>
      </c>
      <c r="O4186" s="22">
        <f t="shared" si="631"/>
        <v>-0.16178275626325433</v>
      </c>
      <c r="P4186" s="151">
        <f t="shared" si="632"/>
        <v>0.76613523809192241</v>
      </c>
    </row>
    <row r="4187" spans="1:16" x14ac:dyDescent="0.25">
      <c r="A4187" s="3" t="s">
        <v>1642</v>
      </c>
      <c r="B4187" s="3" t="s">
        <v>333</v>
      </c>
      <c r="C4187" s="3">
        <v>25</v>
      </c>
      <c r="D4187" s="189">
        <v>546953.54134999996</v>
      </c>
      <c r="E4187" s="3">
        <v>1</v>
      </c>
      <c r="F4187" s="189">
        <v>42382.825251000002</v>
      </c>
      <c r="G4187" s="3" t="s">
        <v>335</v>
      </c>
      <c r="H4187" s="79">
        <f t="shared" si="629"/>
        <v>7.7488894479757819E-2</v>
      </c>
    </row>
    <row r="4188" spans="1:16" x14ac:dyDescent="0.25">
      <c r="A4188" s="3" t="s">
        <v>1643</v>
      </c>
      <c r="B4188" s="3" t="s">
        <v>333</v>
      </c>
      <c r="C4188" s="3">
        <v>25</v>
      </c>
      <c r="D4188" s="189">
        <v>3175032.7270240001</v>
      </c>
      <c r="E4188" s="3">
        <v>1</v>
      </c>
      <c r="F4188" s="189">
        <v>371984.92321600002</v>
      </c>
      <c r="G4188" s="3" t="s">
        <v>335</v>
      </c>
      <c r="H4188" s="79">
        <f t="shared" si="629"/>
        <v>0.11715939809057224</v>
      </c>
    </row>
    <row r="4189" spans="1:16" x14ac:dyDescent="0.25">
      <c r="A4189" s="3" t="s">
        <v>1644</v>
      </c>
      <c r="B4189" s="3" t="s">
        <v>333</v>
      </c>
      <c r="C4189" s="3">
        <v>25</v>
      </c>
      <c r="D4189" s="189">
        <v>12646917.412196999</v>
      </c>
      <c r="E4189" s="3">
        <v>1</v>
      </c>
      <c r="F4189" s="189">
        <v>9485967.4428809993</v>
      </c>
      <c r="G4189" s="3" t="s">
        <v>335</v>
      </c>
      <c r="H4189" s="79">
        <f t="shared" si="629"/>
        <v>0.75006162637960283</v>
      </c>
    </row>
    <row r="4190" spans="1:16" x14ac:dyDescent="0.25">
      <c r="A4190" s="3" t="s">
        <v>1645</v>
      </c>
      <c r="B4190" s="3" t="s">
        <v>333</v>
      </c>
      <c r="C4190" s="3">
        <v>25</v>
      </c>
      <c r="D4190" s="189">
        <v>5299348.5607939996</v>
      </c>
      <c r="E4190" s="3">
        <v>1</v>
      </c>
      <c r="F4190" s="189">
        <v>450923.78670499998</v>
      </c>
      <c r="G4190" s="3" t="s">
        <v>335</v>
      </c>
      <c r="H4190" s="79">
        <f t="shared" si="629"/>
        <v>8.5090418479179683E-2</v>
      </c>
    </row>
    <row r="4191" spans="1:16" x14ac:dyDescent="0.25">
      <c r="A4191" s="3" t="s">
        <v>1646</v>
      </c>
      <c r="B4191" s="3" t="s">
        <v>333</v>
      </c>
      <c r="C4191" s="3">
        <v>25</v>
      </c>
      <c r="D4191" s="189">
        <v>18375068.633202001</v>
      </c>
      <c r="E4191" s="3">
        <v>1</v>
      </c>
      <c r="F4191" s="189">
        <v>1389288.3567019999</v>
      </c>
      <c r="G4191" s="3" t="s">
        <v>335</v>
      </c>
      <c r="H4191" s="79">
        <f t="shared" si="629"/>
        <v>7.560724721276349E-2</v>
      </c>
    </row>
    <row r="4192" spans="1:16" x14ac:dyDescent="0.25">
      <c r="A4192" s="3" t="s">
        <v>1647</v>
      </c>
      <c r="B4192" s="3" t="s">
        <v>333</v>
      </c>
      <c r="C4192" s="3">
        <v>25</v>
      </c>
      <c r="D4192" s="189">
        <v>41277009.276919998</v>
      </c>
      <c r="E4192" s="3">
        <v>1</v>
      </c>
      <c r="F4192" s="189">
        <v>27898278.094617002</v>
      </c>
      <c r="G4192" s="3" t="s">
        <v>335</v>
      </c>
      <c r="H4192" s="79">
        <f t="shared" si="629"/>
        <v>0.67587934744623801</v>
      </c>
    </row>
    <row r="4193" spans="1:16" x14ac:dyDescent="0.25">
      <c r="A4193" s="3" t="s">
        <v>1648</v>
      </c>
      <c r="B4193" s="3" t="s">
        <v>333</v>
      </c>
      <c r="C4193" s="3">
        <v>25</v>
      </c>
      <c r="D4193" s="189">
        <v>21882443.699127</v>
      </c>
      <c r="E4193" s="3">
        <v>1</v>
      </c>
      <c r="F4193" s="189">
        <v>1110263.394964</v>
      </c>
      <c r="G4193" s="3" t="s">
        <v>335</v>
      </c>
      <c r="H4193" s="79">
        <f t="shared" si="629"/>
        <v>5.0737632881847378E-2</v>
      </c>
    </row>
    <row r="4194" spans="1:16" x14ac:dyDescent="0.25">
      <c r="A4194" s="3" t="s">
        <v>1649</v>
      </c>
      <c r="B4194" s="3" t="s">
        <v>333</v>
      </c>
      <c r="C4194" s="3">
        <v>25</v>
      </c>
      <c r="D4194" s="189">
        <v>38863056.901096001</v>
      </c>
      <c r="E4194" s="3">
        <v>1</v>
      </c>
      <c r="F4194" s="189">
        <v>2086995.018807</v>
      </c>
      <c r="G4194" s="3" t="s">
        <v>335</v>
      </c>
      <c r="H4194" s="79">
        <f t="shared" si="629"/>
        <v>5.3701257317927131E-2</v>
      </c>
    </row>
    <row r="4195" spans="1:16" x14ac:dyDescent="0.25">
      <c r="A4195" s="3" t="s">
        <v>1650</v>
      </c>
      <c r="B4195" s="3" t="s">
        <v>333</v>
      </c>
      <c r="C4195" s="3">
        <v>25</v>
      </c>
      <c r="D4195" s="189">
        <v>193062131.271909</v>
      </c>
      <c r="E4195" s="3">
        <v>1</v>
      </c>
      <c r="F4195" s="189">
        <v>110675334.925459</v>
      </c>
      <c r="G4195" s="3" t="s">
        <v>335</v>
      </c>
      <c r="H4195" s="79">
        <f t="shared" si="629"/>
        <v>0.57326278434989242</v>
      </c>
    </row>
    <row r="4196" spans="1:16" x14ac:dyDescent="0.25">
      <c r="A4196" s="3" t="s">
        <v>1651</v>
      </c>
      <c r="B4196" s="3" t="s">
        <v>333</v>
      </c>
      <c r="C4196" s="3">
        <v>25</v>
      </c>
      <c r="D4196" s="189">
        <v>45150429.363371</v>
      </c>
      <c r="E4196" s="3">
        <v>1</v>
      </c>
      <c r="F4196" s="189">
        <v>3150643.828284</v>
      </c>
      <c r="G4196" s="3" t="s">
        <v>335</v>
      </c>
      <c r="H4196" s="79">
        <f t="shared" si="629"/>
        <v>6.9781038025742662E-2</v>
      </c>
    </row>
    <row r="4198" spans="1:16" ht="20" thickBot="1" x14ac:dyDescent="0.3">
      <c r="A4198" s="3" t="s">
        <v>964</v>
      </c>
    </row>
    <row r="4199" spans="1:16" x14ac:dyDescent="0.25">
      <c r="A4199" s="3" t="s">
        <v>2</v>
      </c>
      <c r="B4199" s="3" t="s">
        <v>3</v>
      </c>
      <c r="C4199" s="3" t="s">
        <v>504</v>
      </c>
      <c r="D4199" s="189" t="s">
        <v>5</v>
      </c>
      <c r="E4199" s="3" t="s">
        <v>1247</v>
      </c>
      <c r="F4199" s="189" t="s">
        <v>505</v>
      </c>
      <c r="G4199" s="3" t="s">
        <v>506</v>
      </c>
      <c r="J4199" s="5" t="str">
        <f>A4198</f>
        <v>sort2</v>
      </c>
      <c r="K4199" s="72" t="s">
        <v>340</v>
      </c>
      <c r="L4199" s="72" t="s">
        <v>341</v>
      </c>
      <c r="M4199" s="17" t="s">
        <v>162</v>
      </c>
      <c r="N4199" s="72" t="s">
        <v>342</v>
      </c>
      <c r="O4199" s="21" t="s">
        <v>162</v>
      </c>
      <c r="P4199" s="150" t="s">
        <v>1245</v>
      </c>
    </row>
    <row r="4200" spans="1:16" x14ac:dyDescent="0.25">
      <c r="A4200" s="3" t="s">
        <v>1652</v>
      </c>
      <c r="B4200" s="3" t="s">
        <v>333</v>
      </c>
      <c r="C4200" s="3">
        <v>25</v>
      </c>
      <c r="D4200" s="189">
        <v>62989.421921000001</v>
      </c>
      <c r="E4200" s="3">
        <v>1</v>
      </c>
      <c r="F4200" s="189">
        <v>63619.459709000002</v>
      </c>
      <c r="G4200" s="3" t="s">
        <v>335</v>
      </c>
      <c r="H4200" s="79">
        <f t="shared" ref="H4200:H4214" si="633">F4200/D4200</f>
        <v>1.0100022792523828</v>
      </c>
      <c r="J4200" s="6">
        <v>100</v>
      </c>
      <c r="K4200" s="119">
        <f>D4200</f>
        <v>62989.421921000001</v>
      </c>
      <c r="L4200" s="119">
        <f>D4201</f>
        <v>33122.318371000001</v>
      </c>
      <c r="M4200" s="18">
        <f>(K4200-L4200)/K4200</f>
        <v>0.47416062315127594</v>
      </c>
      <c r="N4200" s="73">
        <f>D4202</f>
        <v>31418.868052999998</v>
      </c>
      <c r="O4200" s="22">
        <f>(K4200-N4200)/K4200</f>
        <v>0.50120405784315858</v>
      </c>
      <c r="P4200" s="151">
        <f>(L4200-N4200)/L4200</f>
        <v>5.142907869309795E-2</v>
      </c>
    </row>
    <row r="4201" spans="1:16" x14ac:dyDescent="0.25">
      <c r="A4201" s="3" t="s">
        <v>1653</v>
      </c>
      <c r="B4201" s="3" t="s">
        <v>333</v>
      </c>
      <c r="C4201" s="3">
        <v>25</v>
      </c>
      <c r="D4201" s="189">
        <v>33122.318371000001</v>
      </c>
      <c r="E4201" s="3">
        <v>1</v>
      </c>
      <c r="F4201" s="189">
        <v>44738.569793000002</v>
      </c>
      <c r="G4201" s="3" t="s">
        <v>335</v>
      </c>
      <c r="H4201" s="79">
        <f t="shared" si="633"/>
        <v>1.3507076796946231</v>
      </c>
      <c r="J4201" s="6">
        <v>1000</v>
      </c>
      <c r="K4201" s="119">
        <f>D4203</f>
        <v>242039.24819799999</v>
      </c>
      <c r="L4201" s="119">
        <f>D4204</f>
        <v>178808.70236900001</v>
      </c>
      <c r="M4201" s="18">
        <f t="shared" ref="M4201:M4204" si="634">(K4201-L4201)/K4201</f>
        <v>0.26124087849287275</v>
      </c>
      <c r="N4201" s="73">
        <f>D4205</f>
        <v>205666.55148699999</v>
      </c>
      <c r="O4201" s="22">
        <f t="shared" ref="O4201:O4204" si="635">(K4201-N4201)/K4201</f>
        <v>0.15027602746991409</v>
      </c>
      <c r="P4201" s="151">
        <f t="shared" ref="P4201:P4204" si="636">(L4201-N4201)/L4201</f>
        <v>-0.15020437351295446</v>
      </c>
    </row>
    <row r="4202" spans="1:16" x14ac:dyDescent="0.25">
      <c r="A4202" s="3" t="s">
        <v>1654</v>
      </c>
      <c r="B4202" s="3" t="s">
        <v>333</v>
      </c>
      <c r="C4202" s="3">
        <v>25</v>
      </c>
      <c r="D4202" s="189">
        <v>31418.868052999998</v>
      </c>
      <c r="E4202" s="3">
        <v>1</v>
      </c>
      <c r="F4202" s="189">
        <v>28605.364820999999</v>
      </c>
      <c r="G4202" s="3" t="s">
        <v>335</v>
      </c>
      <c r="H4202" s="79">
        <f t="shared" si="633"/>
        <v>0.91045179516798813</v>
      </c>
      <c r="J4202" s="6">
        <v>10000</v>
      </c>
      <c r="K4202" s="119">
        <f>D4206</f>
        <v>2743390.796044</v>
      </c>
      <c r="L4202" s="119">
        <f>D4207</f>
        <v>10502286.926198</v>
      </c>
      <c r="M4202" s="18">
        <f t="shared" si="634"/>
        <v>-2.8282139538203652</v>
      </c>
      <c r="N4202" s="73">
        <f>D4208</f>
        <v>3625443.1107470002</v>
      </c>
      <c r="O4202" s="22">
        <f t="shared" si="635"/>
        <v>-0.32151901798858895</v>
      </c>
      <c r="P4202" s="151">
        <f t="shared" si="636"/>
        <v>0.65479489027258275</v>
      </c>
    </row>
    <row r="4203" spans="1:16" x14ac:dyDescent="0.25">
      <c r="A4203" s="3" t="s">
        <v>1655</v>
      </c>
      <c r="B4203" s="3" t="s">
        <v>333</v>
      </c>
      <c r="C4203" s="3">
        <v>25</v>
      </c>
      <c r="D4203" s="189">
        <v>242039.24819799999</v>
      </c>
      <c r="E4203" s="3">
        <v>1</v>
      </c>
      <c r="F4203" s="189">
        <v>127737.179197</v>
      </c>
      <c r="G4203" s="3" t="s">
        <v>335</v>
      </c>
      <c r="H4203" s="79">
        <f t="shared" si="633"/>
        <v>0.52775399092507802</v>
      </c>
      <c r="J4203" s="6">
        <v>50000</v>
      </c>
      <c r="K4203" s="119">
        <f>D4209</f>
        <v>14275196.520629</v>
      </c>
      <c r="L4203" s="119">
        <f>D4210</f>
        <v>105555458.490908</v>
      </c>
      <c r="M4203" s="18">
        <f t="shared" si="634"/>
        <v>-6.3943261193196497</v>
      </c>
      <c r="N4203" s="73">
        <f>D4211</f>
        <v>16920832.801513001</v>
      </c>
      <c r="O4203" s="22">
        <f t="shared" si="635"/>
        <v>-0.18533098840781689</v>
      </c>
      <c r="P4203" s="151">
        <f t="shared" si="636"/>
        <v>0.83969722605136077</v>
      </c>
    </row>
    <row r="4204" spans="1:16" x14ac:dyDescent="0.25">
      <c r="A4204" s="3" t="s">
        <v>1656</v>
      </c>
      <c r="B4204" s="3" t="s">
        <v>333</v>
      </c>
      <c r="C4204" s="3">
        <v>25</v>
      </c>
      <c r="D4204" s="189">
        <v>178808.70236900001</v>
      </c>
      <c r="E4204" s="3">
        <v>1</v>
      </c>
      <c r="F4204" s="189">
        <v>49213.271520000002</v>
      </c>
      <c r="G4204" s="3" t="s">
        <v>335</v>
      </c>
      <c r="H4204" s="79">
        <f t="shared" si="633"/>
        <v>0.27522861509525776</v>
      </c>
      <c r="J4204" s="6">
        <v>100000</v>
      </c>
      <c r="K4204" s="119">
        <f>D4212</f>
        <v>28997630.354501002</v>
      </c>
      <c r="L4204" s="119">
        <f>D4213</f>
        <v>33532779.412195999</v>
      </c>
      <c r="M4204" s="18">
        <f t="shared" si="634"/>
        <v>-0.15639722978229681</v>
      </c>
      <c r="N4204" s="158">
        <f>D4214</f>
        <v>47180555.241246</v>
      </c>
      <c r="O4204" s="22">
        <f t="shared" si="635"/>
        <v>-0.62704864723274367</v>
      </c>
      <c r="P4204" s="151">
        <f t="shared" si="636"/>
        <v>-0.40699804991668104</v>
      </c>
    </row>
    <row r="4205" spans="1:16" x14ac:dyDescent="0.25">
      <c r="A4205" s="3" t="s">
        <v>1657</v>
      </c>
      <c r="B4205" s="3" t="s">
        <v>333</v>
      </c>
      <c r="C4205" s="3">
        <v>25</v>
      </c>
      <c r="D4205" s="189">
        <v>205666.55148699999</v>
      </c>
      <c r="E4205" s="3">
        <v>1</v>
      </c>
      <c r="F4205" s="189">
        <v>72571.610578000007</v>
      </c>
      <c r="G4205" s="3" t="s">
        <v>335</v>
      </c>
      <c r="H4205" s="79">
        <f t="shared" si="633"/>
        <v>0.35286054077970574</v>
      </c>
    </row>
    <row r="4206" spans="1:16" x14ac:dyDescent="0.25">
      <c r="A4206" s="3" t="s">
        <v>1658</v>
      </c>
      <c r="B4206" s="3" t="s">
        <v>333</v>
      </c>
      <c r="C4206" s="3">
        <v>25</v>
      </c>
      <c r="D4206" s="189">
        <v>2743390.796044</v>
      </c>
      <c r="E4206" s="3">
        <v>1</v>
      </c>
      <c r="F4206" s="189">
        <v>826024.36710799998</v>
      </c>
      <c r="G4206" s="3" t="s">
        <v>335</v>
      </c>
      <c r="H4206" s="79">
        <f t="shared" si="633"/>
        <v>0.30109613559217896</v>
      </c>
    </row>
    <row r="4207" spans="1:16" x14ac:dyDescent="0.25">
      <c r="A4207" s="3" t="s">
        <v>1659</v>
      </c>
      <c r="B4207" s="3" t="s">
        <v>333</v>
      </c>
      <c r="C4207" s="3">
        <v>25</v>
      </c>
      <c r="D4207" s="189">
        <v>10502286.926198</v>
      </c>
      <c r="E4207" s="3">
        <v>1</v>
      </c>
      <c r="F4207" s="189">
        <v>6437659.7482820004</v>
      </c>
      <c r="G4207" s="3" t="s">
        <v>335</v>
      </c>
      <c r="H4207" s="79">
        <f t="shared" si="633"/>
        <v>0.61297694430945615</v>
      </c>
    </row>
    <row r="4208" spans="1:16" x14ac:dyDescent="0.25">
      <c r="A4208" s="3" t="s">
        <v>1660</v>
      </c>
      <c r="B4208" s="3" t="s">
        <v>333</v>
      </c>
      <c r="C4208" s="3">
        <v>25</v>
      </c>
      <c r="D4208" s="189">
        <v>3625443.1107470002</v>
      </c>
      <c r="E4208" s="3">
        <v>1</v>
      </c>
      <c r="F4208" s="189">
        <v>2201088.092772</v>
      </c>
      <c r="G4208" s="3" t="s">
        <v>335</v>
      </c>
      <c r="H4208" s="79">
        <f t="shared" si="633"/>
        <v>0.60712250214249797</v>
      </c>
    </row>
    <row r="4209" spans="1:16" x14ac:dyDescent="0.25">
      <c r="A4209" s="3" t="s">
        <v>1661</v>
      </c>
      <c r="B4209" s="3" t="s">
        <v>333</v>
      </c>
      <c r="C4209" s="3">
        <v>25</v>
      </c>
      <c r="D4209" s="189">
        <v>14275196.520629</v>
      </c>
      <c r="E4209" s="3">
        <v>1</v>
      </c>
      <c r="F4209" s="189">
        <v>4934086.9195739999</v>
      </c>
      <c r="G4209" s="3" t="s">
        <v>335</v>
      </c>
      <c r="H4209" s="79">
        <f t="shared" si="633"/>
        <v>0.34564056000516569</v>
      </c>
    </row>
    <row r="4210" spans="1:16" x14ac:dyDescent="0.25">
      <c r="A4210" s="3" t="s">
        <v>1662</v>
      </c>
      <c r="B4210" s="3" t="s">
        <v>333</v>
      </c>
      <c r="C4210" s="3">
        <v>25</v>
      </c>
      <c r="D4210" s="189">
        <v>105555458.490908</v>
      </c>
      <c r="E4210" s="3">
        <v>1</v>
      </c>
      <c r="F4210" s="189">
        <v>62787350.411206</v>
      </c>
      <c r="G4210" s="3" t="s">
        <v>335</v>
      </c>
      <c r="H4210" s="79">
        <f t="shared" si="633"/>
        <v>0.59482807719142428</v>
      </c>
    </row>
    <row r="4211" spans="1:16" x14ac:dyDescent="0.25">
      <c r="A4211" s="3" t="s">
        <v>1663</v>
      </c>
      <c r="B4211" s="3" t="s">
        <v>333</v>
      </c>
      <c r="C4211" s="3">
        <v>25</v>
      </c>
      <c r="D4211" s="189">
        <v>16920832.801513001</v>
      </c>
      <c r="E4211" s="3">
        <v>1</v>
      </c>
      <c r="F4211" s="189">
        <v>5092901.529906</v>
      </c>
      <c r="G4211" s="3" t="s">
        <v>335</v>
      </c>
      <c r="H4211" s="79">
        <f t="shared" si="633"/>
        <v>0.30098409396555298</v>
      </c>
    </row>
    <row r="4212" spans="1:16" x14ac:dyDescent="0.25">
      <c r="A4212" s="3" t="s">
        <v>1664</v>
      </c>
      <c r="B4212" s="3" t="s">
        <v>333</v>
      </c>
      <c r="C4212" s="3">
        <v>25</v>
      </c>
      <c r="D4212" s="189">
        <v>28997630.354501002</v>
      </c>
      <c r="E4212" s="3">
        <v>1</v>
      </c>
      <c r="F4212" s="189">
        <v>8088218.1985360002</v>
      </c>
      <c r="G4212" s="3" t="s">
        <v>335</v>
      </c>
      <c r="H4212" s="79">
        <f t="shared" si="633"/>
        <v>0.278926867459725</v>
      </c>
    </row>
    <row r="4213" spans="1:16" x14ac:dyDescent="0.25">
      <c r="A4213" s="3" t="s">
        <v>1665</v>
      </c>
      <c r="B4213" s="3" t="s">
        <v>333</v>
      </c>
      <c r="C4213" s="3">
        <v>25</v>
      </c>
      <c r="D4213" s="189">
        <v>33532779.412195999</v>
      </c>
      <c r="E4213" s="3">
        <v>1</v>
      </c>
      <c r="F4213" s="189">
        <v>8234565.9453999996</v>
      </c>
      <c r="G4213" s="3" t="s">
        <v>335</v>
      </c>
      <c r="H4213" s="79">
        <f t="shared" si="633"/>
        <v>0.24556765319623511</v>
      </c>
    </row>
    <row r="4214" spans="1:16" x14ac:dyDescent="0.25">
      <c r="A4214" s="3" t="s">
        <v>1666</v>
      </c>
      <c r="B4214" s="3" t="s">
        <v>333</v>
      </c>
      <c r="C4214" s="3">
        <v>25</v>
      </c>
      <c r="D4214" s="189">
        <v>47180555.241246</v>
      </c>
      <c r="E4214" s="3">
        <v>1</v>
      </c>
      <c r="F4214" s="189">
        <v>20954900.634746999</v>
      </c>
      <c r="G4214" s="3" t="s">
        <v>335</v>
      </c>
      <c r="H4214" s="79">
        <f t="shared" si="633"/>
        <v>0.4441427305719346</v>
      </c>
    </row>
    <row r="4216" spans="1:16" ht="20" thickBot="1" x14ac:dyDescent="0.3">
      <c r="A4216" s="3" t="s">
        <v>980</v>
      </c>
    </row>
    <row r="4217" spans="1:16" x14ac:dyDescent="0.25">
      <c r="A4217" s="3" t="s">
        <v>2</v>
      </c>
      <c r="B4217" s="3" t="s">
        <v>3</v>
      </c>
      <c r="C4217" s="3" t="s">
        <v>504</v>
      </c>
      <c r="D4217" s="189" t="s">
        <v>5</v>
      </c>
      <c r="E4217" s="3" t="s">
        <v>1247</v>
      </c>
      <c r="F4217" s="189" t="s">
        <v>505</v>
      </c>
      <c r="G4217" s="3" t="s">
        <v>506</v>
      </c>
      <c r="J4217" s="5" t="str">
        <f>A4216</f>
        <v>take2_10</v>
      </c>
      <c r="K4217" s="72" t="s">
        <v>340</v>
      </c>
      <c r="L4217" s="72" t="s">
        <v>341</v>
      </c>
      <c r="M4217" s="17" t="s">
        <v>162</v>
      </c>
      <c r="N4217" s="72" t="s">
        <v>342</v>
      </c>
      <c r="O4217" s="21" t="s">
        <v>162</v>
      </c>
      <c r="P4217" s="150" t="s">
        <v>1245</v>
      </c>
    </row>
    <row r="4218" spans="1:16" x14ac:dyDescent="0.25">
      <c r="A4218" s="3" t="s">
        <v>1667</v>
      </c>
      <c r="B4218" s="3" t="s">
        <v>333</v>
      </c>
      <c r="C4218" s="3">
        <v>25</v>
      </c>
      <c r="D4218" s="189">
        <v>151.208854</v>
      </c>
      <c r="E4218" s="3">
        <v>1</v>
      </c>
      <c r="F4218" s="189">
        <v>14.105684</v>
      </c>
      <c r="G4218" s="3" t="s">
        <v>335</v>
      </c>
      <c r="H4218" s="79">
        <f t="shared" ref="H4218:H4232" si="637">F4218/D4218</f>
        <v>9.3286098180467653E-2</v>
      </c>
      <c r="J4218" s="6">
        <v>100</v>
      </c>
      <c r="K4218" s="119">
        <f>D4218</f>
        <v>151.208854</v>
      </c>
      <c r="L4218" s="119">
        <f>D4219</f>
        <v>64.236260000000001</v>
      </c>
      <c r="M4218" s="18">
        <f>(K4218-L4218)/K4218</f>
        <v>0.575181887166475</v>
      </c>
      <c r="N4218" s="73">
        <f>D4220</f>
        <v>143.85274799999999</v>
      </c>
      <c r="O4218" s="22">
        <f>(K4218-N4218)/K4218</f>
        <v>4.8648645931805096E-2</v>
      </c>
      <c r="P4218" s="151">
        <f>(L4218-N4218)/L4218</f>
        <v>-1.2394321836296196</v>
      </c>
    </row>
    <row r="4219" spans="1:16" x14ac:dyDescent="0.25">
      <c r="A4219" s="3" t="s">
        <v>1668</v>
      </c>
      <c r="B4219" s="3" t="s">
        <v>333</v>
      </c>
      <c r="C4219" s="3">
        <v>25</v>
      </c>
      <c r="D4219" s="189">
        <v>64.236260000000001</v>
      </c>
      <c r="E4219" s="3">
        <v>1</v>
      </c>
      <c r="F4219" s="189">
        <v>3.6554009999999999</v>
      </c>
      <c r="G4219" s="3" t="s">
        <v>335</v>
      </c>
      <c r="H4219" s="79">
        <f t="shared" si="637"/>
        <v>5.6905570156170357E-2</v>
      </c>
      <c r="J4219" s="6">
        <v>1000</v>
      </c>
      <c r="K4219" s="119">
        <f>D4221</f>
        <v>885.382924</v>
      </c>
      <c r="L4219" s="119">
        <f>D4222</f>
        <v>206.93893399999999</v>
      </c>
      <c r="M4219" s="18">
        <f t="shared" ref="M4219:M4222" si="638">(K4219-L4219)/K4219</f>
        <v>0.7662718261324859</v>
      </c>
      <c r="N4219" s="73">
        <f>D4223</f>
        <v>367.24975999999998</v>
      </c>
      <c r="O4219" s="22">
        <f t="shared" ref="O4219:O4222" si="639">(K4219-N4219)/K4219</f>
        <v>0.58520799301071691</v>
      </c>
      <c r="P4219" s="151">
        <f t="shared" ref="P4219:P4222" si="640">(L4219-N4219)/L4219</f>
        <v>-0.77467696823063759</v>
      </c>
    </row>
    <row r="4220" spans="1:16" x14ac:dyDescent="0.25">
      <c r="A4220" s="3" t="s">
        <v>1669</v>
      </c>
      <c r="B4220" s="3" t="s">
        <v>333</v>
      </c>
      <c r="C4220" s="3">
        <v>25</v>
      </c>
      <c r="D4220" s="189">
        <v>143.85274799999999</v>
      </c>
      <c r="E4220" s="3">
        <v>1</v>
      </c>
      <c r="F4220" s="189">
        <v>25.411728</v>
      </c>
      <c r="G4220" s="3" t="s">
        <v>335</v>
      </c>
      <c r="H4220" s="79">
        <f t="shared" si="637"/>
        <v>0.17665097367483032</v>
      </c>
      <c r="J4220" s="6">
        <v>10000</v>
      </c>
      <c r="K4220" s="119">
        <f>D4224</f>
        <v>8559.8066099999996</v>
      </c>
      <c r="L4220" s="119">
        <f>D4225</f>
        <v>1980.3856900000001</v>
      </c>
      <c r="M4220" s="18">
        <f t="shared" si="638"/>
        <v>0.76864130461938085</v>
      </c>
      <c r="N4220" s="73">
        <f>D4226</f>
        <v>15248.971879999999</v>
      </c>
      <c r="O4220" s="22">
        <f t="shared" si="639"/>
        <v>-0.78146219590818533</v>
      </c>
      <c r="P4220" s="151">
        <f t="shared" si="640"/>
        <v>-6.70000104373608</v>
      </c>
    </row>
    <row r="4221" spans="1:16" x14ac:dyDescent="0.25">
      <c r="A4221" s="3" t="s">
        <v>1670</v>
      </c>
      <c r="B4221" s="3" t="s">
        <v>333</v>
      </c>
      <c r="C4221" s="3">
        <v>25</v>
      </c>
      <c r="D4221" s="189">
        <v>885.382924</v>
      </c>
      <c r="E4221" s="3">
        <v>1</v>
      </c>
      <c r="F4221" s="189">
        <v>77.157073999999994</v>
      </c>
      <c r="G4221" s="3" t="s">
        <v>335</v>
      </c>
      <c r="H4221" s="79">
        <f t="shared" si="637"/>
        <v>8.7145428162786656E-2</v>
      </c>
      <c r="J4221" s="6">
        <v>50000</v>
      </c>
      <c r="K4221" s="119">
        <f>D4227</f>
        <v>43421.606972000001</v>
      </c>
      <c r="L4221" s="119">
        <f>D4228</f>
        <v>10186.667264</v>
      </c>
      <c r="M4221" s="18">
        <f t="shared" si="638"/>
        <v>0.76540096107984279</v>
      </c>
      <c r="N4221" s="73">
        <f>D4229</f>
        <v>13465.380804</v>
      </c>
      <c r="O4221" s="22">
        <f t="shared" si="639"/>
        <v>0.68989215869686671</v>
      </c>
      <c r="P4221" s="151">
        <f t="shared" si="640"/>
        <v>-0.32186322130959127</v>
      </c>
    </row>
    <row r="4222" spans="1:16" x14ac:dyDescent="0.25">
      <c r="A4222" s="3" t="s">
        <v>1671</v>
      </c>
      <c r="B4222" s="3" t="s">
        <v>333</v>
      </c>
      <c r="C4222" s="3">
        <v>25</v>
      </c>
      <c r="D4222" s="189">
        <v>206.93893399999999</v>
      </c>
      <c r="E4222" s="3">
        <v>1</v>
      </c>
      <c r="F4222" s="189">
        <v>30.238620999999998</v>
      </c>
      <c r="G4222" s="3" t="s">
        <v>335</v>
      </c>
      <c r="H4222" s="79">
        <f t="shared" si="637"/>
        <v>0.14612340179543015</v>
      </c>
      <c r="J4222" s="6">
        <v>100000</v>
      </c>
      <c r="K4222" s="119">
        <f>D4230</f>
        <v>981083.76375599997</v>
      </c>
      <c r="L4222" s="119">
        <f>D4231</f>
        <v>20277.006434999999</v>
      </c>
      <c r="M4222" s="18">
        <f t="shared" si="638"/>
        <v>0.97933203342661479</v>
      </c>
      <c r="N4222" s="158">
        <f>D4232</f>
        <v>25340.406005000001</v>
      </c>
      <c r="O4222" s="22">
        <f t="shared" si="639"/>
        <v>0.97417100665494016</v>
      </c>
      <c r="P4222" s="151">
        <f t="shared" si="640"/>
        <v>-0.24971139533003761</v>
      </c>
    </row>
    <row r="4223" spans="1:16" x14ac:dyDescent="0.25">
      <c r="A4223" s="3" t="s">
        <v>1672</v>
      </c>
      <c r="B4223" s="3" t="s">
        <v>333</v>
      </c>
      <c r="C4223" s="3">
        <v>25</v>
      </c>
      <c r="D4223" s="189">
        <v>367.24975999999998</v>
      </c>
      <c r="E4223" s="3">
        <v>1</v>
      </c>
      <c r="F4223" s="189">
        <v>24.951229000000001</v>
      </c>
      <c r="G4223" s="3" t="s">
        <v>335</v>
      </c>
      <c r="H4223" s="79">
        <f t="shared" si="637"/>
        <v>6.7940763256046796E-2</v>
      </c>
    </row>
    <row r="4224" spans="1:16" x14ac:dyDescent="0.25">
      <c r="A4224" s="3" t="s">
        <v>1673</v>
      </c>
      <c r="B4224" s="3" t="s">
        <v>333</v>
      </c>
      <c r="C4224" s="3">
        <v>25</v>
      </c>
      <c r="D4224" s="189">
        <v>8559.8066099999996</v>
      </c>
      <c r="E4224" s="3">
        <v>1</v>
      </c>
      <c r="F4224" s="189">
        <v>475.604108</v>
      </c>
      <c r="G4224" s="3" t="s">
        <v>335</v>
      </c>
      <c r="H4224" s="79">
        <f t="shared" si="637"/>
        <v>5.5562482853803635E-2</v>
      </c>
    </row>
    <row r="4225" spans="1:8" x14ac:dyDescent="0.25">
      <c r="A4225" s="3" t="s">
        <v>1674</v>
      </c>
      <c r="B4225" s="3" t="s">
        <v>333</v>
      </c>
      <c r="C4225" s="3">
        <v>25</v>
      </c>
      <c r="D4225" s="189">
        <v>1980.3856900000001</v>
      </c>
      <c r="E4225" s="3">
        <v>1</v>
      </c>
      <c r="F4225" s="189">
        <v>118.195927</v>
      </c>
      <c r="G4225" s="3" t="s">
        <v>335</v>
      </c>
      <c r="H4225" s="79">
        <f t="shared" si="637"/>
        <v>5.9683286744007927E-2</v>
      </c>
    </row>
    <row r="4226" spans="1:8" x14ac:dyDescent="0.25">
      <c r="A4226" s="3" t="s">
        <v>1675</v>
      </c>
      <c r="B4226" s="3" t="s">
        <v>333</v>
      </c>
      <c r="C4226" s="3">
        <v>25</v>
      </c>
      <c r="D4226" s="189">
        <v>15248.971879999999</v>
      </c>
      <c r="E4226" s="3">
        <v>1</v>
      </c>
      <c r="F4226" s="189">
        <v>11577.195663</v>
      </c>
      <c r="G4226" s="3" t="s">
        <v>335</v>
      </c>
      <c r="H4226" s="79">
        <f t="shared" si="637"/>
        <v>0.75921155564489118</v>
      </c>
    </row>
    <row r="4227" spans="1:8" x14ac:dyDescent="0.25">
      <c r="A4227" s="3" t="s">
        <v>1676</v>
      </c>
      <c r="B4227" s="3" t="s">
        <v>333</v>
      </c>
      <c r="C4227" s="3">
        <v>25</v>
      </c>
      <c r="D4227" s="189">
        <v>43421.606972000001</v>
      </c>
      <c r="E4227" s="3">
        <v>1</v>
      </c>
      <c r="F4227" s="189">
        <v>3017.4774000000002</v>
      </c>
      <c r="G4227" s="3" t="s">
        <v>335</v>
      </c>
      <c r="H4227" s="79">
        <f t="shared" si="637"/>
        <v>6.9492531723798046E-2</v>
      </c>
    </row>
    <row r="4228" spans="1:8" x14ac:dyDescent="0.25">
      <c r="A4228" s="3" t="s">
        <v>1677</v>
      </c>
      <c r="B4228" s="3" t="s">
        <v>333</v>
      </c>
      <c r="C4228" s="3">
        <v>25</v>
      </c>
      <c r="D4228" s="189">
        <v>10186.667264</v>
      </c>
      <c r="E4228" s="3">
        <v>1</v>
      </c>
      <c r="F4228" s="189">
        <v>380.76161300000001</v>
      </c>
      <c r="G4228" s="3" t="s">
        <v>335</v>
      </c>
      <c r="H4228" s="79">
        <f t="shared" si="637"/>
        <v>3.7378428403725669E-2</v>
      </c>
    </row>
    <row r="4229" spans="1:8" x14ac:dyDescent="0.25">
      <c r="A4229" s="3" t="s">
        <v>1678</v>
      </c>
      <c r="B4229" s="3" t="s">
        <v>333</v>
      </c>
      <c r="C4229" s="3">
        <v>25</v>
      </c>
      <c r="D4229" s="189">
        <v>13465.380804</v>
      </c>
      <c r="E4229" s="3">
        <v>1</v>
      </c>
      <c r="F4229" s="189">
        <v>568.23365699999999</v>
      </c>
      <c r="G4229" s="3" t="s">
        <v>335</v>
      </c>
      <c r="H4229" s="79">
        <f t="shared" si="637"/>
        <v>4.2199598011457763E-2</v>
      </c>
    </row>
    <row r="4230" spans="1:8" x14ac:dyDescent="0.25">
      <c r="A4230" s="3" t="s">
        <v>1679</v>
      </c>
      <c r="B4230" s="3" t="s">
        <v>333</v>
      </c>
      <c r="C4230" s="3">
        <v>25</v>
      </c>
      <c r="D4230" s="189">
        <v>981083.76375599997</v>
      </c>
      <c r="E4230" s="3">
        <v>1</v>
      </c>
      <c r="F4230" s="189">
        <v>833518.21253999998</v>
      </c>
      <c r="G4230" s="3" t="s">
        <v>335</v>
      </c>
      <c r="H4230" s="79">
        <f t="shared" si="637"/>
        <v>0.84958924337810138</v>
      </c>
    </row>
    <row r="4231" spans="1:8" x14ac:dyDescent="0.25">
      <c r="A4231" s="3" t="s">
        <v>1680</v>
      </c>
      <c r="B4231" s="3" t="s">
        <v>333</v>
      </c>
      <c r="C4231" s="3">
        <v>25</v>
      </c>
      <c r="D4231" s="189">
        <v>20277.006434999999</v>
      </c>
      <c r="E4231" s="3">
        <v>1</v>
      </c>
      <c r="F4231" s="189">
        <v>1750.646258</v>
      </c>
      <c r="G4231" s="3" t="s">
        <v>335</v>
      </c>
      <c r="H4231" s="79">
        <f t="shared" si="637"/>
        <v>8.6336524260219288E-2</v>
      </c>
    </row>
    <row r="4232" spans="1:8" x14ac:dyDescent="0.25">
      <c r="A4232" s="3" t="s">
        <v>1681</v>
      </c>
      <c r="B4232" s="3" t="s">
        <v>333</v>
      </c>
      <c r="C4232" s="3">
        <v>25</v>
      </c>
      <c r="D4232" s="189">
        <v>25340.406005000001</v>
      </c>
      <c r="E4232" s="3">
        <v>1</v>
      </c>
      <c r="F4232" s="189">
        <v>884.59156700000005</v>
      </c>
      <c r="G4232" s="3" t="s">
        <v>335</v>
      </c>
      <c r="H4232" s="79">
        <f t="shared" si="637"/>
        <v>3.4908342306175295E-2</v>
      </c>
    </row>
  </sheetData>
  <phoneticPr fontId="13" type="noConversion"/>
  <pageMargins left="0.7" right="0.7" top="0.75" bottom="0.75" header="0.3" footer="0.3"/>
  <ignoredErrors>
    <ignoredError sqref="N1847:N185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85DD-3DC2-8742-AC02-9640A235F71A}">
  <dimension ref="B1:BB268"/>
  <sheetViews>
    <sheetView topLeftCell="AA10" zoomScale="98" zoomScaleNormal="100" workbookViewId="0">
      <selection activeCell="AH48" sqref="AH48"/>
    </sheetView>
  </sheetViews>
  <sheetFormatPr baseColWidth="10" defaultRowHeight="19" x14ac:dyDescent="0.25"/>
  <cols>
    <col min="1" max="1" width="6" customWidth="1"/>
    <col min="2" max="2" width="15.5" customWidth="1"/>
    <col min="3" max="3" width="13.83203125" style="1" customWidth="1"/>
    <col min="4" max="4" width="14.6640625" style="1" customWidth="1"/>
    <col min="5" max="5" width="8.33203125" style="13" customWidth="1"/>
    <col min="6" max="6" width="14.33203125" style="1" customWidth="1"/>
    <col min="7" max="7" width="8.1640625" style="13" customWidth="1"/>
    <col min="8" max="8" width="13.5" customWidth="1"/>
    <col min="10" max="10" width="6.33203125" style="59" customWidth="1"/>
    <col min="11" max="11" width="17.33203125" customWidth="1"/>
    <col min="12" max="12" width="16" style="1" customWidth="1"/>
    <col min="13" max="13" width="16.33203125" style="1" customWidth="1"/>
    <col min="14" max="14" width="7.83203125" style="13" customWidth="1"/>
    <col min="15" max="15" width="13.6640625" style="1" customWidth="1"/>
    <col min="16" max="16" width="8.33203125" style="13" customWidth="1"/>
    <col min="17" max="17" width="14.1640625" style="1" customWidth="1"/>
    <col min="18" max="18" width="8.5" style="13" customWidth="1"/>
    <col min="19" max="19" width="5.5" style="56" customWidth="1"/>
    <col min="20" max="20" width="16" customWidth="1"/>
    <col min="21" max="21" width="15.83203125" style="1" customWidth="1"/>
    <col min="22" max="22" width="15.33203125" style="1" customWidth="1"/>
    <col min="23" max="23" width="7.6640625" customWidth="1"/>
    <col min="24" max="24" width="17.33203125" style="1" customWidth="1"/>
    <col min="25" max="25" width="6.83203125" customWidth="1"/>
    <col min="26" max="26" width="14.1640625" style="24" customWidth="1"/>
    <col min="27" max="27" width="17.6640625" style="24" customWidth="1"/>
    <col min="28" max="28" width="6.6640625" style="59" customWidth="1"/>
    <col min="29" max="29" width="15.5" customWidth="1"/>
    <col min="30" max="30" width="17.6640625" customWidth="1"/>
    <col min="31" max="31" width="16.1640625" customWidth="1"/>
    <col min="32" max="32" width="7.6640625" customWidth="1"/>
    <col min="33" max="33" width="15.5" customWidth="1"/>
    <col min="34" max="34" width="8.33203125" customWidth="1"/>
    <col min="35" max="35" width="13.33203125" customWidth="1"/>
    <col min="36" max="36" width="14.5" customWidth="1"/>
    <col min="37" max="37" width="5.6640625" style="59" customWidth="1"/>
    <col min="38" max="38" width="16.5" customWidth="1"/>
    <col min="39" max="39" width="16" customWidth="1"/>
    <col min="40" max="40" width="16.83203125" customWidth="1"/>
    <col min="42" max="42" width="13.83203125" customWidth="1"/>
    <col min="44" max="44" width="13.6640625" customWidth="1"/>
    <col min="46" max="46" width="5.6640625" style="123" customWidth="1"/>
    <col min="47" max="47" width="15.5" customWidth="1"/>
    <col min="48" max="48" width="17.6640625" customWidth="1"/>
    <col min="49" max="49" width="16.1640625" customWidth="1"/>
    <col min="50" max="50" width="7.6640625" customWidth="1"/>
    <col min="51" max="51" width="15.5" customWidth="1"/>
    <col min="52" max="52" width="8.33203125" customWidth="1"/>
    <col min="53" max="53" width="13.33203125" customWidth="1"/>
    <col min="54" max="54" width="14.5" customWidth="1"/>
  </cols>
  <sheetData>
    <row r="1" spans="2:54" ht="36" customHeight="1" x14ac:dyDescent="0.3">
      <c r="T1" s="71" t="s">
        <v>582</v>
      </c>
    </row>
    <row r="2" spans="2:54" ht="36" customHeight="1" x14ac:dyDescent="0.2">
      <c r="T2" s="135" t="s">
        <v>583</v>
      </c>
      <c r="U2" s="136"/>
      <c r="V2" s="136"/>
      <c r="W2" s="136"/>
      <c r="X2" s="136"/>
      <c r="Y2" s="136"/>
      <c r="Z2" s="136"/>
      <c r="AA2" s="136"/>
    </row>
    <row r="3" spans="2:54" ht="36" customHeight="1" x14ac:dyDescent="0.2">
      <c r="T3" s="135" t="s">
        <v>584</v>
      </c>
      <c r="U3" s="136"/>
      <c r="V3" s="136"/>
      <c r="W3" s="136"/>
      <c r="X3" s="136"/>
      <c r="Y3" s="136"/>
      <c r="Z3" s="136"/>
      <c r="AA3" s="136"/>
    </row>
    <row r="4" spans="2:54" ht="36" customHeight="1" x14ac:dyDescent="0.2">
      <c r="T4" s="76"/>
      <c r="U4" s="75"/>
      <c r="V4" s="75"/>
      <c r="W4" s="75"/>
      <c r="X4" s="75"/>
      <c r="Y4" s="75"/>
      <c r="Z4" s="76"/>
      <c r="AA4" s="76"/>
    </row>
    <row r="5" spans="2:54" ht="36" customHeight="1" x14ac:dyDescent="0.25">
      <c r="K5" s="107" t="s">
        <v>1082</v>
      </c>
      <c r="T5" s="135" t="s">
        <v>585</v>
      </c>
      <c r="U5" s="136"/>
      <c r="V5" s="136"/>
      <c r="W5" s="136"/>
      <c r="X5" s="136"/>
      <c r="Y5" s="136"/>
      <c r="Z5" s="136"/>
      <c r="AA5" s="136"/>
      <c r="AH5" s="25"/>
      <c r="AZ5" s="25"/>
    </row>
    <row r="6" spans="2:54" s="25" customFormat="1" x14ac:dyDescent="0.25">
      <c r="B6" s="32" t="s">
        <v>486</v>
      </c>
      <c r="C6" s="26"/>
      <c r="D6" s="26"/>
      <c r="E6" s="27"/>
      <c r="F6" s="26"/>
      <c r="G6" s="27"/>
      <c r="J6" s="59"/>
      <c r="K6" s="43" t="s">
        <v>487</v>
      </c>
      <c r="L6" s="26"/>
      <c r="M6" s="26"/>
      <c r="N6" s="69" t="s">
        <v>575</v>
      </c>
      <c r="O6" s="26"/>
      <c r="P6" s="27"/>
      <c r="Q6" s="26"/>
      <c r="R6" s="27"/>
      <c r="S6" s="56"/>
      <c r="T6" s="43" t="s">
        <v>487</v>
      </c>
      <c r="U6" s="26"/>
      <c r="V6" s="26"/>
      <c r="W6" s="69" t="s">
        <v>575</v>
      </c>
      <c r="X6" s="26"/>
      <c r="Z6" s="86"/>
      <c r="AA6" s="86"/>
      <c r="AB6" s="59"/>
      <c r="AC6" s="43" t="s">
        <v>487</v>
      </c>
      <c r="AD6" s="26"/>
      <c r="AE6" s="26"/>
      <c r="AF6" s="69" t="s">
        <v>575</v>
      </c>
      <c r="AG6" s="26"/>
      <c r="AH6" s="69" t="s">
        <v>723</v>
      </c>
      <c r="AK6" s="59"/>
      <c r="AT6" s="123"/>
      <c r="AU6" s="43" t="s">
        <v>487</v>
      </c>
      <c r="AV6" s="26"/>
      <c r="AW6" s="26"/>
      <c r="AX6" s="69" t="s">
        <v>575</v>
      </c>
      <c r="AY6" s="26"/>
      <c r="AZ6" s="69" t="s">
        <v>1170</v>
      </c>
    </row>
    <row r="7" spans="2:54" x14ac:dyDescent="0.25">
      <c r="B7" s="83"/>
      <c r="J7"/>
      <c r="K7" s="84"/>
      <c r="N7" s="80"/>
      <c r="S7" s="13"/>
      <c r="T7" s="30" t="s">
        <v>756</v>
      </c>
      <c r="U7" s="30" t="s">
        <v>333</v>
      </c>
      <c r="V7" s="30">
        <v>25</v>
      </c>
      <c r="X7" s="85">
        <v>27981.114000000001</v>
      </c>
      <c r="AB7"/>
      <c r="AC7" s="84"/>
      <c r="AD7" s="1"/>
      <c r="AE7" s="1"/>
      <c r="AF7" s="80"/>
      <c r="AG7" s="1"/>
      <c r="AH7" s="80"/>
      <c r="AK7"/>
      <c r="AU7" s="84"/>
      <c r="AV7" s="1"/>
      <c r="AW7" s="1"/>
      <c r="AX7" s="80"/>
      <c r="AY7" s="1"/>
      <c r="AZ7" s="80"/>
    </row>
    <row r="8" spans="2:54" ht="20" thickBot="1" x14ac:dyDescent="0.3">
      <c r="B8" s="83"/>
      <c r="J8"/>
      <c r="K8" s="84"/>
      <c r="N8" s="80"/>
      <c r="S8" s="13"/>
      <c r="T8" s="84"/>
      <c r="W8" s="80"/>
      <c r="AB8"/>
      <c r="AC8" s="84"/>
      <c r="AD8" s="1"/>
      <c r="AE8" s="1"/>
      <c r="AF8" s="80"/>
      <c r="AG8" s="1"/>
      <c r="AH8" s="80"/>
      <c r="AK8"/>
      <c r="AU8" s="84"/>
      <c r="AV8" s="1"/>
      <c r="AW8" s="1"/>
      <c r="AX8" s="80"/>
      <c r="AY8" s="1"/>
      <c r="AZ8" s="80"/>
    </row>
    <row r="9" spans="2:54" x14ac:dyDescent="0.25">
      <c r="B9" s="5" t="s">
        <v>481</v>
      </c>
      <c r="C9" s="8" t="s">
        <v>340</v>
      </c>
      <c r="D9" s="8" t="s">
        <v>341</v>
      </c>
      <c r="E9" s="17" t="s">
        <v>162</v>
      </c>
      <c r="F9" s="8" t="s">
        <v>342</v>
      </c>
      <c r="G9" s="21" t="s">
        <v>162</v>
      </c>
      <c r="H9" s="15"/>
      <c r="I9" s="52"/>
      <c r="J9" s="60"/>
      <c r="K9" s="105" t="s">
        <v>1083</v>
      </c>
      <c r="L9" s="72" t="s">
        <v>340</v>
      </c>
      <c r="M9" s="72" t="s">
        <v>341</v>
      </c>
      <c r="N9" s="17" t="s">
        <v>162</v>
      </c>
      <c r="O9" s="72" t="s">
        <v>342</v>
      </c>
      <c r="P9" s="21" t="s">
        <v>162</v>
      </c>
      <c r="T9" s="5" t="s">
        <v>161</v>
      </c>
      <c r="U9" s="72" t="s">
        <v>340</v>
      </c>
      <c r="V9" s="72" t="s">
        <v>341</v>
      </c>
      <c r="W9" s="17" t="s">
        <v>162</v>
      </c>
      <c r="X9" s="72" t="s">
        <v>342</v>
      </c>
      <c r="Y9" s="21" t="s">
        <v>162</v>
      </c>
      <c r="AC9" s="5" t="s">
        <v>161</v>
      </c>
      <c r="AD9" s="72" t="s">
        <v>340</v>
      </c>
      <c r="AE9" s="72" t="s">
        <v>341</v>
      </c>
      <c r="AF9" s="17" t="s">
        <v>162</v>
      </c>
      <c r="AG9" s="72" t="s">
        <v>342</v>
      </c>
      <c r="AH9" s="21" t="s">
        <v>162</v>
      </c>
      <c r="AI9" s="1"/>
      <c r="AJ9" s="1"/>
      <c r="AL9" s="5" t="s">
        <v>161</v>
      </c>
      <c r="AM9" s="72" t="s">
        <v>340</v>
      </c>
      <c r="AN9" s="72" t="s">
        <v>341</v>
      </c>
      <c r="AO9" s="21" t="s">
        <v>162</v>
      </c>
      <c r="AP9" s="78"/>
      <c r="AQ9" s="44"/>
      <c r="AU9" s="82"/>
      <c r="AV9" s="78"/>
      <c r="AW9" s="78"/>
      <c r="AX9" s="44"/>
      <c r="AY9" s="78"/>
      <c r="AZ9" s="44"/>
      <c r="BA9" s="1"/>
      <c r="BB9" s="1"/>
    </row>
    <row r="10" spans="2:54" x14ac:dyDescent="0.25">
      <c r="B10" s="6">
        <v>100</v>
      </c>
      <c r="C10" s="9">
        <v>3788.6320000000001</v>
      </c>
      <c r="D10" s="9">
        <v>5873.0860000000002</v>
      </c>
      <c r="E10" s="18">
        <v>-0.35491630805338115</v>
      </c>
      <c r="F10" s="9">
        <v>5783.7340000000004</v>
      </c>
      <c r="G10" s="22">
        <v>-0.34495051120954046</v>
      </c>
      <c r="H10" s="1"/>
      <c r="I10" s="27"/>
      <c r="J10" s="56"/>
      <c r="K10" s="67">
        <v>100</v>
      </c>
      <c r="L10" s="73">
        <v>90976.101999999999</v>
      </c>
      <c r="M10" s="73">
        <v>91940.429000000004</v>
      </c>
      <c r="N10" s="18">
        <v>-1.0488606704238901E-2</v>
      </c>
      <c r="O10" s="73">
        <v>90999.210999999996</v>
      </c>
      <c r="P10" s="22">
        <v>-2.5394725675143004E-4</v>
      </c>
      <c r="T10" s="67">
        <v>100</v>
      </c>
      <c r="U10" s="73">
        <v>3772.5169999999998</v>
      </c>
      <c r="V10" s="73">
        <v>5675.8770000000004</v>
      </c>
      <c r="W10" s="18">
        <v>-0.33534200970176076</v>
      </c>
      <c r="X10" s="73">
        <v>5576.4059999999999</v>
      </c>
      <c r="Y10" s="22">
        <v>-0.32348595134572344</v>
      </c>
      <c r="Z10" s="24" t="s">
        <v>775</v>
      </c>
      <c r="AC10" s="67">
        <v>100</v>
      </c>
      <c r="AD10" s="73">
        <v>3859.8589999999999</v>
      </c>
      <c r="AE10" s="73">
        <v>5873.1540000000005</v>
      </c>
      <c r="AF10" s="18">
        <v>-0.34279622158724266</v>
      </c>
      <c r="AG10" s="73">
        <v>5730.3959999999997</v>
      </c>
      <c r="AH10" s="22">
        <v>-0.3264236886944637</v>
      </c>
      <c r="AI10" s="1"/>
      <c r="AJ10" s="1"/>
      <c r="AL10" s="67">
        <v>100</v>
      </c>
      <c r="AM10" s="73">
        <v>3859.8589999999999</v>
      </c>
      <c r="AN10" s="73">
        <v>5873.1540000000005</v>
      </c>
      <c r="AO10" s="22">
        <v>-0.34279622158724266</v>
      </c>
      <c r="AP10" s="24"/>
      <c r="AQ10" s="16"/>
      <c r="AU10" s="3"/>
      <c r="AV10" s="24"/>
      <c r="AW10" s="24"/>
      <c r="AX10" s="16"/>
      <c r="AY10" s="24"/>
      <c r="AZ10" s="16"/>
      <c r="BA10" s="1"/>
      <c r="BB10" s="1"/>
    </row>
    <row r="11" spans="2:54" x14ac:dyDescent="0.25">
      <c r="B11" s="6">
        <v>1000</v>
      </c>
      <c r="C11" s="9">
        <v>52902.063999999998</v>
      </c>
      <c r="D11" s="9">
        <v>86500.453999999998</v>
      </c>
      <c r="E11" s="18">
        <v>-0.38841865500497841</v>
      </c>
      <c r="F11" s="9">
        <v>53486.131000000001</v>
      </c>
      <c r="G11" s="31">
        <v>-1.0919971010802887E-2</v>
      </c>
      <c r="H11" s="1"/>
      <c r="I11" s="27"/>
      <c r="J11" s="56"/>
      <c r="K11" s="67">
        <v>1000</v>
      </c>
      <c r="L11" s="73">
        <v>344756.61099999998</v>
      </c>
      <c r="M11" s="73">
        <v>221869.85699999999</v>
      </c>
      <c r="N11" s="18">
        <v>0.55386863119490815</v>
      </c>
      <c r="O11" s="73">
        <v>165108.32999999999</v>
      </c>
      <c r="P11" s="22">
        <v>1.0880630977249908</v>
      </c>
      <c r="T11" s="67">
        <v>1000</v>
      </c>
      <c r="U11" s="73">
        <v>52713.432999999997</v>
      </c>
      <c r="V11" s="73">
        <v>93004.27</v>
      </c>
      <c r="W11" s="18">
        <v>-0.43321491583128391</v>
      </c>
      <c r="X11" s="73">
        <v>57893.173000000003</v>
      </c>
      <c r="Y11" s="22">
        <v>-8.9470653128651323E-2</v>
      </c>
      <c r="Z11" s="24" t="s">
        <v>785</v>
      </c>
      <c r="AC11" s="67">
        <v>1000</v>
      </c>
      <c r="AD11" s="73">
        <v>53823.097999999998</v>
      </c>
      <c r="AE11" s="73">
        <v>94145.106</v>
      </c>
      <c r="AF11" s="18">
        <v>-0.42829637899605744</v>
      </c>
      <c r="AG11" s="73">
        <v>58842.178</v>
      </c>
      <c r="AH11" s="22">
        <v>-8.5297318532295052E-2</v>
      </c>
      <c r="AI11" s="1"/>
      <c r="AJ11" s="1" t="s">
        <v>1046</v>
      </c>
      <c r="AL11" s="67">
        <v>1000</v>
      </c>
      <c r="AM11" s="73">
        <v>53823.097999999998</v>
      </c>
      <c r="AN11" s="73">
        <v>94145.106</v>
      </c>
      <c r="AO11" s="22">
        <v>-0.42829637899605744</v>
      </c>
      <c r="AP11" s="24"/>
      <c r="AQ11" s="16"/>
      <c r="AU11" s="3"/>
      <c r="AV11" s="24"/>
      <c r="AW11" s="24"/>
      <c r="AX11" s="16"/>
      <c r="AY11" s="24"/>
      <c r="AZ11" s="16"/>
      <c r="BA11" s="1"/>
      <c r="BB11" s="1"/>
    </row>
    <row r="12" spans="2:54" ht="20" thickBot="1" x14ac:dyDescent="0.3">
      <c r="B12" s="6">
        <v>10000</v>
      </c>
      <c r="C12" s="9">
        <v>392174.07</v>
      </c>
      <c r="D12" s="9">
        <v>735806.5</v>
      </c>
      <c r="E12" s="18">
        <v>-0.46701467029715016</v>
      </c>
      <c r="F12" s="9">
        <v>488224.717</v>
      </c>
      <c r="G12" s="22">
        <v>-0.19673450289490357</v>
      </c>
      <c r="H12" s="1"/>
      <c r="I12" s="27"/>
      <c r="J12" s="56"/>
      <c r="K12" s="6">
        <v>10000</v>
      </c>
      <c r="L12" s="73">
        <v>2532170.2990000001</v>
      </c>
      <c r="M12" s="73">
        <v>1608612.206</v>
      </c>
      <c r="N12" s="18">
        <v>0.57413346085227968</v>
      </c>
      <c r="O12" s="73">
        <v>1410869.8330000001</v>
      </c>
      <c r="P12" s="22">
        <v>0.79475826881614231</v>
      </c>
      <c r="T12" s="6">
        <v>10000</v>
      </c>
      <c r="U12" s="73">
        <v>381917.12900000002</v>
      </c>
      <c r="V12" s="73">
        <v>840184.17200000002</v>
      </c>
      <c r="W12" s="18">
        <v>-0.54543641533870746</v>
      </c>
      <c r="X12" s="73">
        <v>564293.06700000004</v>
      </c>
      <c r="Y12" s="22">
        <v>-0.32319365355591023</v>
      </c>
      <c r="Z12" s="24" t="s">
        <v>781</v>
      </c>
      <c r="AA12" s="24">
        <f>AA39+AA40*10</f>
        <v>386712.38400000002</v>
      </c>
      <c r="AC12" s="6">
        <v>10000</v>
      </c>
      <c r="AD12" s="73">
        <v>386294.96799999999</v>
      </c>
      <c r="AE12" s="73">
        <v>841374.951</v>
      </c>
      <c r="AF12" s="18">
        <v>-0.54087655267027324</v>
      </c>
      <c r="AG12" s="73">
        <v>571724.26800000004</v>
      </c>
      <c r="AH12" s="22">
        <v>-0.32433344249784413</v>
      </c>
      <c r="AI12" s="1">
        <v>952343</v>
      </c>
      <c r="AJ12" s="1">
        <v>1253475</v>
      </c>
      <c r="AL12" s="7">
        <v>100000</v>
      </c>
      <c r="AM12" s="74">
        <v>3825709.4470000002</v>
      </c>
      <c r="AN12" s="74">
        <v>8635993.5529999994</v>
      </c>
      <c r="AO12" s="23">
        <v>-0.55700413351153877</v>
      </c>
      <c r="AP12" s="24"/>
      <c r="AQ12" s="16"/>
      <c r="AU12" s="24"/>
      <c r="AV12" s="24"/>
      <c r="AW12" s="24"/>
      <c r="AX12" s="16"/>
      <c r="AY12" s="24"/>
      <c r="AZ12" s="16"/>
      <c r="BA12" s="1"/>
      <c r="BB12" s="1"/>
    </row>
    <row r="13" spans="2:54" x14ac:dyDescent="0.25">
      <c r="B13" s="6">
        <v>50000</v>
      </c>
      <c r="C13" s="9">
        <v>1883765.9580000001</v>
      </c>
      <c r="D13" s="9">
        <v>3688011.1660000002</v>
      </c>
      <c r="E13" s="18">
        <v>-0.48921901989707806</v>
      </c>
      <c r="F13" s="9">
        <v>2491675.088</v>
      </c>
      <c r="G13" s="22">
        <v>-0.24397608377099922</v>
      </c>
      <c r="H13" s="1"/>
      <c r="I13" s="27"/>
      <c r="J13" s="56"/>
      <c r="K13" s="6">
        <v>50000</v>
      </c>
      <c r="L13" s="73">
        <v>14758753.714</v>
      </c>
      <c r="M13" s="73">
        <v>8444861.3870000001</v>
      </c>
      <c r="N13" s="18">
        <v>0.74766085997806786</v>
      </c>
      <c r="O13" s="73">
        <v>7440749.0300000003</v>
      </c>
      <c r="P13" s="22">
        <v>0.98350376480847368</v>
      </c>
      <c r="T13" s="6">
        <v>50000</v>
      </c>
      <c r="U13" s="73">
        <v>1856633.243</v>
      </c>
      <c r="V13" s="73">
        <v>4261345.5889999997</v>
      </c>
      <c r="W13" s="18">
        <v>-0.56430822043802087</v>
      </c>
      <c r="X13" s="73">
        <v>2805558.7379999999</v>
      </c>
      <c r="Y13" s="22">
        <v>-0.33823048583771975</v>
      </c>
      <c r="AC13" s="6">
        <v>50000</v>
      </c>
      <c r="AD13" s="73">
        <v>1893957.9609999999</v>
      </c>
      <c r="AE13" s="73">
        <v>4232262.2549999999</v>
      </c>
      <c r="AF13" s="18">
        <v>-0.5524951321807916</v>
      </c>
      <c r="AG13" s="73">
        <v>2906656.2409999999</v>
      </c>
      <c r="AH13" s="22">
        <v>-0.3484066212286574</v>
      </c>
      <c r="AI13" s="1"/>
      <c r="AJ13" s="79">
        <f>AI12/AJ12-1</f>
        <v>-0.24023773908534274</v>
      </c>
      <c r="AL13" s="24"/>
      <c r="AM13" s="24"/>
      <c r="AN13" s="24"/>
      <c r="AO13" s="16"/>
      <c r="AP13" s="24"/>
      <c r="AQ13" s="16"/>
      <c r="AU13" s="24"/>
      <c r="AV13" s="24"/>
      <c r="AW13" s="24"/>
      <c r="AX13" s="16"/>
      <c r="AY13" s="24"/>
      <c r="AZ13" s="16"/>
      <c r="BA13" s="1"/>
      <c r="BB13" s="79"/>
    </row>
    <row r="14" spans="2:54" ht="20" thickBot="1" x14ac:dyDescent="0.3">
      <c r="B14" s="7">
        <v>100000</v>
      </c>
      <c r="C14" s="10">
        <v>3910875.12</v>
      </c>
      <c r="D14" s="10">
        <v>7790683.6009999998</v>
      </c>
      <c r="E14" s="19">
        <v>-0.49800616732811398</v>
      </c>
      <c r="F14" s="10">
        <v>5737715.949</v>
      </c>
      <c r="G14" s="23">
        <v>-0.3183916466478951</v>
      </c>
      <c r="H14" s="1"/>
      <c r="I14" s="27"/>
      <c r="J14" s="56"/>
      <c r="K14" s="7">
        <v>100000</v>
      </c>
      <c r="L14" s="74">
        <v>43108977.794</v>
      </c>
      <c r="M14" s="74">
        <v>16029241.68</v>
      </c>
      <c r="N14" s="19">
        <v>1.689395958624039</v>
      </c>
      <c r="O14" s="74">
        <v>13458171.557</v>
      </c>
      <c r="P14" s="23">
        <v>2.2031823648122337</v>
      </c>
      <c r="T14" s="7">
        <v>100000</v>
      </c>
      <c r="U14" s="74">
        <v>3708755.6779999998</v>
      </c>
      <c r="V14" s="74">
        <v>8644878.5449999999</v>
      </c>
      <c r="W14" s="19">
        <v>-0.57098811062590815</v>
      </c>
      <c r="X14" s="74">
        <v>5646293.4309999999</v>
      </c>
      <c r="Y14" s="23">
        <v>-0.34315215400642896</v>
      </c>
      <c r="AC14" s="7">
        <v>100000</v>
      </c>
      <c r="AD14" s="74">
        <v>3825709.4470000002</v>
      </c>
      <c r="AE14" s="74">
        <v>8635993.5529999994</v>
      </c>
      <c r="AF14" s="19">
        <v>-0.55700413351153877</v>
      </c>
      <c r="AG14" s="74">
        <v>5756767.7019999996</v>
      </c>
      <c r="AH14" s="23">
        <v>-0.3354414065255954</v>
      </c>
      <c r="AI14" s="1"/>
      <c r="AJ14" s="1"/>
      <c r="AU14" s="24"/>
      <c r="AV14" s="24"/>
      <c r="AW14" s="24"/>
      <c r="AX14" s="16"/>
      <c r="AY14" s="24"/>
      <c r="AZ14" s="16"/>
      <c r="BA14" s="1"/>
      <c r="BB14" s="1"/>
    </row>
    <row r="15" spans="2:54" ht="20" thickBot="1" x14ac:dyDescent="0.3">
      <c r="H15" s="1"/>
      <c r="I15" s="27"/>
      <c r="J15" s="56"/>
      <c r="AI15" s="1"/>
      <c r="AJ15" s="1"/>
      <c r="AL15" s="5" t="s">
        <v>1077</v>
      </c>
      <c r="AM15" s="72" t="s">
        <v>340</v>
      </c>
      <c r="AN15" s="72" t="s">
        <v>341</v>
      </c>
      <c r="AO15" s="21" t="s">
        <v>162</v>
      </c>
      <c r="BA15" s="1"/>
      <c r="BB15" s="1"/>
    </row>
    <row r="16" spans="2:54" x14ac:dyDescent="0.25">
      <c r="B16" s="5" t="s">
        <v>482</v>
      </c>
      <c r="C16" s="8" t="s">
        <v>340</v>
      </c>
      <c r="D16" s="8" t="s">
        <v>341</v>
      </c>
      <c r="E16" s="17" t="s">
        <v>162</v>
      </c>
      <c r="F16" s="8" t="s">
        <v>342</v>
      </c>
      <c r="G16" s="21" t="s">
        <v>162</v>
      </c>
      <c r="H16" s="15"/>
      <c r="I16" s="52"/>
      <c r="J16" s="60"/>
      <c r="K16" s="105" t="s">
        <v>1084</v>
      </c>
      <c r="L16" s="72" t="s">
        <v>340</v>
      </c>
      <c r="M16" s="72" t="s">
        <v>341</v>
      </c>
      <c r="N16" s="17" t="s">
        <v>162</v>
      </c>
      <c r="O16" s="72" t="s">
        <v>342</v>
      </c>
      <c r="P16" s="21" t="s">
        <v>162</v>
      </c>
      <c r="T16" s="5" t="s">
        <v>163</v>
      </c>
      <c r="U16" s="72" t="s">
        <v>340</v>
      </c>
      <c r="V16" s="72" t="s">
        <v>341</v>
      </c>
      <c r="W16" s="17" t="s">
        <v>162</v>
      </c>
      <c r="X16" s="72" t="s">
        <v>342</v>
      </c>
      <c r="Y16" s="21" t="s">
        <v>162</v>
      </c>
      <c r="AC16" s="5" t="s">
        <v>163</v>
      </c>
      <c r="AD16" s="72" t="s">
        <v>340</v>
      </c>
      <c r="AE16" s="72" t="s">
        <v>341</v>
      </c>
      <c r="AF16" s="17" t="s">
        <v>162</v>
      </c>
      <c r="AG16" s="72" t="s">
        <v>342</v>
      </c>
      <c r="AH16" s="21" t="s">
        <v>162</v>
      </c>
      <c r="AI16" s="1"/>
      <c r="AJ16" s="1"/>
      <c r="AL16" s="6">
        <v>1000</v>
      </c>
      <c r="AM16" s="73">
        <v>121872.99</v>
      </c>
      <c r="AN16" s="73">
        <v>124101.89599999999</v>
      </c>
      <c r="AO16" s="22">
        <v>-1.7960289663906392E-2</v>
      </c>
      <c r="AU16" s="82"/>
      <c r="AV16" s="78"/>
      <c r="AW16" s="78"/>
      <c r="AX16" s="44"/>
      <c r="AY16" s="78"/>
      <c r="AZ16" s="44"/>
      <c r="BA16" s="1"/>
      <c r="BB16" s="1"/>
    </row>
    <row r="17" spans="2:54" x14ac:dyDescent="0.25">
      <c r="B17" s="6">
        <v>100</v>
      </c>
      <c r="C17" s="9">
        <v>2075.6170000000002</v>
      </c>
      <c r="D17" s="9">
        <v>2171.6010000000001</v>
      </c>
      <c r="E17" s="18">
        <v>-4.4199648093733557E-2</v>
      </c>
      <c r="F17" s="9">
        <v>2981.58</v>
      </c>
      <c r="G17" s="22">
        <v>-0.30385332608885218</v>
      </c>
      <c r="H17" s="1"/>
      <c r="I17" s="27"/>
      <c r="J17" s="56"/>
      <c r="K17" s="67">
        <v>100</v>
      </c>
      <c r="L17" s="73">
        <v>88659.794999999998</v>
      </c>
      <c r="M17" s="73">
        <v>85675.21</v>
      </c>
      <c r="N17" s="18">
        <v>3.4836039503141958E-2</v>
      </c>
      <c r="O17" s="73">
        <v>84487.770999999993</v>
      </c>
      <c r="P17" s="22">
        <v>4.9380211486464765E-2</v>
      </c>
      <c r="T17" s="67">
        <v>100</v>
      </c>
      <c r="U17" s="73">
        <v>2029.9280000000001</v>
      </c>
      <c r="V17" s="73">
        <v>2230.0709999999999</v>
      </c>
      <c r="W17" s="18">
        <v>-8.9747366787873539E-2</v>
      </c>
      <c r="X17" s="73">
        <v>2544.2489999999998</v>
      </c>
      <c r="Y17" s="22">
        <v>-0.20215041845353965</v>
      </c>
      <c r="Z17" s="24" t="s">
        <v>775</v>
      </c>
      <c r="AC17" s="67">
        <v>100</v>
      </c>
      <c r="AD17" s="73">
        <v>2072.7269999999999</v>
      </c>
      <c r="AE17" s="73">
        <v>2279.2379999999998</v>
      </c>
      <c r="AF17" s="18">
        <v>-9.0605281238729796E-2</v>
      </c>
      <c r="AG17" s="73">
        <v>2615.11</v>
      </c>
      <c r="AH17" s="22">
        <v>-0.20740351266294732</v>
      </c>
      <c r="AI17" s="1"/>
      <c r="AJ17" s="1"/>
      <c r="AL17" s="6">
        <v>10000</v>
      </c>
      <c r="AM17" s="73">
        <v>953567.62399999995</v>
      </c>
      <c r="AN17" s="73">
        <v>1214111.675</v>
      </c>
      <c r="AO17" s="22">
        <v>-0.21459644641008835</v>
      </c>
      <c r="AU17" s="3"/>
      <c r="AV17" s="24"/>
      <c r="AW17" s="24"/>
      <c r="AX17" s="16"/>
      <c r="AY17" s="24"/>
      <c r="AZ17" s="16"/>
      <c r="BA17" s="1"/>
      <c r="BB17" s="1"/>
    </row>
    <row r="18" spans="2:54" ht="20" thickBot="1" x14ac:dyDescent="0.3">
      <c r="B18" s="6">
        <v>1000</v>
      </c>
      <c r="C18" s="9">
        <v>27543.673999999999</v>
      </c>
      <c r="D18" s="9">
        <v>27575.659</v>
      </c>
      <c r="E18" s="18">
        <v>-1.1598997507186182E-3</v>
      </c>
      <c r="F18" s="9">
        <v>26612.974999999999</v>
      </c>
      <c r="G18" s="31">
        <v>3.4971625682585383E-2</v>
      </c>
      <c r="H18" s="1"/>
      <c r="I18" s="27"/>
      <c r="J18" s="56"/>
      <c r="K18" s="67">
        <v>1000</v>
      </c>
      <c r="L18" s="73">
        <v>246725.37299999999</v>
      </c>
      <c r="M18" s="73">
        <v>139004.53599999999</v>
      </c>
      <c r="N18" s="18">
        <v>0.77494476151483283</v>
      </c>
      <c r="O18" s="73">
        <v>126336.625</v>
      </c>
      <c r="P18" s="22">
        <v>0.95292040609759843</v>
      </c>
      <c r="T18" s="67">
        <v>1000</v>
      </c>
      <c r="U18" s="73">
        <v>27064.084999999999</v>
      </c>
      <c r="V18" s="73">
        <v>39690.934999999998</v>
      </c>
      <c r="W18" s="18">
        <v>-0.31812931592566407</v>
      </c>
      <c r="X18" s="73">
        <v>27574.386999999999</v>
      </c>
      <c r="Y18" s="22">
        <v>-1.8506376950464976E-2</v>
      </c>
      <c r="Z18" s="24" t="s">
        <v>784</v>
      </c>
      <c r="AC18" s="67">
        <v>1000</v>
      </c>
      <c r="AD18" s="73">
        <v>27270.163</v>
      </c>
      <c r="AE18" s="73">
        <v>39059.667999999998</v>
      </c>
      <c r="AF18" s="18">
        <v>-0.30183321066630664</v>
      </c>
      <c r="AG18" s="73">
        <v>27795.761999999999</v>
      </c>
      <c r="AH18" s="22">
        <v>-1.8909321500162446E-2</v>
      </c>
      <c r="AI18" s="1"/>
      <c r="AJ18" s="1" t="s">
        <v>1045</v>
      </c>
      <c r="AL18" s="7">
        <v>100000</v>
      </c>
      <c r="AM18" s="74">
        <v>11186392.254000001</v>
      </c>
      <c r="AN18" s="74">
        <v>12499529.713</v>
      </c>
      <c r="AO18" s="23">
        <v>-0.10505494919815139</v>
      </c>
      <c r="AU18" s="3"/>
      <c r="AV18" s="24"/>
      <c r="AW18" s="24"/>
      <c r="AX18" s="16"/>
      <c r="AY18" s="24"/>
      <c r="AZ18" s="16"/>
      <c r="BA18" s="1"/>
      <c r="BB18" s="1"/>
    </row>
    <row r="19" spans="2:54" x14ac:dyDescent="0.25">
      <c r="B19" s="6">
        <v>10000</v>
      </c>
      <c r="C19" s="9">
        <v>211068.098</v>
      </c>
      <c r="D19" s="9">
        <v>257656.91699999999</v>
      </c>
      <c r="E19" s="18">
        <v>-0.18081726484369909</v>
      </c>
      <c r="F19" s="9">
        <v>261006.10800000001</v>
      </c>
      <c r="G19" s="22">
        <v>-0.19132889411155085</v>
      </c>
      <c r="H19" s="1"/>
      <c r="I19" s="27"/>
      <c r="J19" s="56"/>
      <c r="K19" s="6">
        <v>10000</v>
      </c>
      <c r="L19" s="73">
        <v>1454678.2830000001</v>
      </c>
      <c r="M19" s="73">
        <v>944810.11</v>
      </c>
      <c r="N19" s="18">
        <v>0.53965147875058195</v>
      </c>
      <c r="O19" s="73">
        <v>821782.9</v>
      </c>
      <c r="P19" s="22">
        <v>0.77014912697745364</v>
      </c>
      <c r="T19" s="6">
        <v>10000</v>
      </c>
      <c r="U19" s="73">
        <v>208903.511</v>
      </c>
      <c r="V19" s="73">
        <v>254268.27299999999</v>
      </c>
      <c r="W19" s="18">
        <v>-0.17841298666467909</v>
      </c>
      <c r="X19" s="73">
        <v>287563.43099999998</v>
      </c>
      <c r="Y19" s="22">
        <v>-0.27353937086666624</v>
      </c>
      <c r="Z19" s="24" t="s">
        <v>781</v>
      </c>
      <c r="AA19" s="24">
        <f>AA39+AA40*5</f>
        <v>207346.74900000001</v>
      </c>
      <c r="AC19" s="6">
        <v>10000</v>
      </c>
      <c r="AD19" s="73">
        <v>209647.29699999999</v>
      </c>
      <c r="AE19" s="73">
        <v>255363.64799999999</v>
      </c>
      <c r="AF19" s="18">
        <v>-0.17902450626018629</v>
      </c>
      <c r="AG19" s="73">
        <v>289189.73300000001</v>
      </c>
      <c r="AH19" s="22">
        <v>-0.27505276613675633</v>
      </c>
      <c r="AI19" s="1">
        <v>64934286</v>
      </c>
      <c r="AJ19" s="1">
        <v>6484026</v>
      </c>
      <c r="AL19" s="3"/>
      <c r="AM19" s="24"/>
      <c r="AN19" s="24"/>
      <c r="AO19" s="16"/>
      <c r="AU19" s="24"/>
      <c r="AV19" s="24"/>
      <c r="AW19" s="24"/>
      <c r="AX19" s="16"/>
      <c r="AY19" s="24"/>
      <c r="AZ19" s="16"/>
      <c r="BA19" s="1"/>
      <c r="BB19" s="1"/>
    </row>
    <row r="20" spans="2:54" ht="20" thickBot="1" x14ac:dyDescent="0.3">
      <c r="B20" s="6">
        <v>50000</v>
      </c>
      <c r="C20" s="9">
        <v>1031356.613</v>
      </c>
      <c r="D20" s="9">
        <v>1280464.889</v>
      </c>
      <c r="E20" s="18">
        <v>-0.19454518287849742</v>
      </c>
      <c r="F20" s="9">
        <v>1155269.2560000001</v>
      </c>
      <c r="G20" s="22">
        <v>-0.10725866922922778</v>
      </c>
      <c r="H20" s="1"/>
      <c r="I20" s="27"/>
      <c r="J20" s="56"/>
      <c r="K20" s="6">
        <v>50000</v>
      </c>
      <c r="L20" s="73">
        <v>6943751.2709999997</v>
      </c>
      <c r="M20" s="73">
        <v>3517709.3829999999</v>
      </c>
      <c r="N20" s="18">
        <v>0.97394114037873591</v>
      </c>
      <c r="O20" s="73">
        <v>3758909.747</v>
      </c>
      <c r="P20" s="22">
        <v>0.84727799770713674</v>
      </c>
      <c r="T20" s="6">
        <v>50000</v>
      </c>
      <c r="U20" s="73">
        <v>1018806.447</v>
      </c>
      <c r="V20" s="73">
        <v>1297886.817</v>
      </c>
      <c r="W20" s="18">
        <v>-0.21502673911511039</v>
      </c>
      <c r="X20" s="73">
        <v>1411830.5819999999</v>
      </c>
      <c r="Y20" s="22">
        <v>-0.27837910582956893</v>
      </c>
      <c r="AC20" s="6">
        <v>50000</v>
      </c>
      <c r="AD20" s="73">
        <v>1039578.468</v>
      </c>
      <c r="AE20" s="73">
        <v>1355581.0730000001</v>
      </c>
      <c r="AF20" s="18">
        <v>-0.23311228763371805</v>
      </c>
      <c r="AG20" s="73">
        <v>1478189.7080000001</v>
      </c>
      <c r="AH20" s="22">
        <v>-0.29672188733707516</v>
      </c>
      <c r="AI20" s="1"/>
      <c r="AJ20" s="79">
        <f>AI19/AJ19-1</f>
        <v>9.0145011756584559</v>
      </c>
      <c r="AL20" s="3"/>
      <c r="AM20" s="24"/>
      <c r="AN20" s="24"/>
      <c r="AO20" s="16"/>
      <c r="AU20" s="24"/>
      <c r="AV20" s="24"/>
      <c r="AW20" s="24"/>
      <c r="AX20" s="16"/>
      <c r="AY20" s="24"/>
      <c r="AZ20" s="16"/>
      <c r="BA20" s="1"/>
      <c r="BB20" s="79"/>
    </row>
    <row r="21" spans="2:54" ht="20" thickBot="1" x14ac:dyDescent="0.3">
      <c r="B21" s="7">
        <v>100000</v>
      </c>
      <c r="C21" s="10">
        <v>2066660.649</v>
      </c>
      <c r="D21" s="10">
        <v>2655565.645</v>
      </c>
      <c r="E21" s="19">
        <v>-0.22176254505657311</v>
      </c>
      <c r="F21" s="10">
        <v>2606047.7259999998</v>
      </c>
      <c r="G21" s="23">
        <v>-0.20697513388517275</v>
      </c>
      <c r="H21" s="1"/>
      <c r="I21" s="27"/>
      <c r="J21" s="56"/>
      <c r="K21" s="7">
        <v>100000</v>
      </c>
      <c r="L21" s="74">
        <v>22521004.026000001</v>
      </c>
      <c r="M21" s="74">
        <v>6842163.1359999999</v>
      </c>
      <c r="N21" s="19">
        <v>2.2915035169953599</v>
      </c>
      <c r="O21" s="74">
        <v>7849855.2419999996</v>
      </c>
      <c r="P21" s="23">
        <v>1.8689706155985188</v>
      </c>
      <c r="T21" s="7">
        <v>100000</v>
      </c>
      <c r="U21" s="74">
        <v>2041325.0009999999</v>
      </c>
      <c r="V21" s="74">
        <v>2718860.7779999999</v>
      </c>
      <c r="W21" s="19">
        <v>-0.24919840783403291</v>
      </c>
      <c r="X21" s="74">
        <v>2913118.5279999999</v>
      </c>
      <c r="Y21" s="23">
        <v>-0.2992646947319817</v>
      </c>
      <c r="AC21" s="7">
        <v>100000</v>
      </c>
      <c r="AD21" s="74">
        <v>2069717.233</v>
      </c>
      <c r="AE21" s="74">
        <v>2743344.8309999998</v>
      </c>
      <c r="AF21" s="19">
        <v>-0.2455497356321954</v>
      </c>
      <c r="AG21" s="74">
        <v>2922782.7390000001</v>
      </c>
      <c r="AH21" s="23">
        <v>-0.29186757353434611</v>
      </c>
      <c r="AI21" s="1"/>
      <c r="AJ21" s="1"/>
      <c r="AL21" s="5" t="s">
        <v>1078</v>
      </c>
      <c r="AM21" s="72" t="s">
        <v>340</v>
      </c>
      <c r="AN21" s="72" t="s">
        <v>341</v>
      </c>
      <c r="AO21" s="21" t="s">
        <v>162</v>
      </c>
      <c r="AU21" s="24"/>
      <c r="AV21" s="24"/>
      <c r="AW21" s="24"/>
      <c r="AX21" s="16"/>
      <c r="AY21" s="24"/>
      <c r="AZ21" s="16"/>
      <c r="BA21" s="1"/>
      <c r="BB21" s="1"/>
    </row>
    <row r="22" spans="2:54" ht="20" thickBot="1" x14ac:dyDescent="0.3">
      <c r="H22" s="1"/>
      <c r="I22" s="27"/>
      <c r="J22" s="56"/>
      <c r="AI22" s="1"/>
      <c r="AJ22" s="1"/>
      <c r="AL22" s="6">
        <v>1000</v>
      </c>
      <c r="AM22" s="73">
        <v>268240.93599999999</v>
      </c>
      <c r="AN22" s="73">
        <v>186015.11799999999</v>
      </c>
      <c r="AO22" s="22">
        <v>0.44203836163467103</v>
      </c>
      <c r="BA22" s="1"/>
      <c r="BB22" s="1"/>
    </row>
    <row r="23" spans="2:54" x14ac:dyDescent="0.25">
      <c r="B23" s="41" t="s">
        <v>483</v>
      </c>
      <c r="C23" s="8" t="s">
        <v>340</v>
      </c>
      <c r="D23" s="8" t="s">
        <v>341</v>
      </c>
      <c r="E23" s="17" t="s">
        <v>162</v>
      </c>
      <c r="F23" s="8" t="s">
        <v>342</v>
      </c>
      <c r="G23" s="21" t="s">
        <v>162</v>
      </c>
      <c r="H23" s="15"/>
      <c r="I23" s="52"/>
      <c r="J23" s="60"/>
      <c r="K23" s="105" t="s">
        <v>1085</v>
      </c>
      <c r="L23" s="72" t="s">
        <v>340</v>
      </c>
      <c r="M23" s="72" t="s">
        <v>341</v>
      </c>
      <c r="N23" s="17" t="s">
        <v>162</v>
      </c>
      <c r="O23" s="72" t="s">
        <v>342</v>
      </c>
      <c r="P23" s="21" t="s">
        <v>162</v>
      </c>
      <c r="T23" s="5" t="s">
        <v>164</v>
      </c>
      <c r="U23" s="72" t="s">
        <v>340</v>
      </c>
      <c r="V23" s="72" t="s">
        <v>341</v>
      </c>
      <c r="W23" s="17" t="s">
        <v>162</v>
      </c>
      <c r="X23" s="72" t="s">
        <v>342</v>
      </c>
      <c r="Y23" s="21" t="s">
        <v>162</v>
      </c>
      <c r="AC23" s="5" t="s">
        <v>164</v>
      </c>
      <c r="AD23" s="72" t="s">
        <v>340</v>
      </c>
      <c r="AE23" s="72" t="s">
        <v>341</v>
      </c>
      <c r="AF23" s="17" t="s">
        <v>162</v>
      </c>
      <c r="AG23" s="72" t="s">
        <v>342</v>
      </c>
      <c r="AH23" s="21" t="s">
        <v>162</v>
      </c>
      <c r="AI23" s="1"/>
      <c r="AJ23" s="1"/>
      <c r="AL23" s="6">
        <v>10000</v>
      </c>
      <c r="AM23" s="73">
        <v>2661291.8670000001</v>
      </c>
      <c r="AN23" s="73">
        <v>1791382.0460000001</v>
      </c>
      <c r="AO23" s="22">
        <v>0.48560820565464113</v>
      </c>
      <c r="AU23" s="82"/>
      <c r="AV23" s="78"/>
      <c r="AW23" s="78"/>
      <c r="AX23" s="44"/>
      <c r="AY23" s="78"/>
      <c r="AZ23" s="44"/>
      <c r="BA23" s="1"/>
      <c r="BB23" s="1"/>
    </row>
    <row r="24" spans="2:54" ht="20" thickBot="1" x14ac:dyDescent="0.3">
      <c r="B24" s="6">
        <v>100</v>
      </c>
      <c r="C24" s="9">
        <v>1324.2439999999999</v>
      </c>
      <c r="D24" s="9">
        <v>1163.7950000000001</v>
      </c>
      <c r="E24" s="18">
        <v>0.13786706421663597</v>
      </c>
      <c r="F24" s="9">
        <v>1475.91</v>
      </c>
      <c r="G24" s="31">
        <v>-0.10276100846257574</v>
      </c>
      <c r="H24" s="1"/>
      <c r="I24" s="27"/>
      <c r="J24" s="56"/>
      <c r="K24" s="67">
        <v>100</v>
      </c>
      <c r="L24" s="73">
        <v>87538.994999999995</v>
      </c>
      <c r="M24" s="73">
        <v>84466.107000000004</v>
      </c>
      <c r="N24" s="18">
        <v>3.6380130553430146E-2</v>
      </c>
      <c r="O24" s="73">
        <v>85198.732000000004</v>
      </c>
      <c r="P24" s="22">
        <v>2.7468284387143216E-2</v>
      </c>
      <c r="T24" s="67">
        <v>100</v>
      </c>
      <c r="U24" s="73">
        <v>1323.7840000000001</v>
      </c>
      <c r="V24" s="73">
        <v>1300.566</v>
      </c>
      <c r="W24" s="18">
        <v>1.7852227414833388E-2</v>
      </c>
      <c r="X24" s="73">
        <v>1446.47</v>
      </c>
      <c r="Y24" s="22">
        <v>-8.4817521275933783E-2</v>
      </c>
      <c r="Z24" s="24" t="s">
        <v>775</v>
      </c>
      <c r="AC24" s="67">
        <v>100</v>
      </c>
      <c r="AD24" s="73">
        <v>1364.117</v>
      </c>
      <c r="AE24" s="73">
        <v>1317.3030000000001</v>
      </c>
      <c r="AF24" s="18">
        <v>3.5537761623559483E-2</v>
      </c>
      <c r="AG24" s="73">
        <v>1468.114</v>
      </c>
      <c r="AH24" s="22">
        <v>-7.0837142074798076E-2</v>
      </c>
      <c r="AI24" s="1"/>
      <c r="AJ24" s="1"/>
      <c r="AL24" s="7">
        <v>100000</v>
      </c>
      <c r="AM24" s="74">
        <v>20014642.447999999</v>
      </c>
      <c r="AN24" s="74">
        <v>17828911.050999999</v>
      </c>
      <c r="AO24" s="23">
        <v>0.12259477826478959</v>
      </c>
      <c r="AU24" s="3"/>
      <c r="AV24" s="24"/>
      <c r="AW24" s="24"/>
      <c r="AX24" s="16"/>
      <c r="AY24" s="24"/>
      <c r="AZ24" s="16"/>
      <c r="BA24" s="1"/>
      <c r="BB24" s="1"/>
    </row>
    <row r="25" spans="2:54" x14ac:dyDescent="0.25">
      <c r="B25" s="6">
        <v>1000</v>
      </c>
      <c r="C25" s="9">
        <v>17470.877</v>
      </c>
      <c r="D25" s="9">
        <v>14537.762000000001</v>
      </c>
      <c r="E25" s="18">
        <v>0.20175835867996739</v>
      </c>
      <c r="F25" s="9">
        <v>16602.764999999999</v>
      </c>
      <c r="G25" s="22">
        <v>5.2287194331787523E-2</v>
      </c>
      <c r="H25" s="1"/>
      <c r="I25" s="27"/>
      <c r="J25" s="56"/>
      <c r="K25" s="67">
        <v>1000</v>
      </c>
      <c r="L25" s="73">
        <v>118989.81200000001</v>
      </c>
      <c r="M25" s="73">
        <v>123731.32</v>
      </c>
      <c r="N25" s="18">
        <v>-3.8321000697317364E-2</v>
      </c>
      <c r="O25" s="73">
        <v>116517.44100000001</v>
      </c>
      <c r="P25" s="22">
        <v>2.121889202836158E-2</v>
      </c>
      <c r="T25" s="67">
        <v>1000</v>
      </c>
      <c r="U25" s="73">
        <v>17338.062000000002</v>
      </c>
      <c r="V25" s="73">
        <v>15219.365</v>
      </c>
      <c r="W25" s="18">
        <v>0.13921060438461152</v>
      </c>
      <c r="X25" s="73">
        <v>16028.921</v>
      </c>
      <c r="Y25" s="22">
        <v>8.1673682214791654E-2</v>
      </c>
      <c r="Z25" s="24" t="s">
        <v>783</v>
      </c>
      <c r="AC25" s="67">
        <v>1000</v>
      </c>
      <c r="AD25" s="73">
        <v>17218.968000000001</v>
      </c>
      <c r="AE25" s="73">
        <v>15338.212</v>
      </c>
      <c r="AF25" s="18">
        <v>0.12261898583746267</v>
      </c>
      <c r="AG25" s="73">
        <v>16271.732</v>
      </c>
      <c r="AH25" s="22">
        <v>5.8213593980038558E-2</v>
      </c>
      <c r="AI25" s="1"/>
      <c r="AJ25" s="1"/>
      <c r="AL25" s="3"/>
      <c r="AM25" s="24"/>
      <c r="AN25" s="24"/>
      <c r="AO25" s="16"/>
      <c r="AU25" s="3"/>
      <c r="AV25" s="24"/>
      <c r="AW25" s="24"/>
      <c r="AX25" s="16"/>
      <c r="AY25" s="24"/>
      <c r="AZ25" s="16"/>
      <c r="BA25" s="1"/>
      <c r="BB25" s="1"/>
    </row>
    <row r="26" spans="2:54" ht="20" thickBot="1" x14ac:dyDescent="0.3">
      <c r="B26" s="6">
        <v>10000</v>
      </c>
      <c r="C26" s="9">
        <v>135486.25899999999</v>
      </c>
      <c r="D26" s="9">
        <v>123974.466</v>
      </c>
      <c r="E26" s="18">
        <v>9.2856161203388465E-2</v>
      </c>
      <c r="F26" s="9">
        <v>152453.63099999999</v>
      </c>
      <c r="G26" s="22">
        <v>-0.111295296075959</v>
      </c>
      <c r="H26" s="1"/>
      <c r="I26" s="27"/>
      <c r="J26" s="56"/>
      <c r="K26" s="6">
        <v>10000</v>
      </c>
      <c r="L26" s="73">
        <v>824892.598</v>
      </c>
      <c r="M26" s="73">
        <v>499759.81199999998</v>
      </c>
      <c r="N26" s="18">
        <v>0.65057809410253276</v>
      </c>
      <c r="O26" s="73">
        <v>549311.96900000004</v>
      </c>
      <c r="P26" s="22">
        <v>0.5016832775402349</v>
      </c>
      <c r="T26" s="6">
        <v>10000</v>
      </c>
      <c r="U26" s="73">
        <v>134780.201</v>
      </c>
      <c r="V26" s="73">
        <v>134823.53400000001</v>
      </c>
      <c r="W26" s="18">
        <v>-3.2140531192437205E-4</v>
      </c>
      <c r="X26" s="73">
        <v>149164.08499999999</v>
      </c>
      <c r="Y26" s="22">
        <v>-9.6429941564016519E-2</v>
      </c>
      <c r="Z26" s="24" t="s">
        <v>781</v>
      </c>
      <c r="AA26" s="24">
        <f>AA39+AA40*3</f>
        <v>135600.495</v>
      </c>
      <c r="AC26" s="6">
        <v>10000</v>
      </c>
      <c r="AD26" s="73">
        <v>137460.016</v>
      </c>
      <c r="AE26" s="73">
        <v>135419.45000000001</v>
      </c>
      <c r="AF26" s="18">
        <v>1.506848536159322E-2</v>
      </c>
      <c r="AG26" s="73">
        <v>148778.26999999999</v>
      </c>
      <c r="AH26" s="22">
        <v>-7.6074644502856392E-2</v>
      </c>
      <c r="AI26" s="1"/>
      <c r="AJ26" s="1"/>
      <c r="AL26" s="3"/>
      <c r="AM26" s="24"/>
      <c r="AN26" s="24"/>
      <c r="AO26" s="16"/>
      <c r="AU26" s="24"/>
      <c r="AV26" s="24"/>
      <c r="AW26" s="24"/>
      <c r="AX26" s="16"/>
      <c r="AY26" s="24"/>
      <c r="AZ26" s="16"/>
      <c r="BA26" s="1"/>
      <c r="BB26" s="1"/>
    </row>
    <row r="27" spans="2:54" x14ac:dyDescent="0.25">
      <c r="B27" s="6">
        <v>50000</v>
      </c>
      <c r="C27" s="9">
        <v>650903.71900000004</v>
      </c>
      <c r="D27" s="9">
        <v>638810.23899999994</v>
      </c>
      <c r="E27" s="20">
        <v>1.8931255733989794E-2</v>
      </c>
      <c r="F27" s="9">
        <v>650080.86800000002</v>
      </c>
      <c r="G27" s="31">
        <v>1.2657671383740077E-3</v>
      </c>
      <c r="H27" s="1"/>
      <c r="I27" s="27"/>
      <c r="J27" s="56"/>
      <c r="K27" s="6">
        <v>50000</v>
      </c>
      <c r="L27" s="73">
        <v>5624809.1969999997</v>
      </c>
      <c r="M27" s="73">
        <v>3012872.554</v>
      </c>
      <c r="N27" s="18">
        <v>0.8669256983778808</v>
      </c>
      <c r="O27" s="73">
        <v>3065689.3590000002</v>
      </c>
      <c r="P27" s="22">
        <v>0.83476162726244407</v>
      </c>
      <c r="T27" s="6">
        <v>50000</v>
      </c>
      <c r="U27" s="73">
        <v>656265.06700000004</v>
      </c>
      <c r="V27" s="73">
        <v>675858.97199999995</v>
      </c>
      <c r="W27" s="18">
        <v>-2.8991114732142553E-2</v>
      </c>
      <c r="X27" s="73">
        <v>860601.39399999997</v>
      </c>
      <c r="Y27" s="22">
        <v>-0.23743434350049397</v>
      </c>
      <c r="AC27" s="6">
        <v>50000</v>
      </c>
      <c r="AD27" s="73">
        <v>662627.16599999997</v>
      </c>
      <c r="AE27" s="73">
        <v>685867.94</v>
      </c>
      <c r="AF27" s="18">
        <v>-3.3885202448739604E-2</v>
      </c>
      <c r="AG27" s="73">
        <v>867804.77899999998</v>
      </c>
      <c r="AH27" s="22">
        <v>-0.23643291436633129</v>
      </c>
      <c r="AI27" s="1"/>
      <c r="AJ27" s="1"/>
      <c r="AL27" s="5" t="s">
        <v>1079</v>
      </c>
      <c r="AM27" s="72" t="s">
        <v>340</v>
      </c>
      <c r="AN27" s="72" t="s">
        <v>341</v>
      </c>
      <c r="AO27" s="21" t="s">
        <v>162</v>
      </c>
      <c r="AU27" s="24"/>
      <c r="AV27" s="24"/>
      <c r="AW27" s="24"/>
      <c r="AX27" s="16"/>
      <c r="AY27" s="24"/>
      <c r="AZ27" s="16"/>
      <c r="BA27" s="1"/>
      <c r="BB27" s="1"/>
    </row>
    <row r="28" spans="2:54" ht="20" thickBot="1" x14ac:dyDescent="0.3">
      <c r="B28" s="7">
        <v>100000</v>
      </c>
      <c r="C28" s="10">
        <v>1344749.6969999999</v>
      </c>
      <c r="D28" s="10">
        <v>1280058.304</v>
      </c>
      <c r="E28" s="19">
        <v>5.0537848782237882E-2</v>
      </c>
      <c r="F28" s="10">
        <v>1151328.3089999999</v>
      </c>
      <c r="G28" s="23">
        <v>0.16799846445884614</v>
      </c>
      <c r="H28" s="1"/>
      <c r="I28" s="27"/>
      <c r="J28" s="56"/>
      <c r="K28" s="7">
        <v>100000</v>
      </c>
      <c r="L28" s="74">
        <v>13211700.789000001</v>
      </c>
      <c r="M28" s="74">
        <v>4165498.8459999999</v>
      </c>
      <c r="N28" s="19">
        <v>2.171697142993279</v>
      </c>
      <c r="O28" s="74">
        <v>4457363.5240000002</v>
      </c>
      <c r="P28" s="23">
        <v>1.9640168942612815</v>
      </c>
      <c r="T28" s="7">
        <v>100000</v>
      </c>
      <c r="U28" s="74">
        <v>1312468.7279999999</v>
      </c>
      <c r="V28" s="74">
        <v>1355619.0290000001</v>
      </c>
      <c r="W28" s="19">
        <v>-3.1830698800260238E-2</v>
      </c>
      <c r="X28" s="74">
        <v>1657467.308</v>
      </c>
      <c r="Y28" s="23">
        <v>-0.2081480451136597</v>
      </c>
      <c r="AC28" s="7">
        <v>100000</v>
      </c>
      <c r="AD28" s="74">
        <v>1358473.898</v>
      </c>
      <c r="AE28" s="74">
        <v>1389988.061</v>
      </c>
      <c r="AF28" s="19">
        <v>-2.2672254448953821E-2</v>
      </c>
      <c r="AG28" s="74">
        <v>1689835.3289999999</v>
      </c>
      <c r="AH28" s="23">
        <v>-0.19609095946413357</v>
      </c>
      <c r="AI28" s="1"/>
      <c r="AJ28" s="1"/>
      <c r="AL28" s="6">
        <v>1000</v>
      </c>
      <c r="AM28" s="73">
        <v>411927.24</v>
      </c>
      <c r="AN28" s="73">
        <v>255722.25399999999</v>
      </c>
      <c r="AO28" s="22">
        <v>0.61083845287864547</v>
      </c>
      <c r="AU28" s="24"/>
      <c r="AV28" s="24"/>
      <c r="AW28" s="24"/>
      <c r="AX28" s="16"/>
      <c r="AY28" s="24"/>
      <c r="AZ28" s="16"/>
      <c r="BA28" s="1"/>
      <c r="BB28" s="1"/>
    </row>
    <row r="29" spans="2:54" ht="20" thickBot="1" x14ac:dyDescent="0.3">
      <c r="H29" s="1"/>
      <c r="I29" s="27"/>
      <c r="J29" s="56"/>
      <c r="AL29" s="6">
        <v>10000</v>
      </c>
      <c r="AM29" s="73">
        <v>4187201.54</v>
      </c>
      <c r="AN29" s="73">
        <v>2530303.3020000001</v>
      </c>
      <c r="AO29" s="22">
        <v>0.65482198781875511</v>
      </c>
    </row>
    <row r="30" spans="2:54" ht="20" thickBot="1" x14ac:dyDescent="0.3">
      <c r="H30" s="1"/>
      <c r="I30" s="27"/>
      <c r="J30" s="56"/>
      <c r="K30" s="105" t="s">
        <v>1086</v>
      </c>
      <c r="L30" s="72" t="s">
        <v>340</v>
      </c>
      <c r="M30" s="72" t="s">
        <v>341</v>
      </c>
      <c r="N30" s="17" t="s">
        <v>162</v>
      </c>
      <c r="O30" s="72" t="s">
        <v>342</v>
      </c>
      <c r="P30" s="21" t="s">
        <v>162</v>
      </c>
      <c r="T30" s="5" t="s">
        <v>165</v>
      </c>
      <c r="U30" s="72" t="s">
        <v>340</v>
      </c>
      <c r="V30" s="72" t="s">
        <v>341</v>
      </c>
      <c r="W30" s="17" t="s">
        <v>162</v>
      </c>
      <c r="X30" s="72" t="s">
        <v>342</v>
      </c>
      <c r="Y30" s="21" t="s">
        <v>162</v>
      </c>
      <c r="AC30" s="5" t="s">
        <v>165</v>
      </c>
      <c r="AD30" s="72" t="s">
        <v>340</v>
      </c>
      <c r="AE30" s="72" t="s">
        <v>341</v>
      </c>
      <c r="AF30" s="17" t="s">
        <v>162</v>
      </c>
      <c r="AG30" s="72" t="s">
        <v>342</v>
      </c>
      <c r="AH30" s="21" t="s">
        <v>162</v>
      </c>
      <c r="AL30" s="7">
        <v>100000</v>
      </c>
      <c r="AM30" s="74">
        <v>30869346.730999999</v>
      </c>
      <c r="AN30" s="74">
        <v>25339219.980999999</v>
      </c>
      <c r="AO30" s="23">
        <v>0.21824376417848024</v>
      </c>
      <c r="AU30" s="82"/>
      <c r="AV30" s="78"/>
      <c r="AW30" s="78"/>
      <c r="AX30" s="44"/>
      <c r="AY30" s="78"/>
      <c r="AZ30" s="44"/>
    </row>
    <row r="31" spans="2:54" x14ac:dyDescent="0.25">
      <c r="H31" s="1"/>
      <c r="I31" s="27"/>
      <c r="J31" s="56"/>
      <c r="K31" s="67">
        <v>100</v>
      </c>
      <c r="L31" s="73">
        <v>86865.085000000006</v>
      </c>
      <c r="M31" s="73">
        <v>83224.53</v>
      </c>
      <c r="N31" s="18">
        <v>4.3743773620590121E-2</v>
      </c>
      <c r="O31" s="73">
        <v>84402.578999999998</v>
      </c>
      <c r="P31" s="22">
        <v>2.9175719855669469E-2</v>
      </c>
      <c r="T31" s="67">
        <v>100</v>
      </c>
      <c r="U31" s="73">
        <v>965.07500000000005</v>
      </c>
      <c r="V31" s="73">
        <v>626.92100000000005</v>
      </c>
      <c r="W31" s="18">
        <v>0.53938853539760179</v>
      </c>
      <c r="X31" s="73">
        <v>1131.876</v>
      </c>
      <c r="Y31" s="22">
        <v>-0.14736684937219269</v>
      </c>
      <c r="Z31" s="24" t="s">
        <v>775</v>
      </c>
      <c r="AC31" s="67">
        <v>100</v>
      </c>
      <c r="AD31" s="73">
        <v>985.44799999999998</v>
      </c>
      <c r="AE31" s="73">
        <v>651.64599999999996</v>
      </c>
      <c r="AF31" s="18">
        <v>0.51224437808257872</v>
      </c>
      <c r="AG31" s="73">
        <v>1156.9849999999999</v>
      </c>
      <c r="AH31" s="22">
        <v>-0.14826207772788746</v>
      </c>
      <c r="AL31" s="3"/>
      <c r="AM31" s="24"/>
      <c r="AN31" s="24"/>
      <c r="AO31" s="16"/>
      <c r="AU31" s="3"/>
      <c r="AV31" s="24"/>
      <c r="AW31" s="24"/>
      <c r="AX31" s="16"/>
      <c r="AY31" s="24"/>
      <c r="AZ31" s="16"/>
    </row>
    <row r="32" spans="2:54" ht="20" thickBot="1" x14ac:dyDescent="0.3">
      <c r="H32" s="1"/>
      <c r="I32" s="27"/>
      <c r="J32" s="56"/>
      <c r="K32" s="67">
        <v>1000</v>
      </c>
      <c r="L32" s="73">
        <v>110709.376</v>
      </c>
      <c r="M32" s="73">
        <v>102350.537</v>
      </c>
      <c r="N32" s="18">
        <v>8.1668736139606235E-2</v>
      </c>
      <c r="O32" s="73">
        <v>101826.24000000001</v>
      </c>
      <c r="P32" s="22">
        <v>8.7238181435354889E-2</v>
      </c>
      <c r="T32" s="67">
        <v>1000</v>
      </c>
      <c r="U32" s="73">
        <v>12430.752</v>
      </c>
      <c r="V32" s="73">
        <v>7727.7240000000002</v>
      </c>
      <c r="W32" s="18">
        <v>0.60859161119108296</v>
      </c>
      <c r="X32" s="73">
        <v>8880.73</v>
      </c>
      <c r="Y32" s="22">
        <v>0.39974439038232235</v>
      </c>
      <c r="Z32" s="24" t="s">
        <v>782</v>
      </c>
      <c r="AC32" s="67">
        <v>1000</v>
      </c>
      <c r="AD32" s="73">
        <v>12303.882</v>
      </c>
      <c r="AE32" s="73">
        <v>7468.067</v>
      </c>
      <c r="AF32" s="18">
        <v>0.64753235341889659</v>
      </c>
      <c r="AG32" s="73">
        <v>8794.2569999999996</v>
      </c>
      <c r="AH32" s="22">
        <v>0.39908146873578976</v>
      </c>
      <c r="AL32" s="3"/>
      <c r="AM32" s="24"/>
      <c r="AN32" s="24"/>
      <c r="AO32" s="16"/>
      <c r="AU32" s="3"/>
      <c r="AV32" s="24"/>
      <c r="AW32" s="24"/>
      <c r="AX32" s="16"/>
      <c r="AY32" s="24"/>
      <c r="AZ32" s="16"/>
    </row>
    <row r="33" spans="8:52" x14ac:dyDescent="0.25">
      <c r="H33" s="1"/>
      <c r="I33" s="27"/>
      <c r="J33" s="56"/>
      <c r="K33" s="6">
        <v>10000</v>
      </c>
      <c r="L33" s="73">
        <v>626789.946</v>
      </c>
      <c r="M33" s="73">
        <v>330535.74699999997</v>
      </c>
      <c r="N33" s="18">
        <v>0.89628490016240225</v>
      </c>
      <c r="O33" s="73">
        <v>346536.22399999999</v>
      </c>
      <c r="P33" s="22">
        <v>0.80872850394999407</v>
      </c>
      <c r="T33" s="6">
        <v>10000</v>
      </c>
      <c r="U33" s="73">
        <v>98200.721000000005</v>
      </c>
      <c r="V33" s="73">
        <v>68766.883000000002</v>
      </c>
      <c r="W33" s="18">
        <v>0.42802344262135605</v>
      </c>
      <c r="X33" s="73">
        <v>77397.751000000004</v>
      </c>
      <c r="Y33" s="22">
        <v>0.26878003212263879</v>
      </c>
      <c r="Z33" s="24" t="s">
        <v>781</v>
      </c>
      <c r="AA33" s="24">
        <f>AA39+AA40*2</f>
        <v>99727.368000000002</v>
      </c>
      <c r="AC33" s="6">
        <v>10000</v>
      </c>
      <c r="AD33" s="73">
        <v>100473.62300000001</v>
      </c>
      <c r="AE33" s="73">
        <v>70159.945999999996</v>
      </c>
      <c r="AF33" s="18">
        <v>0.43206528408673539</v>
      </c>
      <c r="AG33" s="73">
        <v>78922.872000000003</v>
      </c>
      <c r="AH33" s="22">
        <v>0.27306090685599993</v>
      </c>
      <c r="AL33" s="5" t="s">
        <v>1080</v>
      </c>
      <c r="AM33" s="72" t="s">
        <v>340</v>
      </c>
      <c r="AN33" s="72" t="s">
        <v>341</v>
      </c>
      <c r="AO33" s="21" t="s">
        <v>162</v>
      </c>
      <c r="AU33" s="24"/>
      <c r="AV33" s="24"/>
      <c r="AW33" s="24"/>
      <c r="AX33" s="16"/>
      <c r="AY33" s="24"/>
      <c r="AZ33" s="16"/>
    </row>
    <row r="34" spans="8:52" x14ac:dyDescent="0.25">
      <c r="H34" s="1"/>
      <c r="I34" s="27"/>
      <c r="J34" s="56"/>
      <c r="K34" s="6">
        <v>50000</v>
      </c>
      <c r="L34" s="73">
        <v>3523390.7110000001</v>
      </c>
      <c r="M34" s="73">
        <v>1301555</v>
      </c>
      <c r="N34" s="18">
        <v>1.707062483721395</v>
      </c>
      <c r="O34" s="73">
        <v>1378233.0020000001</v>
      </c>
      <c r="P34" s="22">
        <v>1.5564550448923296</v>
      </c>
      <c r="T34" s="6">
        <v>50000</v>
      </c>
      <c r="U34" s="73">
        <v>478768.20699999999</v>
      </c>
      <c r="V34" s="73">
        <v>336820.21600000001</v>
      </c>
      <c r="W34" s="18">
        <v>0.42143548473943127</v>
      </c>
      <c r="X34" s="73">
        <v>375657.58100000001</v>
      </c>
      <c r="Y34" s="22">
        <v>0.27448035449070307</v>
      </c>
      <c r="AC34" s="6">
        <v>50000</v>
      </c>
      <c r="AD34" s="73">
        <v>490565.40899999999</v>
      </c>
      <c r="AE34" s="73">
        <v>342627.86200000002</v>
      </c>
      <c r="AF34" s="18">
        <v>0.43177325433037894</v>
      </c>
      <c r="AG34" s="73">
        <v>382977.86200000002</v>
      </c>
      <c r="AH34" s="22">
        <v>0.28092367124865292</v>
      </c>
      <c r="AL34" s="6">
        <v>1000</v>
      </c>
      <c r="AM34" s="73">
        <v>539837.73899999994</v>
      </c>
      <c r="AN34" s="73">
        <v>329997.32900000003</v>
      </c>
      <c r="AO34" s="22">
        <v>0.63588517711911519</v>
      </c>
      <c r="AU34" s="24"/>
      <c r="AV34" s="24"/>
      <c r="AW34" s="24"/>
      <c r="AX34" s="16"/>
      <c r="AY34" s="24"/>
      <c r="AZ34" s="16"/>
    </row>
    <row r="35" spans="8:52" ht="20" thickBot="1" x14ac:dyDescent="0.3">
      <c r="H35" s="1"/>
      <c r="I35" s="27"/>
      <c r="J35" s="56"/>
      <c r="K35" s="7">
        <v>100000</v>
      </c>
      <c r="L35" s="74">
        <v>7519225.8380000005</v>
      </c>
      <c r="M35" s="74">
        <v>2636676.7319999998</v>
      </c>
      <c r="N35" s="19">
        <v>1.8517814667012433</v>
      </c>
      <c r="O35" s="74">
        <v>4019511.7620000001</v>
      </c>
      <c r="P35" s="23">
        <v>0.87068138699975783</v>
      </c>
      <c r="T35" s="7">
        <v>100000</v>
      </c>
      <c r="U35" s="74">
        <v>965056.978</v>
      </c>
      <c r="V35" s="74">
        <v>710467.53</v>
      </c>
      <c r="W35" s="19">
        <v>0.35834072248171567</v>
      </c>
      <c r="X35" s="74">
        <v>748714.29500000004</v>
      </c>
      <c r="Y35" s="23">
        <v>0.28895225380997958</v>
      </c>
      <c r="AC35" s="7">
        <v>100000</v>
      </c>
      <c r="AD35" s="74">
        <v>996788.95400000003</v>
      </c>
      <c r="AE35" s="74">
        <v>731201.27099999995</v>
      </c>
      <c r="AF35" s="19">
        <v>0.36322103575774567</v>
      </c>
      <c r="AG35" s="74">
        <v>769753.75600000005</v>
      </c>
      <c r="AH35" s="23">
        <v>0.29494522921171695</v>
      </c>
      <c r="AL35" s="6">
        <v>10000</v>
      </c>
      <c r="AM35" s="73">
        <v>6294481.7520000003</v>
      </c>
      <c r="AN35" s="73">
        <v>3256012.9419999998</v>
      </c>
      <c r="AO35" s="22">
        <v>0.93318695721572498</v>
      </c>
      <c r="AU35" s="24"/>
      <c r="AV35" s="24"/>
      <c r="AW35" s="24"/>
      <c r="AX35" s="16"/>
      <c r="AY35" s="24"/>
      <c r="AZ35" s="16"/>
    </row>
    <row r="36" spans="8:52" ht="20" thickBot="1" x14ac:dyDescent="0.3">
      <c r="H36" s="1"/>
      <c r="I36" s="27"/>
      <c r="J36" s="56"/>
      <c r="T36" s="24"/>
      <c r="U36" s="24"/>
      <c r="V36" s="24"/>
      <c r="W36" s="16"/>
      <c r="X36" s="24"/>
      <c r="Y36" s="16"/>
      <c r="AL36" s="7">
        <v>100000</v>
      </c>
      <c r="AM36" s="74">
        <v>41294218.092</v>
      </c>
      <c r="AN36" s="74">
        <v>32575827.432999998</v>
      </c>
      <c r="AO36" s="23">
        <v>0.26763374397569684</v>
      </c>
    </row>
    <row r="37" spans="8:52" x14ac:dyDescent="0.25">
      <c r="H37" s="1"/>
      <c r="I37" s="27"/>
      <c r="J37" s="56"/>
      <c r="K37" s="105" t="s">
        <v>1087</v>
      </c>
      <c r="L37" s="72" t="s">
        <v>340</v>
      </c>
      <c r="M37" s="72" t="s">
        <v>341</v>
      </c>
      <c r="N37" s="17" t="s">
        <v>162</v>
      </c>
      <c r="O37" s="72" t="s">
        <v>342</v>
      </c>
      <c r="P37" s="21" t="s">
        <v>162</v>
      </c>
      <c r="T37" s="5" t="s">
        <v>759</v>
      </c>
      <c r="U37" s="72" t="s">
        <v>340</v>
      </c>
      <c r="V37" s="72" t="s">
        <v>341</v>
      </c>
      <c r="W37" s="17" t="s">
        <v>162</v>
      </c>
      <c r="X37" s="72" t="s">
        <v>342</v>
      </c>
      <c r="Y37" s="21" t="s">
        <v>162</v>
      </c>
      <c r="Z37" s="24" t="s">
        <v>775</v>
      </c>
      <c r="AC37" s="5" t="s">
        <v>759</v>
      </c>
      <c r="AD37" s="72" t="s">
        <v>340</v>
      </c>
      <c r="AE37" s="72" t="s">
        <v>341</v>
      </c>
      <c r="AF37" s="17" t="s">
        <v>162</v>
      </c>
      <c r="AG37" s="72" t="s">
        <v>342</v>
      </c>
      <c r="AH37" s="21" t="s">
        <v>162</v>
      </c>
      <c r="AL37" s="3"/>
      <c r="AM37" s="24"/>
      <c r="AN37" s="24"/>
      <c r="AO37" s="16"/>
      <c r="AU37" s="82"/>
      <c r="AV37" s="78"/>
      <c r="AW37" s="78"/>
      <c r="AX37" s="44"/>
      <c r="AY37" s="78"/>
      <c r="AZ37" s="44"/>
    </row>
    <row r="38" spans="8:52" ht="20" thickBot="1" x14ac:dyDescent="0.3">
      <c r="H38" s="1"/>
      <c r="I38" s="27"/>
      <c r="J38" s="56"/>
      <c r="K38" s="67">
        <v>100</v>
      </c>
      <c r="L38" s="73">
        <v>85959.812000000005</v>
      </c>
      <c r="M38" s="73">
        <v>81188.551000000007</v>
      </c>
      <c r="N38" s="18">
        <v>5.8767658016214641E-2</v>
      </c>
      <c r="O38" s="73">
        <v>86040.361999999994</v>
      </c>
      <c r="P38" s="22">
        <v>-9.3618852975063671E-4</v>
      </c>
      <c r="T38" s="67">
        <v>100</v>
      </c>
      <c r="U38" s="73">
        <v>669.19299999999998</v>
      </c>
      <c r="V38" s="73">
        <v>415.24</v>
      </c>
      <c r="W38" s="18">
        <v>0.6115812542144301</v>
      </c>
      <c r="X38" s="73">
        <v>475.142</v>
      </c>
      <c r="Y38" s="22">
        <v>0.40840632905531393</v>
      </c>
      <c r="Z38" s="24" t="s">
        <v>780</v>
      </c>
      <c r="AC38" s="67">
        <v>100</v>
      </c>
      <c r="AD38" s="73">
        <v>664.20799999999997</v>
      </c>
      <c r="AE38" s="73">
        <v>406.03100000000001</v>
      </c>
      <c r="AF38" s="18">
        <v>0.63585539035196814</v>
      </c>
      <c r="AG38" s="73">
        <v>467.71600000000001</v>
      </c>
      <c r="AH38" s="22">
        <v>0.4201096391827519</v>
      </c>
      <c r="AL38" s="3"/>
      <c r="AM38" s="24"/>
      <c r="AN38" s="24"/>
      <c r="AO38" s="16"/>
      <c r="AU38" s="3"/>
      <c r="AV38" s="24"/>
      <c r="AW38" s="24"/>
      <c r="AX38" s="16"/>
      <c r="AY38" s="24"/>
      <c r="AZ38" s="16"/>
    </row>
    <row r="39" spans="8:52" x14ac:dyDescent="0.25">
      <c r="H39" s="1"/>
      <c r="I39" s="27"/>
      <c r="J39" s="56"/>
      <c r="K39" s="67">
        <v>1000</v>
      </c>
      <c r="L39" s="73">
        <v>104174.039</v>
      </c>
      <c r="M39" s="73">
        <v>93272.376000000004</v>
      </c>
      <c r="N39" s="18">
        <v>0.11687986805439587</v>
      </c>
      <c r="O39" s="73">
        <v>95088.25</v>
      </c>
      <c r="P39" s="22">
        <v>9.5551122246965381E-2</v>
      </c>
      <c r="T39" s="67">
        <v>1000</v>
      </c>
      <c r="U39" s="73">
        <v>7339.83</v>
      </c>
      <c r="V39" s="73">
        <v>4223.3370000000004</v>
      </c>
      <c r="W39" s="18">
        <v>0.73792193234875625</v>
      </c>
      <c r="X39" s="73">
        <v>5932.152</v>
      </c>
      <c r="Y39" s="22">
        <v>0.2372963470929268</v>
      </c>
      <c r="Z39" s="24" t="s">
        <v>779</v>
      </c>
      <c r="AA39" s="85">
        <f>X7</f>
        <v>27981.114000000001</v>
      </c>
      <c r="AC39" s="67">
        <v>1000</v>
      </c>
      <c r="AD39" s="73">
        <v>7541.47</v>
      </c>
      <c r="AE39" s="73">
        <v>4100.884</v>
      </c>
      <c r="AF39" s="18">
        <v>0.83898642341504903</v>
      </c>
      <c r="AG39" s="73">
        <v>5915.9920000000002</v>
      </c>
      <c r="AH39" s="22">
        <v>0.27476000643679033</v>
      </c>
      <c r="AL39" s="5" t="s">
        <v>1081</v>
      </c>
      <c r="AM39" s="72" t="s">
        <v>340</v>
      </c>
      <c r="AN39" s="72" t="s">
        <v>341</v>
      </c>
      <c r="AO39" s="21" t="s">
        <v>162</v>
      </c>
      <c r="AU39" s="3"/>
      <c r="AV39" s="24"/>
      <c r="AW39" s="24"/>
      <c r="AX39" s="16"/>
      <c r="AY39" s="24"/>
      <c r="AZ39" s="16"/>
    </row>
    <row r="40" spans="8:52" x14ac:dyDescent="0.25">
      <c r="H40" s="1"/>
      <c r="I40" s="27"/>
      <c r="J40" s="56"/>
      <c r="K40" s="6">
        <v>10000</v>
      </c>
      <c r="L40" s="73">
        <v>373479.36700000003</v>
      </c>
      <c r="M40" s="73">
        <v>196273.758</v>
      </c>
      <c r="N40" s="18">
        <v>0.90284921838608723</v>
      </c>
      <c r="O40" s="73">
        <v>153009.13</v>
      </c>
      <c r="P40" s="22">
        <v>1.4408959583000049</v>
      </c>
      <c r="T40" s="6">
        <v>10000</v>
      </c>
      <c r="U40" s="73">
        <v>63854.241000000002</v>
      </c>
      <c r="V40" s="73">
        <v>41237.968000000001</v>
      </c>
      <c r="W40" s="18">
        <v>0.54843325451923342</v>
      </c>
      <c r="X40" s="73">
        <v>59323.724999999999</v>
      </c>
      <c r="Y40" s="22">
        <v>7.6369378355792827E-2</v>
      </c>
      <c r="Z40" s="24" t="s">
        <v>778</v>
      </c>
      <c r="AA40" s="24">
        <f>U40-AA39</f>
        <v>35873.127</v>
      </c>
      <c r="AC40" s="6">
        <v>10000</v>
      </c>
      <c r="AD40" s="73">
        <v>63293.017</v>
      </c>
      <c r="AE40" s="73">
        <v>40692.730000000003</v>
      </c>
      <c r="AF40" s="18">
        <v>0.55538881269455254</v>
      </c>
      <c r="AG40" s="73">
        <v>59052.019</v>
      </c>
      <c r="AH40" s="22">
        <v>7.1818001684243793E-2</v>
      </c>
      <c r="AL40" s="6">
        <v>1000</v>
      </c>
      <c r="AM40" s="73">
        <v>6468333.6940000001</v>
      </c>
      <c r="AN40" s="73">
        <v>624746.30700000003</v>
      </c>
      <c r="AO40" s="22">
        <v>9.353536501977274</v>
      </c>
      <c r="AU40" s="24"/>
      <c r="AV40" s="24"/>
      <c r="AW40" s="24"/>
      <c r="AX40" s="16"/>
      <c r="AY40" s="24"/>
      <c r="AZ40" s="16"/>
    </row>
    <row r="41" spans="8:52" x14ac:dyDescent="0.25">
      <c r="H41" s="1"/>
      <c r="I41" s="27"/>
      <c r="J41" s="56"/>
      <c r="K41" s="6">
        <v>50000</v>
      </c>
      <c r="L41" s="73">
        <v>1505810.5120000001</v>
      </c>
      <c r="M41" s="73">
        <v>688083.61300000001</v>
      </c>
      <c r="N41" s="18">
        <v>1.1884121108985051</v>
      </c>
      <c r="O41" s="73">
        <v>799596.85400000005</v>
      </c>
      <c r="P41" s="22">
        <v>0.88321215180769075</v>
      </c>
      <c r="T41" s="6">
        <v>50000</v>
      </c>
      <c r="U41" s="73">
        <v>315454.35100000002</v>
      </c>
      <c r="V41" s="73">
        <v>199267.27799999999</v>
      </c>
      <c r="W41" s="18">
        <v>0.58307151162068882</v>
      </c>
      <c r="X41" s="73">
        <v>470664.63199999998</v>
      </c>
      <c r="Y41" s="22">
        <v>-0.32976831154799824</v>
      </c>
      <c r="AC41" s="6">
        <v>50000</v>
      </c>
      <c r="AD41" s="73">
        <v>316769.68300000002</v>
      </c>
      <c r="AE41" s="73">
        <v>196218.75399999999</v>
      </c>
      <c r="AF41" s="18">
        <v>0.61437006678780581</v>
      </c>
      <c r="AG41" s="73">
        <v>483179.63500000001</v>
      </c>
      <c r="AH41" s="22">
        <v>-0.34440597232538572</v>
      </c>
      <c r="AL41" s="6">
        <v>10000</v>
      </c>
      <c r="AM41" s="73">
        <v>63551825.520999998</v>
      </c>
      <c r="AN41" s="73">
        <v>6223566.7630000003</v>
      </c>
      <c r="AO41" s="22">
        <v>9.2114796773491285</v>
      </c>
      <c r="AU41" s="24"/>
      <c r="AV41" s="24"/>
      <c r="AW41" s="24"/>
      <c r="AX41" s="16"/>
      <c r="AY41" s="24"/>
      <c r="AZ41" s="16"/>
    </row>
    <row r="42" spans="8:52" ht="20" thickBot="1" x14ac:dyDescent="0.3">
      <c r="H42" s="1"/>
      <c r="I42" s="27"/>
      <c r="J42" s="56"/>
      <c r="K42" s="7">
        <v>100000</v>
      </c>
      <c r="L42" s="74">
        <v>3632656.889</v>
      </c>
      <c r="M42" s="74">
        <v>1453144.824</v>
      </c>
      <c r="N42" s="19">
        <v>1.499858808979937</v>
      </c>
      <c r="O42" s="74">
        <v>1997074.1510000001</v>
      </c>
      <c r="P42" s="23">
        <v>0.81898948878839084</v>
      </c>
      <c r="T42" s="7">
        <v>100000</v>
      </c>
      <c r="U42" s="74">
        <v>640831.97199999995</v>
      </c>
      <c r="V42" s="74">
        <v>401792.88</v>
      </c>
      <c r="W42" s="19">
        <v>0.5949311296905011</v>
      </c>
      <c r="X42" s="74">
        <v>518336.13199999998</v>
      </c>
      <c r="Y42" s="23">
        <v>0.23632510341764101</v>
      </c>
      <c r="AC42" s="7">
        <v>100000</v>
      </c>
      <c r="AD42" s="74">
        <v>639401.99199999997</v>
      </c>
      <c r="AE42" s="74">
        <v>407131.29599999997</v>
      </c>
      <c r="AF42" s="19">
        <v>0.57050562872965682</v>
      </c>
      <c r="AG42" s="74">
        <v>485667.29399999999</v>
      </c>
      <c r="AH42" s="23">
        <v>0.31654323834291387</v>
      </c>
      <c r="AL42" s="7">
        <v>100000</v>
      </c>
      <c r="AM42" s="74">
        <v>638757147.64400005</v>
      </c>
      <c r="AN42" s="74">
        <v>66735647.593000002</v>
      </c>
      <c r="AO42" s="23">
        <v>8.5714534987295181</v>
      </c>
      <c r="AU42" s="24"/>
      <c r="AV42" s="24"/>
      <c r="AW42" s="24"/>
      <c r="AX42" s="16"/>
      <c r="AY42" s="24"/>
      <c r="AZ42" s="16"/>
    </row>
    <row r="43" spans="8:52" x14ac:dyDescent="0.25">
      <c r="H43" s="1"/>
      <c r="I43" s="27"/>
      <c r="J43" s="56"/>
      <c r="T43" s="24"/>
      <c r="U43" s="24"/>
      <c r="V43" s="24"/>
      <c r="W43" s="16"/>
      <c r="X43" s="24"/>
      <c r="Y43" s="16"/>
    </row>
    <row r="44" spans="8:52" ht="20" thickBot="1" x14ac:dyDescent="0.3">
      <c r="H44" s="1"/>
      <c r="I44" s="27"/>
      <c r="J44" s="56"/>
      <c r="T44" s="24"/>
      <c r="U44" s="24"/>
      <c r="V44" s="24"/>
      <c r="W44" s="16"/>
      <c r="X44" s="24"/>
      <c r="Y44" s="16"/>
    </row>
    <row r="45" spans="8:52" x14ac:dyDescent="0.25">
      <c r="H45" s="1"/>
      <c r="I45" s="27"/>
      <c r="J45" s="56"/>
      <c r="T45" s="5" t="s">
        <v>627</v>
      </c>
      <c r="U45" s="72" t="s">
        <v>340</v>
      </c>
      <c r="V45" s="72" t="s">
        <v>341</v>
      </c>
      <c r="W45" s="21" t="s">
        <v>162</v>
      </c>
      <c r="X45" s="72" t="s">
        <v>342</v>
      </c>
      <c r="Y45" s="21" t="s">
        <v>162</v>
      </c>
      <c r="Z45" s="85"/>
      <c r="AC45" s="5" t="s">
        <v>627</v>
      </c>
      <c r="AD45" s="72" t="s">
        <v>340</v>
      </c>
      <c r="AE45" s="72" t="s">
        <v>341</v>
      </c>
      <c r="AF45" s="21" t="s">
        <v>162</v>
      </c>
      <c r="AU45" s="82"/>
      <c r="AV45" s="78"/>
      <c r="AW45" s="78"/>
      <c r="AX45" s="44"/>
    </row>
    <row r="46" spans="8:52" x14ac:dyDescent="0.25">
      <c r="H46" s="1"/>
      <c r="I46" s="27"/>
      <c r="J46" s="56"/>
      <c r="T46" s="6">
        <v>1</v>
      </c>
      <c r="U46" s="73">
        <v>62487.462</v>
      </c>
      <c r="V46" s="73">
        <v>29117.712</v>
      </c>
      <c r="W46" s="18">
        <v>1.1460292621892818</v>
      </c>
      <c r="X46" s="73">
        <v>77425.620999999999</v>
      </c>
      <c r="Y46" s="22">
        <v>-0.19293560461077863</v>
      </c>
      <c r="AC46" s="67">
        <v>1</v>
      </c>
      <c r="AD46" s="73">
        <v>64025.381000000001</v>
      </c>
      <c r="AE46" s="73">
        <v>28986.473999999998</v>
      </c>
      <c r="AF46" s="22">
        <v>1.2088019743277503</v>
      </c>
      <c r="AU46" s="24"/>
      <c r="AV46" s="24"/>
      <c r="AW46" s="24"/>
      <c r="AX46" s="16"/>
    </row>
    <row r="47" spans="8:52" x14ac:dyDescent="0.25">
      <c r="H47" s="1"/>
      <c r="I47" s="27"/>
      <c r="J47" s="56"/>
      <c r="T47" s="6">
        <v>2</v>
      </c>
      <c r="U47" s="73">
        <v>89917.422000000006</v>
      </c>
      <c r="V47" s="73">
        <v>115740.77899999999</v>
      </c>
      <c r="W47" s="18">
        <v>-0.22311373072752505</v>
      </c>
      <c r="X47" s="73">
        <v>65369.065999999999</v>
      </c>
      <c r="Y47" s="22">
        <v>0.37553475217161592</v>
      </c>
      <c r="AC47" s="67">
        <v>2</v>
      </c>
      <c r="AD47" s="73">
        <v>93196.880999999994</v>
      </c>
      <c r="AE47" s="73">
        <v>119127.878</v>
      </c>
      <c r="AF47" s="22">
        <v>-0.21767362464057327</v>
      </c>
      <c r="AU47" s="24"/>
      <c r="AV47" s="24"/>
      <c r="AW47" s="24"/>
      <c r="AX47" s="16"/>
    </row>
    <row r="48" spans="8:52" x14ac:dyDescent="0.25">
      <c r="H48" s="1"/>
      <c r="I48" s="27"/>
      <c r="J48" s="56"/>
      <c r="T48" s="67">
        <v>3</v>
      </c>
      <c r="U48" s="73">
        <v>118395.27099999999</v>
      </c>
      <c r="V48" s="73">
        <v>219521.587</v>
      </c>
      <c r="W48" s="18">
        <v>-0.46066684093350696</v>
      </c>
      <c r="X48" s="73">
        <v>134733.103</v>
      </c>
      <c r="Y48" s="22">
        <v>-0.1212607120018605</v>
      </c>
      <c r="AC48" s="6">
        <v>3</v>
      </c>
      <c r="AD48" s="73">
        <v>118016.552</v>
      </c>
      <c r="AE48" s="73">
        <v>259687.609</v>
      </c>
      <c r="AF48" s="22">
        <v>-0.54554415416871116</v>
      </c>
      <c r="AU48" s="24"/>
      <c r="AV48" s="24"/>
      <c r="AW48" s="24"/>
      <c r="AX48" s="16"/>
    </row>
    <row r="49" spans="2:54" x14ac:dyDescent="0.25">
      <c r="H49" s="1"/>
      <c r="I49" s="27"/>
      <c r="J49" s="56"/>
      <c r="T49" s="67">
        <v>5</v>
      </c>
      <c r="U49" s="73">
        <v>173046.478</v>
      </c>
      <c r="V49" s="73">
        <v>355852.234</v>
      </c>
      <c r="W49" s="18">
        <v>-0.51371254283034795</v>
      </c>
      <c r="X49" s="73">
        <v>209967.89600000001</v>
      </c>
      <c r="Y49" s="22">
        <v>-0.17584315842265719</v>
      </c>
      <c r="AC49" s="6">
        <v>5</v>
      </c>
      <c r="AD49" s="73">
        <v>169892.505</v>
      </c>
      <c r="AE49" s="73">
        <v>352574.652</v>
      </c>
      <c r="AF49" s="22">
        <v>-0.51813749503466855</v>
      </c>
      <c r="AU49" s="3"/>
      <c r="AV49" s="24"/>
      <c r="AW49" s="24"/>
      <c r="AX49" s="16"/>
    </row>
    <row r="50" spans="2:54" ht="20" thickBot="1" x14ac:dyDescent="0.3">
      <c r="H50" s="1"/>
      <c r="I50" s="27"/>
      <c r="J50" s="56"/>
      <c r="T50" s="7">
        <v>10</v>
      </c>
      <c r="U50" s="74">
        <v>292926.64600000001</v>
      </c>
      <c r="V50" s="74">
        <v>514403.7</v>
      </c>
      <c r="W50" s="19">
        <v>-0.4305510516351263</v>
      </c>
      <c r="X50" s="74">
        <v>337575.51899999997</v>
      </c>
      <c r="Y50" s="23">
        <v>-0.13226336178720344</v>
      </c>
      <c r="AC50" s="7">
        <v>10</v>
      </c>
      <c r="AD50" s="74">
        <v>296429.89199999999</v>
      </c>
      <c r="AE50" s="74">
        <v>525895.43099999998</v>
      </c>
      <c r="AF50" s="23">
        <v>-0.4363330150324124</v>
      </c>
      <c r="AU50" s="3"/>
      <c r="AV50" s="24"/>
      <c r="AW50" s="24"/>
      <c r="AX50" s="16"/>
    </row>
    <row r="51" spans="2:54" ht="20" thickBot="1" x14ac:dyDescent="0.3">
      <c r="H51" s="1"/>
      <c r="I51" s="27"/>
      <c r="J51" s="56"/>
    </row>
    <row r="52" spans="2:54" ht="40" x14ac:dyDescent="0.25">
      <c r="B52" s="11" t="s">
        <v>484</v>
      </c>
      <c r="C52" s="12" t="s">
        <v>340</v>
      </c>
      <c r="D52" s="12" t="s">
        <v>341</v>
      </c>
      <c r="E52" s="28" t="s">
        <v>162</v>
      </c>
      <c r="F52" s="12" t="s">
        <v>342</v>
      </c>
      <c r="G52" s="29" t="s">
        <v>162</v>
      </c>
      <c r="H52" s="1"/>
      <c r="I52" s="27"/>
      <c r="J52" s="56"/>
      <c r="K52" s="105" t="s">
        <v>1088</v>
      </c>
      <c r="L52" s="72" t="s">
        <v>340</v>
      </c>
      <c r="M52" s="72" t="s">
        <v>341</v>
      </c>
      <c r="N52" s="17" t="s">
        <v>162</v>
      </c>
      <c r="O52" s="72" t="s">
        <v>342</v>
      </c>
      <c r="P52" s="21" t="s">
        <v>162</v>
      </c>
      <c r="T52" s="5" t="s">
        <v>563</v>
      </c>
      <c r="U52" s="72" t="s">
        <v>340</v>
      </c>
      <c r="V52" s="72" t="s">
        <v>341</v>
      </c>
      <c r="W52" s="17" t="s">
        <v>162</v>
      </c>
      <c r="X52" s="72" t="s">
        <v>342</v>
      </c>
      <c r="Y52" s="21" t="s">
        <v>162</v>
      </c>
      <c r="AC52" s="5" t="s">
        <v>724</v>
      </c>
      <c r="AD52" s="72" t="s">
        <v>340</v>
      </c>
      <c r="AE52" s="72" t="s">
        <v>341</v>
      </c>
      <c r="AF52" s="17" t="s">
        <v>162</v>
      </c>
      <c r="AG52" s="72" t="s">
        <v>342</v>
      </c>
      <c r="AH52" s="21" t="s">
        <v>162</v>
      </c>
      <c r="AL52" s="5" t="s">
        <v>724</v>
      </c>
      <c r="AM52" s="72" t="s">
        <v>340</v>
      </c>
      <c r="AN52" s="72" t="s">
        <v>341</v>
      </c>
      <c r="AO52" s="17" t="s">
        <v>162</v>
      </c>
      <c r="AP52" s="72" t="s">
        <v>342</v>
      </c>
      <c r="AQ52" s="21" t="s">
        <v>162</v>
      </c>
      <c r="AU52" s="82"/>
      <c r="AV52" s="78"/>
      <c r="AW52" s="78"/>
      <c r="AX52" s="44"/>
      <c r="AY52" s="78"/>
      <c r="AZ52" s="44"/>
    </row>
    <row r="53" spans="2:54" x14ac:dyDescent="0.25">
      <c r="B53" s="6">
        <v>100</v>
      </c>
      <c r="C53" s="9">
        <v>486.07299999999998</v>
      </c>
      <c r="D53" s="9">
        <v>395.67500000000001</v>
      </c>
      <c r="E53" s="34">
        <v>0.22846528084918161</v>
      </c>
      <c r="F53" s="9">
        <v>317.56200000000001</v>
      </c>
      <c r="G53" s="38">
        <v>-0.3466783795849594</v>
      </c>
      <c r="H53" s="1"/>
      <c r="I53" s="27"/>
      <c r="J53" s="56"/>
      <c r="K53" s="67">
        <v>100</v>
      </c>
      <c r="L53" s="73">
        <v>81765.475999999995</v>
      </c>
      <c r="M53" s="73">
        <v>80531.603000000003</v>
      </c>
      <c r="N53" s="18">
        <v>1.532159989414339E-2</v>
      </c>
      <c r="O53" s="73">
        <v>85560.716</v>
      </c>
      <c r="P53" s="22">
        <v>-4.4357272559523708E-2</v>
      </c>
      <c r="T53" s="67">
        <v>100</v>
      </c>
      <c r="U53" s="73">
        <v>396.10300000000001</v>
      </c>
      <c r="V53" s="73">
        <v>132.70699999999999</v>
      </c>
      <c r="W53" s="18">
        <v>1.9847935677846689</v>
      </c>
      <c r="X53" s="73">
        <v>307.16899999999998</v>
      </c>
      <c r="Y53" s="22">
        <v>0.28952791460075744</v>
      </c>
      <c r="AC53" s="67">
        <v>100</v>
      </c>
      <c r="AD53" s="73">
        <v>198.65100000000001</v>
      </c>
      <c r="AE53" s="73">
        <v>128.78</v>
      </c>
      <c r="AF53" s="18">
        <v>0.54256095667029047</v>
      </c>
      <c r="AG53" s="73">
        <v>748.75300000000004</v>
      </c>
      <c r="AH53" s="22">
        <v>-0.73469087936876387</v>
      </c>
      <c r="AL53" s="67">
        <v>100</v>
      </c>
      <c r="AM53" s="73">
        <v>192.857</v>
      </c>
      <c r="AN53" s="73">
        <v>104.806</v>
      </c>
      <c r="AO53" s="18">
        <v>0.84013319848100299</v>
      </c>
      <c r="AP53" s="73">
        <v>747.43</v>
      </c>
      <c r="AQ53" s="22">
        <v>-0.74197316136628177</v>
      </c>
      <c r="AU53" s="3"/>
      <c r="AV53" s="24"/>
      <c r="AW53" s="24"/>
      <c r="AX53" s="16"/>
      <c r="AY53" s="24"/>
      <c r="AZ53" s="16"/>
    </row>
    <row r="54" spans="2:54" x14ac:dyDescent="0.25">
      <c r="B54" s="6">
        <v>1000</v>
      </c>
      <c r="C54" s="9">
        <v>6023.0709999999999</v>
      </c>
      <c r="D54" s="9">
        <v>5917.3469999999998</v>
      </c>
      <c r="E54" s="34">
        <v>1.7866790641143826E-2</v>
      </c>
      <c r="F54" s="9">
        <v>2682.3180000000002</v>
      </c>
      <c r="G54" s="37">
        <v>1.2454723861973114</v>
      </c>
      <c r="H54" s="1"/>
      <c r="I54" s="27"/>
      <c r="J54" s="56"/>
      <c r="K54" s="67">
        <v>1000</v>
      </c>
      <c r="L54" s="73">
        <v>87910.664999999994</v>
      </c>
      <c r="M54" s="73">
        <v>82561.448999999993</v>
      </c>
      <c r="N54" s="18">
        <v>6.4790723331418221E-2</v>
      </c>
      <c r="O54" s="73">
        <v>97181.362999999998</v>
      </c>
      <c r="P54" s="22">
        <v>-9.5395842513548601E-2</v>
      </c>
      <c r="T54" s="67">
        <v>1000</v>
      </c>
      <c r="U54" s="73">
        <v>4590.7</v>
      </c>
      <c r="V54" s="73">
        <v>1210.8910000000001</v>
      </c>
      <c r="W54" s="18">
        <v>2.7911752585492828</v>
      </c>
      <c r="X54" s="73">
        <v>2801.8270000000002</v>
      </c>
      <c r="Y54" s="22">
        <v>0.63846661481954436</v>
      </c>
      <c r="AC54" s="67">
        <v>1000</v>
      </c>
      <c r="AD54" s="73">
        <v>1950.925</v>
      </c>
      <c r="AE54" s="73">
        <v>1166.2170000000001</v>
      </c>
      <c r="AF54" s="18">
        <v>0.67286619900070033</v>
      </c>
      <c r="AG54" s="73">
        <v>7628</v>
      </c>
      <c r="AH54" s="22">
        <v>-0.74297204864182054</v>
      </c>
      <c r="AI54" s="73"/>
      <c r="AJ54" s="22"/>
      <c r="AL54" s="67">
        <v>1000</v>
      </c>
      <c r="AM54" s="73">
        <v>1881.3810000000001</v>
      </c>
      <c r="AN54" s="73">
        <v>968.53099999999995</v>
      </c>
      <c r="AO54" s="18">
        <v>0.94250984222497802</v>
      </c>
      <c r="AP54" s="73">
        <v>7438.1750000000002</v>
      </c>
      <c r="AQ54" s="22">
        <v>-0.74706416560513833</v>
      </c>
      <c r="AU54" s="3"/>
      <c r="AV54" s="24"/>
      <c r="AW54" s="24"/>
      <c r="AX54" s="16"/>
      <c r="AY54" s="24"/>
      <c r="AZ54" s="16"/>
      <c r="BA54" s="24"/>
      <c r="BB54" s="16"/>
    </row>
    <row r="55" spans="2:54" x14ac:dyDescent="0.25">
      <c r="B55" s="6">
        <v>10000</v>
      </c>
      <c r="C55" s="9">
        <v>47773.332000000002</v>
      </c>
      <c r="D55" s="9">
        <v>46469.5</v>
      </c>
      <c r="E55" s="34">
        <v>2.805780135357594E-2</v>
      </c>
      <c r="F55" s="9">
        <v>26410.078000000001</v>
      </c>
      <c r="G55" s="33">
        <v>0.80890537316853051</v>
      </c>
      <c r="H55" s="1"/>
      <c r="I55" s="27"/>
      <c r="J55" s="56"/>
      <c r="K55" s="6">
        <v>10000</v>
      </c>
      <c r="L55" s="73">
        <v>120945.476</v>
      </c>
      <c r="M55" s="73">
        <v>93088.595000000001</v>
      </c>
      <c r="N55" s="18">
        <v>0.29925127777468319</v>
      </c>
      <c r="O55" s="73">
        <v>331721.14299999998</v>
      </c>
      <c r="P55" s="22">
        <v>-0.63540015898232927</v>
      </c>
      <c r="T55" s="6">
        <v>10000</v>
      </c>
      <c r="U55" s="73">
        <v>47104.345000000001</v>
      </c>
      <c r="V55" s="73">
        <v>11001.585999999999</v>
      </c>
      <c r="W55" s="18">
        <v>3.2815958535432985</v>
      </c>
      <c r="X55" s="73">
        <v>27750.521000000001</v>
      </c>
      <c r="Y55" s="31">
        <v>0.69742200515802932</v>
      </c>
      <c r="AC55" s="6">
        <v>10000</v>
      </c>
      <c r="AD55" s="73">
        <v>16021.182000000001</v>
      </c>
      <c r="AE55" s="73">
        <v>10282.169</v>
      </c>
      <c r="AF55" s="18">
        <v>0.55815198135724087</v>
      </c>
      <c r="AG55" s="73">
        <v>73727.284</v>
      </c>
      <c r="AH55" s="22">
        <v>-0.78269670153589277</v>
      </c>
      <c r="AL55" s="6">
        <v>10000</v>
      </c>
      <c r="AM55" s="73">
        <v>16176.173000000001</v>
      </c>
      <c r="AN55" s="73">
        <v>10622.058000000001</v>
      </c>
      <c r="AO55" s="18">
        <v>0.52288501908010665</v>
      </c>
      <c r="AP55" s="73">
        <v>71449.225999999995</v>
      </c>
      <c r="AQ55" s="22">
        <v>-0.77359904500574994</v>
      </c>
      <c r="AU55" s="24"/>
      <c r="AV55" s="24"/>
      <c r="AW55" s="24"/>
      <c r="AX55" s="16"/>
      <c r="AY55" s="24"/>
      <c r="AZ55" s="16"/>
    </row>
    <row r="56" spans="2:54" x14ac:dyDescent="0.25">
      <c r="B56" s="6">
        <v>50000</v>
      </c>
      <c r="C56" s="9">
        <v>262049.34299999999</v>
      </c>
      <c r="D56" s="9">
        <v>267493.80300000001</v>
      </c>
      <c r="E56" s="18">
        <v>-2.035359301389128E-2</v>
      </c>
      <c r="F56" s="9">
        <v>178646.747</v>
      </c>
      <c r="G56" s="33">
        <v>0.46685762489702642</v>
      </c>
      <c r="H56" s="1"/>
      <c r="I56" s="27"/>
      <c r="J56" s="56"/>
      <c r="K56" s="6">
        <v>50000</v>
      </c>
      <c r="L56" s="73">
        <v>221455.54800000001</v>
      </c>
      <c r="M56" s="73">
        <v>155516.234</v>
      </c>
      <c r="N56" s="18">
        <v>0.42400277002592546</v>
      </c>
      <c r="O56" s="73">
        <v>208371.72700000001</v>
      </c>
      <c r="P56" s="22">
        <v>6.2790769114276168E-2</v>
      </c>
      <c r="T56" s="6">
        <v>50000</v>
      </c>
      <c r="U56" s="73">
        <v>262414.49200000003</v>
      </c>
      <c r="V56" s="73">
        <v>67055.985000000001</v>
      </c>
      <c r="W56" s="18">
        <v>2.9133642135001079</v>
      </c>
      <c r="X56" s="73">
        <v>179327.93900000001</v>
      </c>
      <c r="Y56" s="22">
        <v>0.46332185304376927</v>
      </c>
      <c r="AC56" s="6">
        <v>50000</v>
      </c>
      <c r="AD56" s="73">
        <v>85832.824999999997</v>
      </c>
      <c r="AE56" s="73">
        <v>63641.900999999998</v>
      </c>
      <c r="AF56" s="18">
        <v>0.34868417899710447</v>
      </c>
      <c r="AG56" s="73">
        <v>384233.46600000001</v>
      </c>
      <c r="AH56" s="22">
        <v>-0.77661283413558779</v>
      </c>
      <c r="AL56" s="6">
        <v>50000</v>
      </c>
      <c r="AM56" s="73">
        <v>87041.388999999996</v>
      </c>
      <c r="AN56" s="73">
        <v>61063.266000000003</v>
      </c>
      <c r="AO56" s="18">
        <v>0.42542963555208457</v>
      </c>
      <c r="AP56" s="73">
        <v>119492.11500000001</v>
      </c>
      <c r="AQ56" s="22">
        <v>-0.27157211168285045</v>
      </c>
      <c r="AU56" s="24"/>
      <c r="AV56" s="24"/>
      <c r="AW56" s="24"/>
      <c r="AX56" s="16"/>
      <c r="AY56" s="24"/>
      <c r="AZ56" s="16"/>
    </row>
    <row r="57" spans="2:54" ht="20" thickBot="1" x14ac:dyDescent="0.3">
      <c r="B57" s="7">
        <v>100000</v>
      </c>
      <c r="C57" s="10">
        <v>537952.09900000005</v>
      </c>
      <c r="D57" s="10">
        <v>552028.38699999999</v>
      </c>
      <c r="E57" s="19">
        <v>-2.549921042375658E-2</v>
      </c>
      <c r="F57" s="10">
        <v>375053.06699999998</v>
      </c>
      <c r="G57" s="35">
        <v>0.43433595491701471</v>
      </c>
      <c r="H57" s="1"/>
      <c r="I57" s="27"/>
      <c r="J57" s="56"/>
      <c r="K57" s="7">
        <v>100000</v>
      </c>
      <c r="L57" s="74">
        <v>426429.65500000003</v>
      </c>
      <c r="M57" s="74">
        <v>283609.56</v>
      </c>
      <c r="N57" s="19">
        <v>0.5035799745255416</v>
      </c>
      <c r="O57" s="74">
        <v>373975.73599999998</v>
      </c>
      <c r="P57" s="23">
        <v>0.14026021998389782</v>
      </c>
      <c r="T57" s="7">
        <v>100000</v>
      </c>
      <c r="U57" s="74">
        <v>535070.51800000004</v>
      </c>
      <c r="V57" s="74">
        <v>188004.514</v>
      </c>
      <c r="W57" s="19">
        <v>1.8460514410840161</v>
      </c>
      <c r="X57" s="74">
        <v>379568.08600000001</v>
      </c>
      <c r="Y57" s="23">
        <v>0.40968257800261965</v>
      </c>
      <c r="AC57" s="7">
        <v>100000</v>
      </c>
      <c r="AD57" s="74">
        <v>236341.451</v>
      </c>
      <c r="AE57" s="74">
        <v>170234.08</v>
      </c>
      <c r="AF57" s="19">
        <v>0.3883321776697124</v>
      </c>
      <c r="AG57" s="74">
        <v>272082.21600000001</v>
      </c>
      <c r="AH57" s="23">
        <v>-0.13136016578165477</v>
      </c>
      <c r="AL57" s="7">
        <v>100000</v>
      </c>
      <c r="AM57" s="74">
        <v>286903.90299999999</v>
      </c>
      <c r="AN57" s="74">
        <v>159477.40400000001</v>
      </c>
      <c r="AO57" s="19">
        <v>0.7990254155378651</v>
      </c>
      <c r="AP57" s="74">
        <v>264819.63900000002</v>
      </c>
      <c r="AQ57" s="23">
        <v>8.3393603599013932E-2</v>
      </c>
      <c r="AU57" s="24"/>
      <c r="AV57" s="24"/>
      <c r="AW57" s="24"/>
      <c r="AX57" s="16"/>
      <c r="AY57" s="24"/>
      <c r="AZ57" s="16"/>
    </row>
    <row r="58" spans="2:54" ht="20" thickBot="1" x14ac:dyDescent="0.3">
      <c r="H58" s="1"/>
      <c r="I58" s="27"/>
      <c r="J58" s="56"/>
    </row>
    <row r="59" spans="2:54" ht="40" x14ac:dyDescent="0.25">
      <c r="B59" s="11" t="s">
        <v>485</v>
      </c>
      <c r="C59" s="12" t="s">
        <v>340</v>
      </c>
      <c r="D59" s="12" t="s">
        <v>341</v>
      </c>
      <c r="E59" s="28" t="s">
        <v>162</v>
      </c>
      <c r="F59" s="12" t="s">
        <v>342</v>
      </c>
      <c r="G59" s="29" t="s">
        <v>162</v>
      </c>
      <c r="H59" s="1"/>
      <c r="I59" s="27"/>
      <c r="J59" s="56"/>
      <c r="K59" s="105" t="s">
        <v>1089</v>
      </c>
      <c r="L59" s="72" t="s">
        <v>340</v>
      </c>
      <c r="M59" s="72" t="s">
        <v>341</v>
      </c>
      <c r="N59" s="17" t="s">
        <v>162</v>
      </c>
      <c r="O59" s="72" t="s">
        <v>342</v>
      </c>
      <c r="P59" s="21" t="s">
        <v>162</v>
      </c>
      <c r="T59" s="5" t="s">
        <v>564</v>
      </c>
      <c r="U59" s="72" t="s">
        <v>340</v>
      </c>
      <c r="V59" s="72" t="s">
        <v>341</v>
      </c>
      <c r="W59" s="17" t="s">
        <v>162</v>
      </c>
      <c r="X59" s="72" t="s">
        <v>342</v>
      </c>
      <c r="Y59" s="21" t="s">
        <v>162</v>
      </c>
      <c r="AC59" s="5" t="s">
        <v>740</v>
      </c>
      <c r="AD59" s="72" t="s">
        <v>340</v>
      </c>
      <c r="AE59" s="72" t="s">
        <v>341</v>
      </c>
      <c r="AF59" s="17" t="s">
        <v>162</v>
      </c>
      <c r="AG59" s="72" t="s">
        <v>342</v>
      </c>
      <c r="AH59" s="21" t="s">
        <v>162</v>
      </c>
      <c r="AL59" s="5" t="s">
        <v>740</v>
      </c>
      <c r="AM59" s="72" t="s">
        <v>340</v>
      </c>
      <c r="AN59" s="72" t="s">
        <v>341</v>
      </c>
      <c r="AO59" s="17" t="s">
        <v>162</v>
      </c>
      <c r="AP59" s="72" t="s">
        <v>342</v>
      </c>
      <c r="AQ59" s="21" t="s">
        <v>162</v>
      </c>
      <c r="AU59" s="82"/>
      <c r="AV59" s="78"/>
      <c r="AW59" s="78"/>
      <c r="AX59" s="44"/>
      <c r="AY59" s="78"/>
      <c r="AZ59" s="44"/>
    </row>
    <row r="60" spans="2:54" x14ac:dyDescent="0.25">
      <c r="B60" s="6">
        <v>100</v>
      </c>
      <c r="C60" s="9">
        <v>930.68700000000001</v>
      </c>
      <c r="D60" s="9">
        <v>519.17999999999995</v>
      </c>
      <c r="E60" s="34">
        <v>0.79260949959551619</v>
      </c>
      <c r="F60" s="9">
        <v>497.221</v>
      </c>
      <c r="G60" s="33">
        <v>0.87177733844708882</v>
      </c>
      <c r="H60" s="1"/>
      <c r="I60" s="27"/>
      <c r="J60" s="56"/>
      <c r="K60" s="67">
        <v>100</v>
      </c>
      <c r="L60" s="73">
        <v>85065.103000000003</v>
      </c>
      <c r="M60" s="73">
        <v>82879.293999999994</v>
      </c>
      <c r="N60" s="18">
        <v>2.6373402746408647E-2</v>
      </c>
      <c r="O60" s="73">
        <v>85514.948999999993</v>
      </c>
      <c r="P60" s="22">
        <v>-5.2604369792700334E-3</v>
      </c>
      <c r="T60" s="67">
        <v>100</v>
      </c>
      <c r="U60" s="73">
        <v>775.08799999999997</v>
      </c>
      <c r="V60" s="73">
        <v>404.36900000000003</v>
      </c>
      <c r="W60" s="18">
        <v>0.91678392755132054</v>
      </c>
      <c r="X60" s="73">
        <v>525.596</v>
      </c>
      <c r="Y60" s="22">
        <v>0.47468397780805027</v>
      </c>
      <c r="AC60" s="67">
        <v>100</v>
      </c>
      <c r="AD60" s="73">
        <v>587.03099999999995</v>
      </c>
      <c r="AE60" s="73">
        <v>362.26400000000001</v>
      </c>
      <c r="AF60" s="18">
        <v>0.6204508314378463</v>
      </c>
      <c r="AG60" s="73">
        <v>1068.702</v>
      </c>
      <c r="AH60" s="22">
        <v>-0.4507065580489229</v>
      </c>
      <c r="AL60" s="67">
        <v>100</v>
      </c>
      <c r="AM60" s="73">
        <v>569.21600000000001</v>
      </c>
      <c r="AN60" s="73">
        <v>351.46300000000002</v>
      </c>
      <c r="AO60" s="18">
        <v>0.61956166082916253</v>
      </c>
      <c r="AP60" s="73">
        <v>1091.4670000000001</v>
      </c>
      <c r="AQ60" s="22">
        <v>-0.47848537793630042</v>
      </c>
      <c r="AU60" s="3"/>
      <c r="AV60" s="24"/>
      <c r="AW60" s="24"/>
      <c r="AX60" s="16"/>
      <c r="AY60" s="24"/>
      <c r="AZ60" s="16"/>
    </row>
    <row r="61" spans="2:54" x14ac:dyDescent="0.25">
      <c r="B61" s="6">
        <v>1000</v>
      </c>
      <c r="C61" s="9">
        <v>8997.0779999999995</v>
      </c>
      <c r="D61" s="9">
        <v>5844.2030000000004</v>
      </c>
      <c r="E61" s="34">
        <v>0.53948759137901248</v>
      </c>
      <c r="F61" s="9">
        <v>4742.5460000000003</v>
      </c>
      <c r="G61" s="33">
        <v>0.89709873135653284</v>
      </c>
      <c r="H61" s="1"/>
      <c r="I61" s="27"/>
      <c r="J61" s="56"/>
      <c r="K61" s="67">
        <v>1000</v>
      </c>
      <c r="L61" s="73">
        <v>94418.19</v>
      </c>
      <c r="M61" s="73">
        <v>83976.774000000005</v>
      </c>
      <c r="N61" s="18">
        <v>0.12433695059541106</v>
      </c>
      <c r="O61" s="73">
        <v>102809.515</v>
      </c>
      <c r="P61" s="22">
        <v>-8.1620120472312263E-2</v>
      </c>
      <c r="T61" s="67">
        <v>1000</v>
      </c>
      <c r="U61" s="73">
        <v>8365.6129999999994</v>
      </c>
      <c r="V61" s="73">
        <v>3770.297</v>
      </c>
      <c r="W61" s="18">
        <v>1.218820692375163</v>
      </c>
      <c r="X61" s="73">
        <v>5048.6509999999998</v>
      </c>
      <c r="Y61" s="22">
        <v>0.65699966188987902</v>
      </c>
      <c r="AC61" s="67">
        <v>1000</v>
      </c>
      <c r="AD61" s="73">
        <v>5773.7380000000003</v>
      </c>
      <c r="AE61" s="73">
        <v>3907.2359999999999</v>
      </c>
      <c r="AF61" s="18">
        <v>0.47770393188432969</v>
      </c>
      <c r="AG61" s="73">
        <v>11538.531000000001</v>
      </c>
      <c r="AH61" s="22">
        <v>-0.49961238566677169</v>
      </c>
      <c r="AL61" s="67">
        <v>1000</v>
      </c>
      <c r="AM61" s="73">
        <v>5573.4809999999998</v>
      </c>
      <c r="AN61" s="73">
        <v>3738.1860000000001</v>
      </c>
      <c r="AO61" s="18">
        <v>0.49095871633995736</v>
      </c>
      <c r="AP61" s="73">
        <v>3841.998</v>
      </c>
      <c r="AQ61" s="22">
        <v>0.45067254069367024</v>
      </c>
      <c r="AU61" s="3"/>
      <c r="AV61" s="24"/>
      <c r="AW61" s="24"/>
      <c r="AX61" s="16"/>
      <c r="AY61" s="24"/>
      <c r="AZ61" s="16"/>
    </row>
    <row r="62" spans="2:54" x14ac:dyDescent="0.25">
      <c r="B62" s="6">
        <v>10000</v>
      </c>
      <c r="C62" s="9">
        <v>87474.792000000001</v>
      </c>
      <c r="D62" s="9">
        <v>73893.357999999993</v>
      </c>
      <c r="E62" s="34">
        <v>0.18379776434033501</v>
      </c>
      <c r="F62" s="9">
        <v>52373.377</v>
      </c>
      <c r="G62" s="33">
        <v>0.67021484980813817</v>
      </c>
      <c r="H62" s="1"/>
      <c r="I62" s="27"/>
      <c r="J62" s="56"/>
      <c r="K62" s="6">
        <v>10000</v>
      </c>
      <c r="L62" s="73">
        <v>262909.63400000002</v>
      </c>
      <c r="M62" s="73">
        <v>119608.701</v>
      </c>
      <c r="N62" s="18">
        <v>1.198081174713201</v>
      </c>
      <c r="O62" s="73">
        <v>233833.481</v>
      </c>
      <c r="P62" s="22">
        <v>0.12434555084094234</v>
      </c>
      <c r="T62" s="6">
        <v>10000</v>
      </c>
      <c r="U62" s="73">
        <v>82713.054000000004</v>
      </c>
      <c r="V62" s="73">
        <v>41043.177000000003</v>
      </c>
      <c r="W62" s="18">
        <v>1.0152692858060184</v>
      </c>
      <c r="X62" s="73">
        <v>55144.357000000004</v>
      </c>
      <c r="Y62" s="22">
        <v>0.49993686570685725</v>
      </c>
      <c r="AC62" s="6">
        <v>10000</v>
      </c>
      <c r="AD62" s="73">
        <v>61931.964999999997</v>
      </c>
      <c r="AE62" s="73">
        <v>36138.875999999997</v>
      </c>
      <c r="AF62" s="18">
        <v>0.71372139520886035</v>
      </c>
      <c r="AG62" s="73">
        <v>103593.86599999999</v>
      </c>
      <c r="AH62" s="22">
        <v>-0.40216571317070071</v>
      </c>
      <c r="AL62" s="6">
        <v>10000</v>
      </c>
      <c r="AM62" s="73">
        <v>60252.004000000001</v>
      </c>
      <c r="AN62" s="73">
        <v>35833.190999999999</v>
      </c>
      <c r="AO62" s="18">
        <v>0.68145795332601011</v>
      </c>
      <c r="AP62" s="73">
        <v>98189.524000000005</v>
      </c>
      <c r="AQ62" s="22">
        <v>-0.38637034231879974</v>
      </c>
      <c r="AU62" s="24"/>
      <c r="AV62" s="24"/>
      <c r="AW62" s="24"/>
      <c r="AX62" s="16"/>
      <c r="AY62" s="24"/>
      <c r="AZ62" s="16"/>
    </row>
    <row r="63" spans="2:54" x14ac:dyDescent="0.25">
      <c r="B63" s="6">
        <v>50000</v>
      </c>
      <c r="C63" s="9">
        <v>466078.386</v>
      </c>
      <c r="D63" s="9">
        <v>386554.74800000002</v>
      </c>
      <c r="E63" s="34">
        <v>0.20572412681890007</v>
      </c>
      <c r="F63" s="9">
        <v>286015.32299999997</v>
      </c>
      <c r="G63" s="33">
        <v>0.62955739962225743</v>
      </c>
      <c r="H63" s="1"/>
      <c r="I63" s="27"/>
      <c r="J63" s="56"/>
      <c r="K63" s="6">
        <v>50000</v>
      </c>
      <c r="L63" s="73">
        <v>1001916.806</v>
      </c>
      <c r="M63" s="73">
        <v>295057.21000000002</v>
      </c>
      <c r="N63" s="18">
        <v>2.3956696262396027</v>
      </c>
      <c r="O63" s="73">
        <v>326562.891</v>
      </c>
      <c r="P63" s="22">
        <v>2.0680669286456066</v>
      </c>
      <c r="T63" s="6">
        <v>50000</v>
      </c>
      <c r="U63" s="73">
        <v>439993.24599999998</v>
      </c>
      <c r="V63" s="73">
        <v>225473.136</v>
      </c>
      <c r="W63" s="18">
        <v>0.95142203548364179</v>
      </c>
      <c r="X63" s="73">
        <v>494119.60700000002</v>
      </c>
      <c r="Y63" s="31">
        <v>-0.10954101038131858</v>
      </c>
      <c r="AC63" s="6">
        <v>50000</v>
      </c>
      <c r="AD63" s="73">
        <v>342491.22</v>
      </c>
      <c r="AE63" s="73">
        <v>201919.75399999999</v>
      </c>
      <c r="AF63" s="18">
        <v>0.69617490718614872</v>
      </c>
      <c r="AG63" s="73">
        <v>244863.55499999999</v>
      </c>
      <c r="AH63" s="22">
        <v>0.39870230994563483</v>
      </c>
      <c r="AL63" s="6">
        <v>50000</v>
      </c>
      <c r="AM63" s="73">
        <v>331978.00900000002</v>
      </c>
      <c r="AN63" s="73">
        <v>195285.484</v>
      </c>
      <c r="AO63" s="18">
        <v>0.69996254816359027</v>
      </c>
      <c r="AP63" s="73">
        <v>236225.38500000001</v>
      </c>
      <c r="AQ63" s="22">
        <v>0.40534434518965856</v>
      </c>
      <c r="AU63" s="24"/>
      <c r="AV63" s="24"/>
      <c r="AW63" s="24"/>
      <c r="AX63" s="16"/>
      <c r="AY63" s="24"/>
      <c r="AZ63" s="16"/>
    </row>
    <row r="64" spans="2:54" ht="20" thickBot="1" x14ac:dyDescent="0.3">
      <c r="B64" s="7">
        <v>100000</v>
      </c>
      <c r="C64" s="10">
        <v>993975.59400000004</v>
      </c>
      <c r="D64" s="10">
        <v>818568.63600000006</v>
      </c>
      <c r="E64" s="36">
        <v>0.2142849729219285</v>
      </c>
      <c r="F64" s="10">
        <v>589703.30900000001</v>
      </c>
      <c r="G64" s="39">
        <v>0.68555200357541146</v>
      </c>
      <c r="H64" s="1"/>
      <c r="I64" s="27"/>
      <c r="J64" s="56"/>
      <c r="K64" s="7">
        <v>100000</v>
      </c>
      <c r="L64" s="74">
        <v>2671370.017</v>
      </c>
      <c r="M64" s="74">
        <v>506263.43</v>
      </c>
      <c r="N64" s="19">
        <v>4.2766402996953579</v>
      </c>
      <c r="O64" s="74">
        <v>588786.56000000006</v>
      </c>
      <c r="P64" s="23">
        <v>3.537077098023433</v>
      </c>
      <c r="T64" s="7">
        <v>100000</v>
      </c>
      <c r="U64" s="74">
        <v>906850.89399999997</v>
      </c>
      <c r="V64" s="74">
        <v>469791.40899999999</v>
      </c>
      <c r="W64" s="19">
        <v>0.93032668675301378</v>
      </c>
      <c r="X64" s="74">
        <v>594426.07200000004</v>
      </c>
      <c r="Y64" s="23">
        <v>0.52559071130379342</v>
      </c>
      <c r="AC64" s="7">
        <v>100000</v>
      </c>
      <c r="AD64" s="74">
        <v>695067.42200000002</v>
      </c>
      <c r="AE64" s="74">
        <v>418957.18099999998</v>
      </c>
      <c r="AF64" s="19">
        <v>0.65904167185047013</v>
      </c>
      <c r="AG64" s="74">
        <v>508114.14799999999</v>
      </c>
      <c r="AH64" s="23">
        <v>0.36793558049086261</v>
      </c>
      <c r="AL64" s="7">
        <v>100000</v>
      </c>
      <c r="AM64" s="74">
        <v>669984.86300000001</v>
      </c>
      <c r="AN64" s="74">
        <v>405729.52100000001</v>
      </c>
      <c r="AO64" s="19">
        <v>0.65130913163205584</v>
      </c>
      <c r="AP64" s="74">
        <v>496040.34600000002</v>
      </c>
      <c r="AQ64" s="23">
        <v>0.3506660665864465</v>
      </c>
      <c r="AU64" s="24"/>
      <c r="AV64" s="24"/>
      <c r="AW64" s="24"/>
      <c r="AX64" s="16"/>
      <c r="AY64" s="24"/>
      <c r="AZ64" s="16"/>
    </row>
    <row r="65" spans="2:54" x14ac:dyDescent="0.25">
      <c r="H65" s="1"/>
      <c r="I65" s="27"/>
      <c r="J65" s="56"/>
    </row>
    <row r="66" spans="2:54" ht="20" thickBot="1" x14ac:dyDescent="0.3">
      <c r="H66" s="1"/>
      <c r="I66" s="27"/>
      <c r="J66" s="56"/>
    </row>
    <row r="67" spans="2:54" ht="40" x14ac:dyDescent="0.25">
      <c r="B67" s="11" t="s">
        <v>169</v>
      </c>
      <c r="C67" s="12" t="s">
        <v>344</v>
      </c>
      <c r="D67" s="12" t="s">
        <v>341</v>
      </c>
      <c r="E67" s="28" t="s">
        <v>162</v>
      </c>
      <c r="F67" s="12" t="s">
        <v>343</v>
      </c>
      <c r="G67" s="29" t="s">
        <v>162</v>
      </c>
      <c r="H67" s="12" t="s">
        <v>342</v>
      </c>
      <c r="I67" s="29" t="s">
        <v>162</v>
      </c>
      <c r="J67" s="61"/>
      <c r="T67" s="70" t="s">
        <v>569</v>
      </c>
      <c r="U67" s="72" t="s">
        <v>344</v>
      </c>
      <c r="V67" s="72" t="s">
        <v>341</v>
      </c>
      <c r="W67" s="17" t="s">
        <v>162</v>
      </c>
      <c r="X67" s="72" t="s">
        <v>343</v>
      </c>
      <c r="Y67" s="17" t="s">
        <v>162</v>
      </c>
      <c r="Z67" s="72" t="s">
        <v>342</v>
      </c>
      <c r="AA67" s="87" t="s">
        <v>162</v>
      </c>
      <c r="AC67" s="70" t="s">
        <v>786</v>
      </c>
      <c r="AD67" s="72" t="s">
        <v>344</v>
      </c>
      <c r="AE67" s="72" t="s">
        <v>341</v>
      </c>
      <c r="AF67" s="17" t="s">
        <v>162</v>
      </c>
      <c r="AG67" s="72" t="s">
        <v>343</v>
      </c>
      <c r="AH67" s="17" t="s">
        <v>162</v>
      </c>
      <c r="AI67" s="72" t="s">
        <v>342</v>
      </c>
      <c r="AJ67" s="21" t="s">
        <v>162</v>
      </c>
      <c r="AL67" s="70" t="s">
        <v>786</v>
      </c>
      <c r="AM67" s="72" t="s">
        <v>344</v>
      </c>
      <c r="AN67" s="72" t="s">
        <v>341</v>
      </c>
      <c r="AO67" s="17" t="s">
        <v>162</v>
      </c>
      <c r="AP67" s="72" t="s">
        <v>343</v>
      </c>
      <c r="AQ67" s="17" t="s">
        <v>162</v>
      </c>
      <c r="AR67" s="72" t="s">
        <v>342</v>
      </c>
      <c r="AS67" s="21" t="s">
        <v>162</v>
      </c>
      <c r="AU67" s="80"/>
      <c r="AV67" s="78"/>
      <c r="AW67" s="78"/>
      <c r="AX67" s="44"/>
      <c r="AY67" s="78"/>
      <c r="AZ67" s="44"/>
      <c r="BA67" s="78"/>
      <c r="BB67" s="44"/>
    </row>
    <row r="68" spans="2:54" ht="20" thickBot="1" x14ac:dyDescent="0.3">
      <c r="B68" s="6">
        <v>100</v>
      </c>
      <c r="C68" s="9">
        <v>1017.705</v>
      </c>
      <c r="D68" s="9">
        <v>1420.3679999999999</v>
      </c>
      <c r="E68" s="18">
        <v>-0.2834920246020749</v>
      </c>
      <c r="F68" s="9">
        <v>1615.4269999999999</v>
      </c>
      <c r="G68" s="22">
        <v>-0.37000867262958947</v>
      </c>
      <c r="H68" s="9">
        <v>1178.395</v>
      </c>
      <c r="I68" s="22">
        <v>-0.13636344349729923</v>
      </c>
      <c r="J68" s="58"/>
      <c r="T68" s="67">
        <v>100</v>
      </c>
      <c r="U68" s="73">
        <v>910.255</v>
      </c>
      <c r="V68" s="73">
        <v>942.57</v>
      </c>
      <c r="W68" s="18">
        <v>-3.4283925862270248E-2</v>
      </c>
      <c r="X68" s="73">
        <v>728.42899999999997</v>
      </c>
      <c r="Y68" s="18">
        <v>0.24961389510851428</v>
      </c>
      <c r="Z68" s="73">
        <v>1161.8499999999999</v>
      </c>
      <c r="AA68" s="88">
        <v>-0.21654688643112274</v>
      </c>
      <c r="AC68" s="67">
        <v>100</v>
      </c>
      <c r="AD68" s="73">
        <v>649.08000000000004</v>
      </c>
      <c r="AE68" s="73">
        <v>674.76800000000003</v>
      </c>
      <c r="AF68" s="18">
        <v>-3.8069380883503645E-2</v>
      </c>
      <c r="AG68" s="73">
        <v>562.19500000000005</v>
      </c>
      <c r="AH68" s="18">
        <v>0.15454602050889821</v>
      </c>
      <c r="AI68" s="73">
        <v>722.65099999999995</v>
      </c>
      <c r="AJ68" s="22">
        <v>-0.10180709637155405</v>
      </c>
      <c r="AL68" s="67">
        <v>100</v>
      </c>
      <c r="AM68" s="73">
        <v>447.19499999999999</v>
      </c>
      <c r="AN68" s="73">
        <v>636.96100000000001</v>
      </c>
      <c r="AO68" s="18">
        <v>-0.29792404872511824</v>
      </c>
      <c r="AP68" s="73">
        <v>563.12800000000004</v>
      </c>
      <c r="AQ68" s="18">
        <v>-0.20587326504808856</v>
      </c>
      <c r="AR68" s="73">
        <v>604.48500000000001</v>
      </c>
      <c r="AS68" s="22">
        <v>-0.26020496786520764</v>
      </c>
      <c r="AU68" s="3"/>
      <c r="AV68" s="24"/>
      <c r="AW68" s="24"/>
      <c r="AX68" s="16"/>
      <c r="AY68" s="24"/>
      <c r="AZ68" s="16"/>
      <c r="BA68" s="24"/>
      <c r="BB68" s="16"/>
    </row>
    <row r="69" spans="2:54" x14ac:dyDescent="0.25">
      <c r="B69" s="6">
        <v>1000</v>
      </c>
      <c r="C69" s="9">
        <v>11174.199000000001</v>
      </c>
      <c r="D69" s="9">
        <v>15120.548000000001</v>
      </c>
      <c r="E69" s="18">
        <v>-0.26099245873892929</v>
      </c>
      <c r="F69" s="9">
        <v>15674.986999999999</v>
      </c>
      <c r="G69" s="22">
        <v>-0.28713184897697197</v>
      </c>
      <c r="H69" s="9">
        <v>11047.698</v>
      </c>
      <c r="I69" s="55">
        <v>1.1450439720564365E-2</v>
      </c>
      <c r="J69" s="62"/>
      <c r="K69" s="5" t="s">
        <v>565</v>
      </c>
      <c r="L69" s="8" t="s">
        <v>344</v>
      </c>
      <c r="M69" s="8" t="s">
        <v>341</v>
      </c>
      <c r="N69" s="17" t="s">
        <v>162</v>
      </c>
      <c r="O69" s="8" t="s">
        <v>343</v>
      </c>
      <c r="P69" s="21" t="s">
        <v>162</v>
      </c>
      <c r="Q69" s="8" t="s">
        <v>342</v>
      </c>
      <c r="R69" s="21" t="s">
        <v>162</v>
      </c>
      <c r="S69" s="57"/>
      <c r="T69" s="67">
        <v>1000</v>
      </c>
      <c r="U69" s="73">
        <v>11470.361999999999</v>
      </c>
      <c r="V69" s="73">
        <v>11192.414000000001</v>
      </c>
      <c r="W69" s="20">
        <v>2.4833606047810486E-2</v>
      </c>
      <c r="X69" s="73">
        <v>14598.489</v>
      </c>
      <c r="Y69" s="18">
        <v>-0.21427745022104694</v>
      </c>
      <c r="Z69" s="73">
        <v>8213.5159999999996</v>
      </c>
      <c r="AA69" s="89">
        <v>0.39652275590624031</v>
      </c>
      <c r="AB69" s="57"/>
      <c r="AC69" s="67">
        <v>1000</v>
      </c>
      <c r="AD69" s="101">
        <v>6105.2219999999998</v>
      </c>
      <c r="AE69" s="101">
        <v>6536.0119999999997</v>
      </c>
      <c r="AF69" s="20">
        <v>-6.5910221707059291E-2</v>
      </c>
      <c r="AG69" s="101">
        <v>5728.9139999999998</v>
      </c>
      <c r="AH69" s="20">
        <v>6.5685747769996139E-2</v>
      </c>
      <c r="AI69" s="101">
        <v>7498.8429999999998</v>
      </c>
      <c r="AJ69" s="31">
        <v>-0.18584480299160822</v>
      </c>
      <c r="AL69" s="67">
        <v>1000</v>
      </c>
      <c r="AM69" s="73">
        <v>8006.3729999999996</v>
      </c>
      <c r="AN69" s="73">
        <v>6171.8109999999997</v>
      </c>
      <c r="AO69" s="18">
        <v>0.29724857096239665</v>
      </c>
      <c r="AP69" s="73">
        <v>5715.3490000000002</v>
      </c>
      <c r="AQ69" s="18">
        <v>0.40085461097826203</v>
      </c>
      <c r="AR69" s="73">
        <v>7282.9830000000002</v>
      </c>
      <c r="AS69" s="22">
        <v>9.9326059116161547E-2</v>
      </c>
      <c r="AU69" s="3"/>
      <c r="AV69" s="86"/>
      <c r="AW69" s="86"/>
      <c r="AX69" s="81"/>
      <c r="AY69" s="86"/>
      <c r="AZ69" s="81"/>
      <c r="BA69" s="86"/>
      <c r="BB69" s="81"/>
    </row>
    <row r="70" spans="2:54" x14ac:dyDescent="0.25">
      <c r="B70" s="6">
        <v>10000</v>
      </c>
      <c r="C70" s="9">
        <v>105969.094</v>
      </c>
      <c r="D70" s="9">
        <v>263647.01400000002</v>
      </c>
      <c r="E70" s="18">
        <v>-0.59806450150047974</v>
      </c>
      <c r="F70" s="9">
        <v>255743.66399999999</v>
      </c>
      <c r="G70" s="22">
        <v>-0.58564332604541081</v>
      </c>
      <c r="H70" s="9">
        <v>153925.56200000001</v>
      </c>
      <c r="I70" s="53">
        <v>-0.31155623131653731</v>
      </c>
      <c r="J70" s="63"/>
      <c r="K70" s="6">
        <v>10000</v>
      </c>
      <c r="L70" s="9">
        <v>134184.878</v>
      </c>
      <c r="M70" s="9">
        <v>165672.35200000001</v>
      </c>
      <c r="N70" s="18">
        <v>-0.19005871299515331</v>
      </c>
      <c r="O70" s="9">
        <v>187124.91800000001</v>
      </c>
      <c r="P70" s="22">
        <v>-0.28291282938598272</v>
      </c>
      <c r="Q70" s="9">
        <v>174383.522</v>
      </c>
      <c r="R70" s="22">
        <v>-0.23051859223258486</v>
      </c>
      <c r="S70" s="58"/>
      <c r="T70" s="6">
        <v>10000</v>
      </c>
      <c r="U70" s="73">
        <v>117173.397</v>
      </c>
      <c r="V70" s="73">
        <v>157813.826</v>
      </c>
      <c r="W70" s="18">
        <v>-0.25752134670380533</v>
      </c>
      <c r="X70" s="73">
        <v>141401.64000000001</v>
      </c>
      <c r="Y70" s="18">
        <v>-0.17134343703510102</v>
      </c>
      <c r="Z70" s="73">
        <v>163869.93100000001</v>
      </c>
      <c r="AA70" s="88">
        <v>-0.28496096700010209</v>
      </c>
      <c r="AB70" s="58"/>
      <c r="AC70" s="6">
        <v>10000</v>
      </c>
      <c r="AD70" s="73">
        <v>84109</v>
      </c>
      <c r="AE70" s="73">
        <v>80299</v>
      </c>
      <c r="AF70" s="18">
        <v>4.7447664354475227E-2</v>
      </c>
      <c r="AG70" s="73">
        <v>76694</v>
      </c>
      <c r="AH70" s="18">
        <v>9.6682921740944616E-2</v>
      </c>
      <c r="AI70" s="73">
        <v>108288</v>
      </c>
      <c r="AJ70" s="22">
        <v>-0.22328420508274227</v>
      </c>
      <c r="AL70" s="6">
        <v>10000</v>
      </c>
      <c r="AM70" s="73">
        <v>84776.27</v>
      </c>
      <c r="AN70" s="73">
        <v>83311.801999999996</v>
      </c>
      <c r="AO70" s="18">
        <v>1.7578157774093217E-2</v>
      </c>
      <c r="AP70" s="73">
        <v>77054.316999999995</v>
      </c>
      <c r="AQ70" s="18">
        <v>0.10021441108873907</v>
      </c>
      <c r="AR70" s="73">
        <v>104789.784</v>
      </c>
      <c r="AS70" s="22">
        <v>-0.19098726265148136</v>
      </c>
      <c r="AU70" s="24"/>
      <c r="AV70" s="24"/>
      <c r="AW70" s="24"/>
      <c r="AX70" s="16"/>
      <c r="AY70" s="24"/>
      <c r="AZ70" s="16"/>
      <c r="BA70" s="24"/>
      <c r="BB70" s="16"/>
    </row>
    <row r="71" spans="2:54" x14ac:dyDescent="0.25">
      <c r="B71" s="6">
        <v>50000</v>
      </c>
      <c r="C71" s="9">
        <v>613397.21600000001</v>
      </c>
      <c r="D71" s="9">
        <v>1505125.03</v>
      </c>
      <c r="E71" s="18">
        <v>-0.59246095588484105</v>
      </c>
      <c r="F71" s="9">
        <v>1521824.5919999999</v>
      </c>
      <c r="G71" s="22">
        <v>-0.59693303733916792</v>
      </c>
      <c r="H71" s="9">
        <v>819986.26399999997</v>
      </c>
      <c r="I71" s="53">
        <v>-0.2519420837517834</v>
      </c>
      <c r="J71" s="63"/>
      <c r="K71" s="6">
        <v>50000</v>
      </c>
      <c r="L71" s="9">
        <v>670201.10499999998</v>
      </c>
      <c r="M71" s="9">
        <v>872561.10499999998</v>
      </c>
      <c r="N71" s="18">
        <v>-0.23191499006823135</v>
      </c>
      <c r="O71" s="9">
        <v>744016.87199999997</v>
      </c>
      <c r="P71" s="22">
        <v>-9.9212490708140866E-2</v>
      </c>
      <c r="Q71" s="9">
        <v>862493.33799999999</v>
      </c>
      <c r="R71" s="22">
        <v>-0.2229492385945826</v>
      </c>
      <c r="S71" s="58"/>
      <c r="T71" s="6">
        <v>50000</v>
      </c>
      <c r="U71" s="73">
        <v>658289.24800000002</v>
      </c>
      <c r="V71" s="73">
        <v>876187.21100000001</v>
      </c>
      <c r="W71" s="18">
        <v>-0.24868881931215492</v>
      </c>
      <c r="X71" s="73">
        <v>699984.23800000001</v>
      </c>
      <c r="Y71" s="18">
        <v>-5.9565612675981372E-2</v>
      </c>
      <c r="Z71" s="73">
        <v>829671.67299999995</v>
      </c>
      <c r="AA71" s="88">
        <v>-0.2065665619030963</v>
      </c>
      <c r="AB71" s="58"/>
      <c r="AC71" s="6">
        <v>50000</v>
      </c>
      <c r="AD71" s="73">
        <v>495696</v>
      </c>
      <c r="AE71" s="73">
        <v>598668</v>
      </c>
      <c r="AF71" s="18">
        <v>-0.17200184409388841</v>
      </c>
      <c r="AG71" s="73">
        <v>496577</v>
      </c>
      <c r="AH71" s="18">
        <v>-1.7741458021616197E-3</v>
      </c>
      <c r="AI71" s="73">
        <v>555912</v>
      </c>
      <c r="AJ71" s="22">
        <v>-0.10831930233562148</v>
      </c>
      <c r="AL71" s="6">
        <v>50000</v>
      </c>
      <c r="AM71" s="73">
        <v>513358.07500000001</v>
      </c>
      <c r="AN71" s="73">
        <v>523055.75099999999</v>
      </c>
      <c r="AO71" s="18">
        <v>-1.8540425148675932E-2</v>
      </c>
      <c r="AP71" s="73">
        <v>483848.359</v>
      </c>
      <c r="AQ71" s="18">
        <v>6.0989596122615009E-2</v>
      </c>
      <c r="AR71" s="73">
        <v>564776.51699999999</v>
      </c>
      <c r="AS71" s="22">
        <v>-9.1042103296231747E-2</v>
      </c>
      <c r="AU71" s="24"/>
      <c r="AV71" s="24"/>
      <c r="AW71" s="24"/>
      <c r="AX71" s="16"/>
      <c r="AY71" s="24"/>
      <c r="AZ71" s="16"/>
      <c r="BA71" s="24"/>
      <c r="BB71" s="16"/>
    </row>
    <row r="72" spans="2:54" ht="20" thickBot="1" x14ac:dyDescent="0.3">
      <c r="B72" s="7">
        <v>100000</v>
      </c>
      <c r="C72" s="10">
        <v>1291048.294</v>
      </c>
      <c r="D72" s="10">
        <v>3059346.07</v>
      </c>
      <c r="E72" s="19">
        <v>-0.57799861001014508</v>
      </c>
      <c r="F72" s="10">
        <v>3116360.9530000002</v>
      </c>
      <c r="G72" s="23">
        <v>-0.58571926889368908</v>
      </c>
      <c r="H72" s="10">
        <v>1715183.1270000001</v>
      </c>
      <c r="I72" s="54">
        <v>-0.24728253579654069</v>
      </c>
      <c r="J72" s="64"/>
      <c r="K72" s="7">
        <v>100000</v>
      </c>
      <c r="L72" s="10">
        <v>1389812.588</v>
      </c>
      <c r="M72" s="10">
        <v>1861595.743</v>
      </c>
      <c r="N72" s="19">
        <v>-0.25342943373930993</v>
      </c>
      <c r="O72" s="10">
        <v>1557895.7220000001</v>
      </c>
      <c r="P72" s="23">
        <v>-0.10789113265181693</v>
      </c>
      <c r="Q72" s="10">
        <v>1885208.919</v>
      </c>
      <c r="R72" s="23">
        <v>-0.26278060007417137</v>
      </c>
      <c r="S72" s="58"/>
      <c r="T72" s="7">
        <v>100000</v>
      </c>
      <c r="U72" s="74">
        <v>1350370.0379999999</v>
      </c>
      <c r="V72" s="74">
        <v>1771627.9779999999</v>
      </c>
      <c r="W72" s="19">
        <v>-0.23778013512496021</v>
      </c>
      <c r="X72" s="74">
        <v>1467588.686</v>
      </c>
      <c r="Y72" s="19">
        <v>-7.9871594213148711E-2</v>
      </c>
      <c r="Z72" s="74">
        <v>1647808.845</v>
      </c>
      <c r="AA72" s="90">
        <v>-0.1805056502169704</v>
      </c>
      <c r="AB72" s="58"/>
      <c r="AC72" s="7">
        <v>100000</v>
      </c>
      <c r="AD72" s="74">
        <v>1105742.804</v>
      </c>
      <c r="AE72" s="74">
        <v>1326076.75</v>
      </c>
      <c r="AF72" s="19">
        <v>-0.16615474632218685</v>
      </c>
      <c r="AG72" s="74">
        <v>1252598.8370000001</v>
      </c>
      <c r="AH72" s="19">
        <v>-0.1172410740470774</v>
      </c>
      <c r="AI72" s="74">
        <v>1263102.456</v>
      </c>
      <c r="AJ72" s="23">
        <v>-0.12458185893987372</v>
      </c>
      <c r="AL72" s="7">
        <v>100000</v>
      </c>
      <c r="AM72" s="74">
        <v>1073747.5449999999</v>
      </c>
      <c r="AN72" s="74">
        <v>1277393.4580000001</v>
      </c>
      <c r="AO72" s="19">
        <v>-0.15942301232608957</v>
      </c>
      <c r="AP72" s="74">
        <v>1112735.0390000001</v>
      </c>
      <c r="AQ72" s="19">
        <v>-3.5037536011302106E-2</v>
      </c>
      <c r="AR72" s="74">
        <v>1255440.7069999999</v>
      </c>
      <c r="AS72" s="23">
        <v>-0.14472460625733086</v>
      </c>
      <c r="AU72" s="24"/>
      <c r="AV72" s="24"/>
      <c r="AW72" s="24"/>
      <c r="AX72" s="16"/>
      <c r="AY72" s="24"/>
      <c r="AZ72" s="16"/>
      <c r="BA72" s="24"/>
      <c r="BB72" s="16"/>
    </row>
    <row r="73" spans="2:54" ht="20" thickBot="1" x14ac:dyDescent="0.3">
      <c r="H73" s="1"/>
      <c r="I73" s="13"/>
      <c r="J73" s="56"/>
    </row>
    <row r="74" spans="2:54" ht="40" x14ac:dyDescent="0.25">
      <c r="B74" s="11" t="s">
        <v>170</v>
      </c>
      <c r="C74" s="12" t="s">
        <v>344</v>
      </c>
      <c r="D74" s="12" t="s">
        <v>341</v>
      </c>
      <c r="E74" s="28" t="s">
        <v>162</v>
      </c>
      <c r="F74" s="12" t="s">
        <v>343</v>
      </c>
      <c r="G74" s="29" t="s">
        <v>162</v>
      </c>
      <c r="H74" s="12" t="s">
        <v>342</v>
      </c>
      <c r="I74" s="29" t="s">
        <v>162</v>
      </c>
      <c r="J74" s="61"/>
      <c r="T74" s="70" t="s">
        <v>570</v>
      </c>
      <c r="U74" s="72" t="s">
        <v>344</v>
      </c>
      <c r="V74" s="72" t="s">
        <v>341</v>
      </c>
      <c r="W74" s="17" t="s">
        <v>162</v>
      </c>
      <c r="X74" s="72" t="s">
        <v>343</v>
      </c>
      <c r="Y74" s="17" t="s">
        <v>162</v>
      </c>
      <c r="Z74" s="72" t="s">
        <v>342</v>
      </c>
      <c r="AA74" s="87" t="s">
        <v>162</v>
      </c>
      <c r="AC74" s="70" t="s">
        <v>807</v>
      </c>
      <c r="AD74" s="72" t="s">
        <v>344</v>
      </c>
      <c r="AE74" s="72" t="s">
        <v>341</v>
      </c>
      <c r="AF74" s="17" t="s">
        <v>162</v>
      </c>
      <c r="AG74" s="72" t="s">
        <v>343</v>
      </c>
      <c r="AH74" s="17" t="s">
        <v>162</v>
      </c>
      <c r="AI74" s="72" t="s">
        <v>342</v>
      </c>
      <c r="AJ74" s="21" t="s">
        <v>162</v>
      </c>
      <c r="AL74" s="70" t="s">
        <v>807</v>
      </c>
      <c r="AM74" s="72" t="s">
        <v>344</v>
      </c>
      <c r="AN74" s="72" t="s">
        <v>341</v>
      </c>
      <c r="AO74" s="17" t="s">
        <v>162</v>
      </c>
      <c r="AP74" s="72" t="s">
        <v>343</v>
      </c>
      <c r="AQ74" s="17" t="s">
        <v>162</v>
      </c>
      <c r="AR74" s="72" t="s">
        <v>342</v>
      </c>
      <c r="AS74" s="21" t="s">
        <v>162</v>
      </c>
      <c r="AU74" s="80"/>
      <c r="AV74" s="78"/>
      <c r="AW74" s="78"/>
      <c r="AX74" s="44"/>
      <c r="AY74" s="78"/>
      <c r="AZ74" s="44"/>
      <c r="BA74" s="78"/>
      <c r="BB74" s="44"/>
    </row>
    <row r="75" spans="2:54" ht="20" thickBot="1" x14ac:dyDescent="0.3">
      <c r="B75" s="6">
        <v>100</v>
      </c>
      <c r="C75" s="9">
        <v>1995.22</v>
      </c>
      <c r="D75" s="9">
        <v>2015.3209999999999</v>
      </c>
      <c r="E75" s="18">
        <v>-9.9740934570720086E-3</v>
      </c>
      <c r="F75" s="9">
        <v>1792.288</v>
      </c>
      <c r="G75" s="22">
        <v>0.11322510667928376</v>
      </c>
      <c r="H75" s="9">
        <v>1733.0450000000001</v>
      </c>
      <c r="I75" s="22">
        <v>0.15127997253389269</v>
      </c>
      <c r="J75" s="58"/>
      <c r="T75" s="67">
        <v>100</v>
      </c>
      <c r="U75" s="73">
        <v>1623.923</v>
      </c>
      <c r="V75" s="73">
        <v>1277.6569999999999</v>
      </c>
      <c r="W75" s="18">
        <v>0.27101639955011403</v>
      </c>
      <c r="X75" s="73">
        <v>1108.788</v>
      </c>
      <c r="Y75" s="18">
        <v>0.46459287077421463</v>
      </c>
      <c r="Z75" s="73">
        <v>1613.9069999999999</v>
      </c>
      <c r="AA75" s="88">
        <v>6.2060577220373059E-3</v>
      </c>
      <c r="AC75" s="67">
        <v>100</v>
      </c>
      <c r="AD75" s="73">
        <v>1352.5029999999999</v>
      </c>
      <c r="AE75" s="73">
        <v>1542.2639999999999</v>
      </c>
      <c r="AF75" s="18">
        <v>-0.12304054299393619</v>
      </c>
      <c r="AG75" s="73">
        <v>995.31299999999999</v>
      </c>
      <c r="AH75" s="18">
        <v>0.35887203321970063</v>
      </c>
      <c r="AI75" s="73">
        <v>1268.33</v>
      </c>
      <c r="AJ75" s="22">
        <v>6.6365220407937908E-2</v>
      </c>
      <c r="AL75" s="67">
        <v>100</v>
      </c>
      <c r="AM75" s="73">
        <v>1082.9190000000001</v>
      </c>
      <c r="AN75" s="73">
        <v>1485.41</v>
      </c>
      <c r="AO75" s="18">
        <v>-0.27096289913222604</v>
      </c>
      <c r="AP75" s="73">
        <v>1119.1679999999999</v>
      </c>
      <c r="AQ75" s="18">
        <v>-3.2389239149081983E-2</v>
      </c>
      <c r="AR75" s="73">
        <v>1278.923</v>
      </c>
      <c r="AS75" s="22">
        <v>-0.15325707646199183</v>
      </c>
      <c r="AU75" s="3"/>
      <c r="AV75" s="24"/>
      <c r="AW75" s="24"/>
      <c r="AX75" s="16"/>
      <c r="AY75" s="24"/>
      <c r="AZ75" s="16"/>
      <c r="BA75" s="24"/>
      <c r="BB75" s="16"/>
    </row>
    <row r="76" spans="2:54" x14ac:dyDescent="0.25">
      <c r="B76" s="6">
        <v>1000</v>
      </c>
      <c r="C76" s="9">
        <v>23640.543000000001</v>
      </c>
      <c r="D76" s="9">
        <v>25204.781999999999</v>
      </c>
      <c r="E76" s="18">
        <v>-6.2061199339077722E-2</v>
      </c>
      <c r="F76" s="9">
        <v>19787.734</v>
      </c>
      <c r="G76" s="22">
        <v>0.19470693309299603</v>
      </c>
      <c r="H76" s="9">
        <v>20331.891</v>
      </c>
      <c r="I76" s="53">
        <v>0.16273213347445159</v>
      </c>
      <c r="J76" s="62"/>
      <c r="K76" s="5" t="s">
        <v>566</v>
      </c>
      <c r="L76" s="8" t="s">
        <v>344</v>
      </c>
      <c r="M76" s="8" t="s">
        <v>341</v>
      </c>
      <c r="N76" s="17" t="s">
        <v>162</v>
      </c>
      <c r="O76" s="8" t="s">
        <v>343</v>
      </c>
      <c r="P76" s="21" t="s">
        <v>162</v>
      </c>
      <c r="Q76" s="8" t="s">
        <v>342</v>
      </c>
      <c r="R76" s="21" t="s">
        <v>162</v>
      </c>
      <c r="S76" s="57"/>
      <c r="T76" s="67">
        <v>1000</v>
      </c>
      <c r="U76" s="73">
        <v>18732.894</v>
      </c>
      <c r="V76" s="73">
        <v>19815.904999999999</v>
      </c>
      <c r="W76" s="18">
        <v>-5.4653622935717516E-2</v>
      </c>
      <c r="X76" s="73">
        <v>14361.888999999999</v>
      </c>
      <c r="Y76" s="18">
        <v>0.30434749913468906</v>
      </c>
      <c r="Z76" s="73">
        <v>18571.508999999998</v>
      </c>
      <c r="AA76" s="88">
        <v>8.6899239044064824E-3</v>
      </c>
      <c r="AB76" s="57"/>
      <c r="AC76" s="67">
        <v>1000</v>
      </c>
      <c r="AD76" s="73">
        <v>15504</v>
      </c>
      <c r="AE76" s="73">
        <v>22257.878000000001</v>
      </c>
      <c r="AF76" s="18">
        <v>-0.30343764127020556</v>
      </c>
      <c r="AG76" s="73">
        <v>14707.172</v>
      </c>
      <c r="AH76" s="18">
        <v>5.4179552669949116E-2</v>
      </c>
      <c r="AI76" s="73">
        <v>17910.919999999998</v>
      </c>
      <c r="AJ76" s="22">
        <v>-0.13438282343955521</v>
      </c>
      <c r="AL76" s="67">
        <v>1000</v>
      </c>
      <c r="AM76" s="73">
        <v>15066.689</v>
      </c>
      <c r="AN76" s="73">
        <v>19484.999</v>
      </c>
      <c r="AO76" s="18">
        <v>-0.22675443811929374</v>
      </c>
      <c r="AP76" s="73">
        <v>14701.130999999999</v>
      </c>
      <c r="AQ76" s="18">
        <v>2.4865977998563604E-2</v>
      </c>
      <c r="AR76" s="73">
        <v>17718.195</v>
      </c>
      <c r="AS76" s="22">
        <v>-0.14964876501246316</v>
      </c>
      <c r="AU76" s="3"/>
      <c r="AV76" s="24"/>
      <c r="AW76" s="24"/>
      <c r="AX76" s="16"/>
      <c r="AY76" s="24"/>
      <c r="AZ76" s="16"/>
      <c r="BA76" s="24"/>
      <c r="BB76" s="16"/>
    </row>
    <row r="77" spans="2:54" x14ac:dyDescent="0.25">
      <c r="B77" s="6">
        <v>10000</v>
      </c>
      <c r="C77" s="9">
        <v>248312.682</v>
      </c>
      <c r="D77" s="9">
        <v>287590.79200000002</v>
      </c>
      <c r="E77" s="18">
        <v>-0.13657638245942172</v>
      </c>
      <c r="F77" s="9">
        <v>279961.26400000002</v>
      </c>
      <c r="G77" s="22">
        <v>-0.11304628914663006</v>
      </c>
      <c r="H77" s="9">
        <v>252830.951</v>
      </c>
      <c r="I77" s="53">
        <v>-1.7870711564898611E-2</v>
      </c>
      <c r="J77" s="63"/>
      <c r="K77" s="6">
        <v>10000</v>
      </c>
      <c r="L77" s="9">
        <v>262608.951</v>
      </c>
      <c r="M77" s="9">
        <v>305015.72899999999</v>
      </c>
      <c r="N77" s="18">
        <v>-0.13903144647337184</v>
      </c>
      <c r="O77" s="9">
        <v>234249.24100000001</v>
      </c>
      <c r="P77" s="22">
        <v>0.12106639013613707</v>
      </c>
      <c r="Q77" s="9">
        <v>251607.58600000001</v>
      </c>
      <c r="R77" s="22">
        <v>4.3724297724473171E-2</v>
      </c>
      <c r="S77" s="58"/>
      <c r="T77" s="6">
        <v>10000</v>
      </c>
      <c r="U77" s="73">
        <v>251816.804</v>
      </c>
      <c r="V77" s="73">
        <v>293431.58299999998</v>
      </c>
      <c r="W77" s="18">
        <v>-0.14182106293581898</v>
      </c>
      <c r="X77" s="73">
        <v>217982.07999999999</v>
      </c>
      <c r="Y77" s="18">
        <v>0.15521791516073247</v>
      </c>
      <c r="Z77" s="73">
        <v>235442.867</v>
      </c>
      <c r="AA77" s="89">
        <v>6.9545266792898852E-2</v>
      </c>
      <c r="AB77" s="58"/>
      <c r="AC77" s="6">
        <v>10000</v>
      </c>
      <c r="AD77" s="73">
        <v>240022.64300000001</v>
      </c>
      <c r="AE77" s="73">
        <v>306754.08199999999</v>
      </c>
      <c r="AF77" s="18">
        <v>-0.21754050855629681</v>
      </c>
      <c r="AG77" s="73">
        <v>219192.05499999999</v>
      </c>
      <c r="AH77" s="18">
        <v>9.5033499275327449E-2</v>
      </c>
      <c r="AI77" s="73">
        <v>226248.49400000001</v>
      </c>
      <c r="AJ77" s="22">
        <v>6.0880621817531289E-2</v>
      </c>
      <c r="AL77" s="6">
        <v>10000</v>
      </c>
      <c r="AM77" s="73">
        <v>243209.65299999999</v>
      </c>
      <c r="AN77" s="73">
        <v>284994.10700000002</v>
      </c>
      <c r="AO77" s="18">
        <v>-0.1466151508880148</v>
      </c>
      <c r="AP77" s="73">
        <v>220296.41899999999</v>
      </c>
      <c r="AQ77" s="18">
        <v>0.10401092357293384</v>
      </c>
      <c r="AR77" s="73">
        <v>225601.842</v>
      </c>
      <c r="AS77" s="22">
        <v>7.8048170369105385E-2</v>
      </c>
      <c r="AU77" s="24"/>
      <c r="AV77" s="24"/>
      <c r="AW77" s="24"/>
      <c r="AX77" s="16"/>
      <c r="AY77" s="24"/>
      <c r="AZ77" s="16"/>
      <c r="BA77" s="24"/>
      <c r="BB77" s="16"/>
    </row>
    <row r="78" spans="2:54" x14ac:dyDescent="0.25">
      <c r="B78" s="6">
        <v>50000</v>
      </c>
      <c r="C78" s="9">
        <v>1591969.5630000001</v>
      </c>
      <c r="D78" s="9">
        <v>1889767.59</v>
      </c>
      <c r="E78" s="18">
        <v>-0.15758447153811117</v>
      </c>
      <c r="F78" s="9">
        <v>1818810.9909999999</v>
      </c>
      <c r="G78" s="22">
        <v>-0.12471962679051118</v>
      </c>
      <c r="H78" s="9">
        <v>1578153.8389999999</v>
      </c>
      <c r="I78" s="53">
        <v>8.7543581991693653E-3</v>
      </c>
      <c r="J78" s="63"/>
      <c r="K78" s="6">
        <v>50000</v>
      </c>
      <c r="L78" s="9">
        <v>1542717.29</v>
      </c>
      <c r="M78" s="9">
        <v>1923656.6129999999</v>
      </c>
      <c r="N78" s="18">
        <v>-0.19802875441782386</v>
      </c>
      <c r="O78" s="9">
        <v>1437281.0360000001</v>
      </c>
      <c r="P78" s="22">
        <v>7.3358133419357152E-2</v>
      </c>
      <c r="Q78" s="9">
        <v>1609118.73</v>
      </c>
      <c r="R78" s="22">
        <v>-4.1265718161145215E-2</v>
      </c>
      <c r="S78" s="58"/>
      <c r="T78" s="6">
        <v>50000</v>
      </c>
      <c r="U78" s="73">
        <v>1538654.348</v>
      </c>
      <c r="V78" s="73">
        <v>1824058.1540000001</v>
      </c>
      <c r="W78" s="18">
        <v>-0.15646639630109083</v>
      </c>
      <c r="X78" s="73">
        <v>1346381.797</v>
      </c>
      <c r="Y78" s="18">
        <v>0.14280685569904517</v>
      </c>
      <c r="Z78" s="73">
        <v>1523379.1839999999</v>
      </c>
      <c r="AA78" s="88">
        <v>1.002715814974664E-2</v>
      </c>
      <c r="AB78" s="58"/>
      <c r="AC78" s="6">
        <v>50000</v>
      </c>
      <c r="AD78" s="73">
        <v>1434347.9909999999</v>
      </c>
      <c r="AE78" s="73">
        <v>1799304.871</v>
      </c>
      <c r="AF78" s="18">
        <v>-0.20283215250629982</v>
      </c>
      <c r="AG78" s="73">
        <v>1263000.5560000001</v>
      </c>
      <c r="AH78" s="18">
        <v>0.13566695136118367</v>
      </c>
      <c r="AI78" s="73">
        <v>1454824.3670000001</v>
      </c>
      <c r="AJ78" s="22">
        <v>-1.4074809622706907E-2</v>
      </c>
      <c r="AL78" s="6">
        <v>50000</v>
      </c>
      <c r="AM78" s="73">
        <v>1489542.55</v>
      </c>
      <c r="AN78" s="73">
        <v>1779271.206</v>
      </c>
      <c r="AO78" s="18">
        <v>-0.16283557842277585</v>
      </c>
      <c r="AP78" s="73">
        <v>1384721.307</v>
      </c>
      <c r="AQ78" s="18">
        <v>7.5698440162732306E-2</v>
      </c>
      <c r="AR78" s="73">
        <v>1442241.2860000001</v>
      </c>
      <c r="AS78" s="22">
        <v>3.2797053072296967E-2</v>
      </c>
      <c r="AU78" s="24"/>
      <c r="AV78" s="24"/>
      <c r="AW78" s="24"/>
      <c r="AX78" s="16"/>
      <c r="AY78" s="24"/>
      <c r="AZ78" s="16"/>
      <c r="BA78" s="24"/>
      <c r="BB78" s="16"/>
    </row>
    <row r="79" spans="2:54" ht="20" thickBot="1" x14ac:dyDescent="0.3">
      <c r="B79" s="7">
        <v>100000</v>
      </c>
      <c r="C79" s="10">
        <v>3196795.2820000001</v>
      </c>
      <c r="D79" s="10">
        <v>3781273.7850000001</v>
      </c>
      <c r="E79" s="19">
        <v>-0.1545718549443782</v>
      </c>
      <c r="F79" s="10">
        <v>3552189.932</v>
      </c>
      <c r="G79" s="23">
        <v>-0.10004945028372991</v>
      </c>
      <c r="H79" s="10">
        <v>3029072.4530000002</v>
      </c>
      <c r="I79" s="54">
        <v>5.5371019215432415E-2</v>
      </c>
      <c r="J79" s="64"/>
      <c r="K79" s="7">
        <v>100000</v>
      </c>
      <c r="L79" s="10">
        <v>3244326.2370000002</v>
      </c>
      <c r="M79" s="10">
        <v>3936536.4720000001</v>
      </c>
      <c r="N79" s="19">
        <v>-0.17584245438181223</v>
      </c>
      <c r="O79" s="10">
        <v>2941234.5610000002</v>
      </c>
      <c r="P79" s="23">
        <v>0.10304913454333642</v>
      </c>
      <c r="Q79" s="10">
        <v>3318253.0789999999</v>
      </c>
      <c r="R79" s="23">
        <v>-2.2278843789177882E-2</v>
      </c>
      <c r="S79" s="58"/>
      <c r="T79" s="7">
        <v>100000</v>
      </c>
      <c r="U79" s="74">
        <v>3220002.3939999999</v>
      </c>
      <c r="V79" s="74">
        <v>3847050.6710000001</v>
      </c>
      <c r="W79" s="19">
        <v>-0.16299454585478745</v>
      </c>
      <c r="X79" s="74">
        <v>3059317.236</v>
      </c>
      <c r="Y79" s="19">
        <v>5.2523208809195809E-2</v>
      </c>
      <c r="Z79" s="74">
        <v>3194012.1740000001</v>
      </c>
      <c r="AA79" s="90">
        <v>8.1371699868793002E-3</v>
      </c>
      <c r="AB79" s="58"/>
      <c r="AC79" s="7">
        <v>100000</v>
      </c>
      <c r="AD79" s="74">
        <v>3138889.2239999999</v>
      </c>
      <c r="AE79" s="74">
        <v>3815149.071</v>
      </c>
      <c r="AF79" s="19">
        <v>-0.17725646741838674</v>
      </c>
      <c r="AG79" s="74">
        <v>2868522.4369999999</v>
      </c>
      <c r="AH79" s="19">
        <v>9.4252979691788363E-2</v>
      </c>
      <c r="AI79" s="74">
        <v>3110532.0049999999</v>
      </c>
      <c r="AJ79" s="23">
        <v>9.1165173527929522E-3</v>
      </c>
      <c r="AL79" s="7">
        <v>100000</v>
      </c>
      <c r="AM79" s="74">
        <v>3103081.5070000002</v>
      </c>
      <c r="AN79" s="74">
        <v>3726937.37</v>
      </c>
      <c r="AO79" s="19">
        <v>-0.167391024067571</v>
      </c>
      <c r="AP79" s="74">
        <v>2761633.4509999999</v>
      </c>
      <c r="AQ79" s="19">
        <v>0.12363988996307973</v>
      </c>
      <c r="AR79" s="74">
        <v>3000654.0019999999</v>
      </c>
      <c r="AS79" s="23">
        <v>3.4135060200786382E-2</v>
      </c>
      <c r="AU79" s="24"/>
      <c r="AV79" s="24"/>
      <c r="AW79" s="24"/>
      <c r="AX79" s="16"/>
      <c r="AY79" s="24"/>
      <c r="AZ79" s="16"/>
      <c r="BA79" s="24"/>
      <c r="BB79" s="16"/>
    </row>
    <row r="80" spans="2:54" x14ac:dyDescent="0.25">
      <c r="B80" s="24"/>
      <c r="C80" s="77"/>
      <c r="D80" s="77"/>
      <c r="E80" s="16"/>
      <c r="F80" s="77"/>
      <c r="G80" s="16"/>
      <c r="H80" s="77"/>
      <c r="I80" s="16"/>
      <c r="J80" s="58"/>
      <c r="K80" s="24"/>
      <c r="L80" s="77"/>
      <c r="M80" s="77"/>
      <c r="N80" s="16"/>
      <c r="O80" s="77"/>
      <c r="P80" s="16"/>
      <c r="Q80" s="77"/>
      <c r="R80" s="16"/>
      <c r="S80" s="58"/>
      <c r="T80" s="24"/>
      <c r="U80" s="24"/>
      <c r="V80" s="24"/>
      <c r="W80" s="16"/>
      <c r="X80" s="24"/>
      <c r="Y80" s="16"/>
      <c r="AB80" s="58"/>
      <c r="AC80" s="24"/>
      <c r="AD80" s="24"/>
      <c r="AE80" s="24"/>
      <c r="AF80" s="16"/>
      <c r="AG80" s="24"/>
      <c r="AH80" s="16"/>
      <c r="AI80" s="24"/>
      <c r="AJ80" s="16"/>
      <c r="AL80" s="24"/>
      <c r="AM80" s="77"/>
      <c r="AN80" s="77"/>
      <c r="AO80" s="16"/>
      <c r="AP80" s="77"/>
      <c r="AQ80" s="16"/>
      <c r="AR80" s="77"/>
      <c r="AS80" s="16"/>
      <c r="AU80" s="24"/>
      <c r="AV80" s="24"/>
      <c r="AW80" s="24"/>
      <c r="AX80" s="16"/>
      <c r="AY80" s="24"/>
      <c r="AZ80" s="16"/>
      <c r="BA80" s="24"/>
      <c r="BB80" s="16"/>
    </row>
    <row r="81" spans="9:52" ht="20" thickBot="1" x14ac:dyDescent="0.3">
      <c r="I81" s="25"/>
    </row>
    <row r="82" spans="9:52" x14ac:dyDescent="0.25">
      <c r="I82" s="25"/>
      <c r="T82" s="5" t="s">
        <v>580</v>
      </c>
      <c r="U82" s="72" t="s">
        <v>340</v>
      </c>
      <c r="V82" s="72" t="s">
        <v>341</v>
      </c>
      <c r="W82" s="17" t="s">
        <v>162</v>
      </c>
      <c r="X82" s="72" t="s">
        <v>342</v>
      </c>
      <c r="Y82" s="21" t="s">
        <v>162</v>
      </c>
      <c r="AC82" s="5" t="s">
        <v>1012</v>
      </c>
      <c r="AD82" s="72" t="s">
        <v>340</v>
      </c>
      <c r="AE82" s="72" t="s">
        <v>341</v>
      </c>
      <c r="AF82" s="17" t="s">
        <v>162</v>
      </c>
      <c r="AG82" s="72" t="s">
        <v>342</v>
      </c>
      <c r="AH82" s="21" t="s">
        <v>162</v>
      </c>
      <c r="AL82" s="5" t="s">
        <v>1012</v>
      </c>
      <c r="AM82" s="72" t="s">
        <v>340</v>
      </c>
      <c r="AN82" s="72" t="s">
        <v>341</v>
      </c>
      <c r="AO82" s="17" t="s">
        <v>162</v>
      </c>
      <c r="AP82" s="72" t="s">
        <v>342</v>
      </c>
      <c r="AQ82" s="21" t="s">
        <v>162</v>
      </c>
      <c r="AU82" s="82"/>
      <c r="AV82" s="78"/>
      <c r="AW82" s="78"/>
      <c r="AX82" s="44"/>
      <c r="AY82" s="78"/>
      <c r="AZ82" s="44"/>
    </row>
    <row r="83" spans="9:52" x14ac:dyDescent="0.25">
      <c r="I83" s="25"/>
      <c r="T83" s="67">
        <v>100</v>
      </c>
      <c r="U83" s="73">
        <v>1185.1949999999999</v>
      </c>
      <c r="V83" s="73">
        <v>501.08199999999999</v>
      </c>
      <c r="W83" s="18">
        <v>1.3652715523606913</v>
      </c>
      <c r="X83" s="73">
        <v>677.64200000000005</v>
      </c>
      <c r="Y83" s="22">
        <v>0.74899873384471416</v>
      </c>
      <c r="AC83" s="67">
        <v>100</v>
      </c>
      <c r="AD83" s="73">
        <v>850.17899999999997</v>
      </c>
      <c r="AE83" s="73">
        <v>814.63300000000004</v>
      </c>
      <c r="AF83" s="18">
        <v>4.3634372778907693E-2</v>
      </c>
      <c r="AG83" s="73">
        <v>758.79899999999998</v>
      </c>
      <c r="AH83" s="22">
        <v>0.12042714869155069</v>
      </c>
      <c r="AL83" s="67">
        <v>100</v>
      </c>
      <c r="AM83" s="73">
        <v>838.654</v>
      </c>
      <c r="AN83" s="73">
        <v>771.649</v>
      </c>
      <c r="AO83" s="18">
        <v>8.683352145859069E-2</v>
      </c>
      <c r="AP83" s="73">
        <v>741.76199999999994</v>
      </c>
      <c r="AQ83" s="22">
        <v>0.13062410854155382</v>
      </c>
      <c r="AU83" s="3"/>
      <c r="AV83" s="24"/>
      <c r="AW83" s="24"/>
      <c r="AX83" s="16"/>
      <c r="AY83" s="24"/>
      <c r="AZ83" s="16"/>
    </row>
    <row r="84" spans="9:52" x14ac:dyDescent="0.25">
      <c r="I84" s="25"/>
      <c r="T84" s="67">
        <v>1000</v>
      </c>
      <c r="U84" s="73">
        <v>14242.505999999999</v>
      </c>
      <c r="V84" s="73">
        <v>8126.7860000000001</v>
      </c>
      <c r="W84" s="18">
        <v>0.75253858044250199</v>
      </c>
      <c r="X84" s="73">
        <v>9521.3220000000001</v>
      </c>
      <c r="Y84" s="22">
        <v>0.49585383206239619</v>
      </c>
      <c r="AC84" s="67">
        <v>1000</v>
      </c>
      <c r="AD84" s="73">
        <v>10770.981</v>
      </c>
      <c r="AE84" s="73">
        <v>9380.0380000000005</v>
      </c>
      <c r="AF84" s="18">
        <v>0.14828756557276201</v>
      </c>
      <c r="AG84" s="73">
        <v>7481.1949999999997</v>
      </c>
      <c r="AH84" s="22">
        <v>0.43974070987322222</v>
      </c>
      <c r="AL84" s="67">
        <v>1000</v>
      </c>
      <c r="AM84" s="73">
        <v>8556.4689999999991</v>
      </c>
      <c r="AN84" s="73">
        <v>8876.8919999999998</v>
      </c>
      <c r="AO84" s="18">
        <v>-3.6096304877878516E-2</v>
      </c>
      <c r="AP84" s="73">
        <v>7211.6890000000003</v>
      </c>
      <c r="AQ84" s="22">
        <v>0.18647226745357415</v>
      </c>
      <c r="AU84" s="3"/>
      <c r="AV84" s="24"/>
      <c r="AW84" s="24"/>
      <c r="AX84" s="16"/>
      <c r="AY84" s="24"/>
      <c r="AZ84" s="16"/>
    </row>
    <row r="85" spans="9:52" x14ac:dyDescent="0.25">
      <c r="I85" s="25"/>
      <c r="T85" s="6">
        <v>10000</v>
      </c>
      <c r="U85" s="73">
        <v>178494.522</v>
      </c>
      <c r="V85" s="73">
        <v>201656.821</v>
      </c>
      <c r="W85" s="18">
        <v>-0.11485998284183996</v>
      </c>
      <c r="X85" s="73">
        <v>186614.04199999999</v>
      </c>
      <c r="Y85" s="22">
        <v>-4.3509694731332149E-2</v>
      </c>
      <c r="AC85" s="6">
        <v>10000</v>
      </c>
      <c r="AD85" s="73">
        <v>164682.62400000001</v>
      </c>
      <c r="AE85" s="73">
        <v>162083.69699999999</v>
      </c>
      <c r="AF85" s="18">
        <v>1.6034475077404187E-2</v>
      </c>
      <c r="AG85" s="73">
        <v>132448.69899999999</v>
      </c>
      <c r="AH85" s="22">
        <v>0.24336913267830607</v>
      </c>
      <c r="AL85" s="6">
        <v>10000</v>
      </c>
      <c r="AM85" s="73">
        <v>158850.56099999999</v>
      </c>
      <c r="AN85" s="73">
        <v>159031.43599999999</v>
      </c>
      <c r="AO85" s="18">
        <v>-1.1373537493555297E-3</v>
      </c>
      <c r="AP85" s="73">
        <v>124661.68799999999</v>
      </c>
      <c r="AQ85" s="22">
        <v>0.27425324932227779</v>
      </c>
      <c r="AU85" s="24"/>
      <c r="AV85" s="24"/>
      <c r="AW85" s="24"/>
      <c r="AX85" s="16"/>
      <c r="AY85" s="24"/>
      <c r="AZ85" s="16"/>
    </row>
    <row r="86" spans="9:52" x14ac:dyDescent="0.25">
      <c r="I86" s="25"/>
      <c r="T86" s="6">
        <v>50000</v>
      </c>
      <c r="U86" s="73">
        <v>933984.11699999997</v>
      </c>
      <c r="V86" s="73">
        <v>1185466.57</v>
      </c>
      <c r="W86" s="18">
        <v>-0.2121379542571159</v>
      </c>
      <c r="X86" s="73">
        <v>1074807.162</v>
      </c>
      <c r="Y86" s="22">
        <v>-0.13102168461359776</v>
      </c>
      <c r="AC86" s="6">
        <v>50000</v>
      </c>
      <c r="AD86" s="73">
        <v>811217.52</v>
      </c>
      <c r="AE86" s="73">
        <v>870713.26199999999</v>
      </c>
      <c r="AF86" s="18">
        <v>-6.8329890673010096E-2</v>
      </c>
      <c r="AG86" s="73">
        <v>775529.13300000003</v>
      </c>
      <c r="AH86" s="22">
        <v>4.6018112642584708E-2</v>
      </c>
      <c r="AL86" s="6">
        <v>50000</v>
      </c>
      <c r="AM86" s="73">
        <v>808512.51300000004</v>
      </c>
      <c r="AN86" s="73">
        <v>859438.99600000004</v>
      </c>
      <c r="AO86" s="18">
        <v>-5.9255494848409196E-2</v>
      </c>
      <c r="AP86" s="73">
        <v>766773.89399999997</v>
      </c>
      <c r="AQ86" s="22">
        <v>5.4434063713702852E-2</v>
      </c>
      <c r="AU86" s="24"/>
      <c r="AV86" s="24"/>
      <c r="AW86" s="24"/>
      <c r="AX86" s="16"/>
      <c r="AY86" s="24"/>
      <c r="AZ86" s="16"/>
    </row>
    <row r="87" spans="9:52" ht="20" thickBot="1" x14ac:dyDescent="0.3">
      <c r="I87" s="25"/>
      <c r="T87" s="7">
        <v>100000</v>
      </c>
      <c r="U87" s="74">
        <v>1948800.72</v>
      </c>
      <c r="V87" s="74">
        <v>2373744.5830000001</v>
      </c>
      <c r="W87" s="19">
        <v>-0.1790183602917147</v>
      </c>
      <c r="X87" s="74">
        <v>2267298.0079999999</v>
      </c>
      <c r="Y87" s="23">
        <v>-0.14047438266879997</v>
      </c>
      <c r="AC87" s="7">
        <v>100000</v>
      </c>
      <c r="AD87" s="74">
        <v>1664842.6129999999</v>
      </c>
      <c r="AE87" s="74">
        <v>1907563.4990000001</v>
      </c>
      <c r="AF87" s="19">
        <v>-0.1272413139207379</v>
      </c>
      <c r="AG87" s="74">
        <v>1730073.216</v>
      </c>
      <c r="AH87" s="23">
        <v>-3.770395518336267E-2</v>
      </c>
      <c r="AL87" s="7">
        <v>100000</v>
      </c>
      <c r="AM87" s="74">
        <v>1712486.209</v>
      </c>
      <c r="AN87" s="74">
        <v>1822163.996</v>
      </c>
      <c r="AO87" s="19">
        <v>-6.0190952757690153E-2</v>
      </c>
      <c r="AP87" s="74">
        <v>1636275.8019999999</v>
      </c>
      <c r="AQ87" s="23">
        <v>4.6575526513836563E-2</v>
      </c>
      <c r="AU87" s="24"/>
      <c r="AV87" s="24"/>
      <c r="AW87" s="24"/>
      <c r="AX87" s="16"/>
      <c r="AY87" s="24"/>
      <c r="AZ87" s="16"/>
    </row>
    <row r="88" spans="9:52" ht="20" thickBot="1" x14ac:dyDescent="0.3">
      <c r="I88" s="25"/>
      <c r="AC88" s="24"/>
      <c r="AD88" s="24"/>
      <c r="AE88" s="24"/>
      <c r="AF88" s="16"/>
      <c r="AG88" s="1"/>
      <c r="AU88" s="24"/>
      <c r="AV88" s="24"/>
      <c r="AW88" s="24"/>
      <c r="AX88" s="16"/>
      <c r="AY88" s="1"/>
    </row>
    <row r="89" spans="9:52" x14ac:dyDescent="0.25">
      <c r="I89" s="25"/>
      <c r="T89" s="5" t="s">
        <v>581</v>
      </c>
      <c r="U89" s="72" t="s">
        <v>340</v>
      </c>
      <c r="V89" s="72" t="s">
        <v>341</v>
      </c>
      <c r="W89" s="17" t="s">
        <v>162</v>
      </c>
      <c r="X89" s="72" t="s">
        <v>342</v>
      </c>
      <c r="Y89" s="21" t="s">
        <v>162</v>
      </c>
      <c r="AC89" s="5" t="s">
        <v>1013</v>
      </c>
      <c r="AD89" s="72" t="s">
        <v>340</v>
      </c>
      <c r="AE89" s="72" t="s">
        <v>341</v>
      </c>
      <c r="AF89" s="17" t="s">
        <v>162</v>
      </c>
      <c r="AG89" s="72" t="s">
        <v>342</v>
      </c>
      <c r="AH89" s="21" t="s">
        <v>162</v>
      </c>
      <c r="AL89" s="5" t="s">
        <v>1013</v>
      </c>
      <c r="AM89" s="72" t="s">
        <v>340</v>
      </c>
      <c r="AN89" s="72" t="s">
        <v>341</v>
      </c>
      <c r="AO89" s="17" t="s">
        <v>162</v>
      </c>
      <c r="AP89" s="72" t="s">
        <v>342</v>
      </c>
      <c r="AQ89" s="21" t="s">
        <v>162</v>
      </c>
      <c r="AU89" s="82"/>
      <c r="AV89" s="78"/>
      <c r="AW89" s="78"/>
      <c r="AX89" s="44"/>
      <c r="AY89" s="78"/>
      <c r="AZ89" s="44"/>
    </row>
    <row r="90" spans="9:52" x14ac:dyDescent="0.25">
      <c r="I90" s="25"/>
      <c r="T90" s="67">
        <v>100</v>
      </c>
      <c r="U90" s="73">
        <v>848.46</v>
      </c>
      <c r="V90" s="73">
        <v>358.97199999999998</v>
      </c>
      <c r="W90" s="18">
        <v>1.3635826749718643</v>
      </c>
      <c r="X90" s="73">
        <v>484.17200000000003</v>
      </c>
      <c r="Y90" s="22">
        <v>0.75239377741794233</v>
      </c>
      <c r="AC90" s="67">
        <v>100</v>
      </c>
      <c r="AD90" s="73">
        <v>564.35299999999995</v>
      </c>
      <c r="AE90" s="73">
        <v>586.40899999999999</v>
      </c>
      <c r="AF90" s="18">
        <v>-3.7611973895352979E-2</v>
      </c>
      <c r="AG90" s="73">
        <v>556.06899999999996</v>
      </c>
      <c r="AH90" s="22">
        <v>1.489743179353642E-2</v>
      </c>
      <c r="AL90" s="67">
        <v>100</v>
      </c>
      <c r="AM90" s="73">
        <v>510.976</v>
      </c>
      <c r="AN90" s="73">
        <v>576.62300000000005</v>
      </c>
      <c r="AO90" s="18">
        <v>-0.11384734913452987</v>
      </c>
      <c r="AP90" s="73">
        <v>578.87400000000002</v>
      </c>
      <c r="AQ90" s="22">
        <v>-0.11729322788724317</v>
      </c>
      <c r="AU90" s="3"/>
      <c r="AV90" s="24"/>
      <c r="AW90" s="24"/>
      <c r="AX90" s="16"/>
      <c r="AY90" s="24"/>
      <c r="AZ90" s="16"/>
    </row>
    <row r="91" spans="9:52" x14ac:dyDescent="0.25">
      <c r="I91" s="25"/>
      <c r="T91" s="67">
        <v>1000</v>
      </c>
      <c r="U91" s="73">
        <v>10982.787</v>
      </c>
      <c r="V91" s="73">
        <v>5782.3590000000004</v>
      </c>
      <c r="W91" s="18">
        <v>0.89936097015076366</v>
      </c>
      <c r="X91" s="73">
        <v>10827.513000000001</v>
      </c>
      <c r="Y91" s="22">
        <v>1.4340689316189259E-2</v>
      </c>
      <c r="AC91" s="67">
        <v>1000</v>
      </c>
      <c r="AD91" s="73">
        <v>7352.8109999999997</v>
      </c>
      <c r="AE91" s="73">
        <v>7123.8310000000001</v>
      </c>
      <c r="AF91" s="18">
        <v>0.03</v>
      </c>
      <c r="AG91" s="93">
        <v>3452.26</v>
      </c>
      <c r="AH91" s="97">
        <v>1.1298543562767578</v>
      </c>
      <c r="AL91" s="67">
        <v>1000</v>
      </c>
      <c r="AM91" s="73">
        <v>7188.7780000000002</v>
      </c>
      <c r="AN91" s="73">
        <v>7025.33</v>
      </c>
      <c r="AO91" s="18">
        <v>2.3265526316913254E-2</v>
      </c>
      <c r="AP91" s="73">
        <v>3363.799</v>
      </c>
      <c r="AQ91" s="22">
        <v>1.1371009385519173</v>
      </c>
      <c r="AU91" s="3"/>
      <c r="AV91" s="24"/>
      <c r="AW91" s="24"/>
      <c r="AX91" s="16"/>
      <c r="AY91" s="109"/>
      <c r="AZ91" s="110"/>
    </row>
    <row r="92" spans="9:52" x14ac:dyDescent="0.25">
      <c r="I92" s="25"/>
      <c r="T92" s="6">
        <v>10000</v>
      </c>
      <c r="U92" s="73">
        <v>110015.734</v>
      </c>
      <c r="V92" s="73">
        <v>97087.205000000002</v>
      </c>
      <c r="W92" s="18">
        <v>0.13316408686396941</v>
      </c>
      <c r="X92" s="73">
        <v>92015.557000000001</v>
      </c>
      <c r="Y92" s="22">
        <v>0.19562101873708149</v>
      </c>
      <c r="AC92" s="6">
        <v>10000</v>
      </c>
      <c r="AD92" s="73">
        <v>80505.862999999998</v>
      </c>
      <c r="AE92" s="73">
        <v>101212.773</v>
      </c>
      <c r="AF92" s="18">
        <v>-0.20458791302951462</v>
      </c>
      <c r="AG92" s="73">
        <v>79677.087</v>
      </c>
      <c r="AH92" s="22">
        <v>1.0401685493346413E-2</v>
      </c>
      <c r="AL92" s="6">
        <v>10000</v>
      </c>
      <c r="AM92" s="73">
        <v>79440.922000000006</v>
      </c>
      <c r="AN92" s="73">
        <v>99322.008000000002</v>
      </c>
      <c r="AO92" s="18">
        <v>-0.20016798291069582</v>
      </c>
      <c r="AP92" s="73">
        <v>79740.675000000003</v>
      </c>
      <c r="AQ92" s="22">
        <v>-3.7590978506263362E-3</v>
      </c>
      <c r="AU92" s="24"/>
      <c r="AV92" s="24"/>
      <c r="AW92" s="24"/>
      <c r="AX92" s="16"/>
      <c r="AY92" s="24"/>
      <c r="AZ92" s="16"/>
    </row>
    <row r="93" spans="9:52" x14ac:dyDescent="0.25">
      <c r="I93" s="25"/>
      <c r="T93" s="6">
        <v>50000</v>
      </c>
      <c r="U93" s="73">
        <v>579361.97900000005</v>
      </c>
      <c r="V93" s="73">
        <v>585624.62899999996</v>
      </c>
      <c r="W93" s="18">
        <v>-1.0693966219784579E-2</v>
      </c>
      <c r="X93" s="73">
        <v>682785.77399999998</v>
      </c>
      <c r="Y93" s="22">
        <v>-0.15147327161505852</v>
      </c>
      <c r="AC93" s="6">
        <v>50000</v>
      </c>
      <c r="AD93" s="73">
        <v>425015.978</v>
      </c>
      <c r="AE93" s="73">
        <v>558592.53700000001</v>
      </c>
      <c r="AF93" s="18">
        <v>-0.23913058294224943</v>
      </c>
      <c r="AG93" s="73">
        <v>312248.95899999997</v>
      </c>
      <c r="AH93" s="22">
        <v>0.36114457950843004</v>
      </c>
      <c r="AL93" s="6">
        <v>50000</v>
      </c>
      <c r="AM93" s="73">
        <v>433363.04599999997</v>
      </c>
      <c r="AN93" s="73">
        <v>562239.80599999998</v>
      </c>
      <c r="AO93" s="18">
        <v>-0.22922026975799004</v>
      </c>
      <c r="AP93" s="73">
        <v>460221.81099999999</v>
      </c>
      <c r="AQ93" s="22">
        <v>-5.8360478269466443E-2</v>
      </c>
      <c r="AU93" s="24"/>
      <c r="AV93" s="24"/>
      <c r="AW93" s="24"/>
      <c r="AX93" s="16"/>
      <c r="AY93" s="24"/>
      <c r="AZ93" s="16"/>
    </row>
    <row r="94" spans="9:52" ht="20" thickBot="1" x14ac:dyDescent="0.3">
      <c r="I94" s="25"/>
      <c r="T94" s="7">
        <v>100000</v>
      </c>
      <c r="U94" s="74">
        <v>1544452.047</v>
      </c>
      <c r="V94" s="74">
        <v>1507160.4680000001</v>
      </c>
      <c r="W94" s="19">
        <v>2.4742938653032676E-2</v>
      </c>
      <c r="X94" s="74">
        <v>1676014.3829999999</v>
      </c>
      <c r="Y94" s="23">
        <v>-7.8497140200257998E-2</v>
      </c>
      <c r="AC94" s="7">
        <v>100000</v>
      </c>
      <c r="AD94" s="74">
        <v>1018183.406</v>
      </c>
      <c r="AE94" s="74">
        <v>1413978.602</v>
      </c>
      <c r="AF94" s="19">
        <v>-0.27991597287269276</v>
      </c>
      <c r="AG94" s="74">
        <v>753286.30799999996</v>
      </c>
      <c r="AH94" s="23">
        <v>0.35165526730906671</v>
      </c>
      <c r="AL94" s="7">
        <v>100000</v>
      </c>
      <c r="AM94" s="74">
        <v>975393.10800000001</v>
      </c>
      <c r="AN94" s="74">
        <v>1225380.28</v>
      </c>
      <c r="AO94" s="19">
        <v>-0.20400783012437573</v>
      </c>
      <c r="AP94" s="74">
        <v>696704.772</v>
      </c>
      <c r="AQ94" s="23">
        <v>0.40000922514134873</v>
      </c>
      <c r="AU94" s="24"/>
      <c r="AV94" s="24"/>
      <c r="AW94" s="24"/>
      <c r="AX94" s="16"/>
      <c r="AY94" s="24"/>
      <c r="AZ94" s="16"/>
    </row>
    <row r="95" spans="9:52" x14ac:dyDescent="0.25">
      <c r="I95" s="25"/>
    </row>
    <row r="96" spans="9:52" ht="20" thickBot="1" x14ac:dyDescent="0.3">
      <c r="I96" s="25"/>
    </row>
    <row r="97" spans="9:54" x14ac:dyDescent="0.25">
      <c r="I97" s="25"/>
      <c r="K97" s="106" t="s">
        <v>1090</v>
      </c>
      <c r="L97" s="72" t="s">
        <v>344</v>
      </c>
      <c r="M97" s="72" t="s">
        <v>341</v>
      </c>
      <c r="N97" s="17" t="s">
        <v>162</v>
      </c>
      <c r="O97" s="72" t="s">
        <v>343</v>
      </c>
      <c r="P97" s="17" t="s">
        <v>162</v>
      </c>
      <c r="Q97" s="72" t="s">
        <v>342</v>
      </c>
      <c r="R97" s="21" t="s">
        <v>162</v>
      </c>
      <c r="S97" s="57"/>
      <c r="T97" s="70" t="s">
        <v>168</v>
      </c>
      <c r="U97" s="72" t="s">
        <v>344</v>
      </c>
      <c r="V97" s="72" t="s">
        <v>341</v>
      </c>
      <c r="W97" s="17" t="s">
        <v>162</v>
      </c>
      <c r="X97" s="72" t="s">
        <v>343</v>
      </c>
      <c r="Y97" s="17" t="s">
        <v>162</v>
      </c>
      <c r="Z97" s="72" t="s">
        <v>342</v>
      </c>
      <c r="AA97" s="87" t="s">
        <v>162</v>
      </c>
      <c r="AB97" s="57"/>
      <c r="AC97" s="70" t="s">
        <v>860</v>
      </c>
      <c r="AD97" s="72" t="s">
        <v>344</v>
      </c>
      <c r="AE97" s="72" t="s">
        <v>341</v>
      </c>
      <c r="AF97" s="17" t="s">
        <v>162</v>
      </c>
      <c r="AG97" s="72" t="s">
        <v>343</v>
      </c>
      <c r="AH97" s="17" t="s">
        <v>162</v>
      </c>
      <c r="AI97" s="72" t="s">
        <v>342</v>
      </c>
      <c r="AJ97" s="21" t="s">
        <v>162</v>
      </c>
      <c r="AL97" s="70" t="s">
        <v>860</v>
      </c>
      <c r="AM97" s="72" t="s">
        <v>344</v>
      </c>
      <c r="AN97" s="72" t="s">
        <v>341</v>
      </c>
      <c r="AO97" s="17" t="s">
        <v>162</v>
      </c>
      <c r="AP97" s="72" t="s">
        <v>343</v>
      </c>
      <c r="AQ97" s="17" t="s">
        <v>162</v>
      </c>
      <c r="AR97" s="72" t="s">
        <v>342</v>
      </c>
      <c r="AS97" s="21" t="s">
        <v>162</v>
      </c>
      <c r="AU97" s="80"/>
      <c r="AV97" s="78"/>
      <c r="AW97" s="78"/>
      <c r="AX97" s="44"/>
      <c r="AY97" s="78"/>
      <c r="AZ97" s="44"/>
      <c r="BA97" s="78"/>
      <c r="BB97" s="44"/>
    </row>
    <row r="98" spans="9:54" x14ac:dyDescent="0.25">
      <c r="I98" s="25"/>
      <c r="K98" s="67">
        <v>100</v>
      </c>
      <c r="L98" s="73">
        <v>97146.792000000001</v>
      </c>
      <c r="M98" s="73">
        <v>91888.03</v>
      </c>
      <c r="N98" s="18">
        <v>5.7230109297152332E-2</v>
      </c>
      <c r="O98" s="73">
        <v>91062.630999999994</v>
      </c>
      <c r="P98" s="18">
        <v>6.6812927906728437E-2</v>
      </c>
      <c r="Q98" s="73">
        <v>102637.48</v>
      </c>
      <c r="R98" s="22">
        <v>-5.3495935402934625E-2</v>
      </c>
      <c r="S98" s="58"/>
      <c r="T98" s="67">
        <v>100</v>
      </c>
      <c r="U98" s="73">
        <v>4725.37</v>
      </c>
      <c r="V98" s="73">
        <v>5674.23</v>
      </c>
      <c r="W98" s="18">
        <v>-0.16722268924594175</v>
      </c>
      <c r="X98" s="73">
        <v>3625.9679999999998</v>
      </c>
      <c r="Y98" s="18">
        <v>0.30320234486349573</v>
      </c>
      <c r="Z98" s="73">
        <v>10803.031000000001</v>
      </c>
      <c r="AA98" s="88">
        <v>-0.56258849946834366</v>
      </c>
      <c r="AB98" s="58"/>
      <c r="AC98" s="67">
        <v>100</v>
      </c>
      <c r="AD98" s="73">
        <v>4893.3779999999997</v>
      </c>
      <c r="AE98" s="73">
        <v>5847.4769999999999</v>
      </c>
      <c r="AF98" s="18">
        <v>-0.16316421595159758</v>
      </c>
      <c r="AG98" s="73">
        <v>3345.6709999999998</v>
      </c>
      <c r="AH98" s="18">
        <v>0.46259987906760713</v>
      </c>
      <c r="AI98" s="73">
        <v>10779.902</v>
      </c>
      <c r="AJ98" s="22">
        <v>-0.54606470448432654</v>
      </c>
      <c r="AL98" s="67">
        <v>100</v>
      </c>
      <c r="AM98" s="73">
        <v>4834.5510000000004</v>
      </c>
      <c r="AN98" s="73">
        <v>5720.8050000000003</v>
      </c>
      <c r="AO98" s="18">
        <v>-0.15491770825958928</v>
      </c>
      <c r="AP98" s="73">
        <v>3214.1379999999999</v>
      </c>
      <c r="AQ98" s="18">
        <v>0.50415165745839174</v>
      </c>
      <c r="AR98" s="73">
        <v>10565.884</v>
      </c>
      <c r="AS98" s="22">
        <v>-0.54243762282455488</v>
      </c>
      <c r="AU98" s="3"/>
      <c r="AV98" s="24"/>
      <c r="AW98" s="24"/>
      <c r="AX98" s="16"/>
      <c r="AY98" s="24"/>
      <c r="AZ98" s="16"/>
      <c r="BA98" s="24"/>
      <c r="BB98" s="16"/>
    </row>
    <row r="99" spans="9:54" x14ac:dyDescent="0.25">
      <c r="I99" s="25"/>
      <c r="K99" s="67">
        <v>1000</v>
      </c>
      <c r="L99" s="73">
        <v>397903.42099999997</v>
      </c>
      <c r="M99" s="73">
        <v>156263.75399999999</v>
      </c>
      <c r="N99" s="18">
        <v>1.5463577497312655</v>
      </c>
      <c r="O99" s="73">
        <v>126715.16099999999</v>
      </c>
      <c r="P99" s="18">
        <v>2.1401405945418008</v>
      </c>
      <c r="Q99" s="73">
        <v>557178.87800000003</v>
      </c>
      <c r="R99" s="22">
        <v>-0.28586054369419234</v>
      </c>
      <c r="S99" s="58"/>
      <c r="T99" s="67">
        <v>1000</v>
      </c>
      <c r="U99" s="73">
        <v>47560.93</v>
      </c>
      <c r="V99" s="73">
        <v>56386.519</v>
      </c>
      <c r="W99" s="18">
        <v>-0.15651948651059666</v>
      </c>
      <c r="X99" s="73">
        <v>34891.767</v>
      </c>
      <c r="Y99" s="18">
        <v>0.3630989224478085</v>
      </c>
      <c r="Z99" s="73">
        <v>125436.883</v>
      </c>
      <c r="AA99" s="88">
        <v>-0.62083775630808691</v>
      </c>
      <c r="AB99" s="58"/>
      <c r="AC99" s="67">
        <v>1000</v>
      </c>
      <c r="AD99" s="73">
        <v>49804.932000000001</v>
      </c>
      <c r="AE99" s="73">
        <v>58424.565999999999</v>
      </c>
      <c r="AF99" s="18">
        <v>-0.14753441215121732</v>
      </c>
      <c r="AG99" s="73">
        <v>33123.591999999997</v>
      </c>
      <c r="AH99" s="18">
        <v>0.5036090288758539</v>
      </c>
      <c r="AI99" s="73">
        <v>116691.43</v>
      </c>
      <c r="AJ99" s="22">
        <v>-0.57319117607865455</v>
      </c>
      <c r="AL99" s="67">
        <v>1000</v>
      </c>
      <c r="AM99" s="73">
        <v>48981.877</v>
      </c>
      <c r="AN99" s="73">
        <v>57345.858999999997</v>
      </c>
      <c r="AO99" s="18">
        <v>-0.14585154265454459</v>
      </c>
      <c r="AP99" s="73">
        <v>33653.374000000003</v>
      </c>
      <c r="AQ99" s="18">
        <v>0.45548190799531696</v>
      </c>
      <c r="AR99" s="73">
        <v>114531.736</v>
      </c>
      <c r="AS99" s="22">
        <v>-0.57232921886384402</v>
      </c>
      <c r="AU99" s="3"/>
      <c r="AV99" s="24"/>
      <c r="AW99" s="24"/>
      <c r="AX99" s="16"/>
      <c r="AY99" s="24"/>
      <c r="AZ99" s="16"/>
      <c r="BA99" s="24"/>
      <c r="BB99" s="16"/>
    </row>
    <row r="100" spans="9:54" x14ac:dyDescent="0.25">
      <c r="I100" s="25"/>
      <c r="K100" s="6">
        <v>10000</v>
      </c>
      <c r="L100" s="73">
        <v>3940682.8739999998</v>
      </c>
      <c r="M100" s="73">
        <v>744835.16899999999</v>
      </c>
      <c r="N100" s="18">
        <v>4.2906777741049442</v>
      </c>
      <c r="O100" s="73">
        <v>475526.17599999998</v>
      </c>
      <c r="P100" s="18">
        <v>7.2869946448542091</v>
      </c>
      <c r="Q100" s="73">
        <v>4167481.1</v>
      </c>
      <c r="R100" s="22">
        <v>-5.4420936905988704E-2</v>
      </c>
      <c r="S100" s="58"/>
      <c r="T100" s="6">
        <v>10000</v>
      </c>
      <c r="U100" s="73">
        <v>467473.36300000001</v>
      </c>
      <c r="V100" s="73">
        <v>501267.41399999999</v>
      </c>
      <c r="W100" s="18">
        <v>-6.7417210965961538E-2</v>
      </c>
      <c r="X100" s="73">
        <v>348160.81400000001</v>
      </c>
      <c r="Y100" s="18">
        <v>0.34269379034712388</v>
      </c>
      <c r="Z100" s="73">
        <v>1193474.689</v>
      </c>
      <c r="AA100" s="88">
        <v>-0.60830894252839918</v>
      </c>
      <c r="AB100" s="58"/>
      <c r="AC100" s="6">
        <v>10000</v>
      </c>
      <c r="AD100" s="73">
        <v>477983.467</v>
      </c>
      <c r="AE100" s="73">
        <v>575843.20600000001</v>
      </c>
      <c r="AF100" s="18">
        <v>-0.16994164032908643</v>
      </c>
      <c r="AG100" s="73">
        <v>332796.87099999998</v>
      </c>
      <c r="AH100" s="18">
        <v>0.43626190223405081</v>
      </c>
      <c r="AI100" s="73">
        <v>1203303.1340000001</v>
      </c>
      <c r="AJ100" s="22">
        <v>-0.60277385349185009</v>
      </c>
      <c r="AL100" s="6">
        <v>10000</v>
      </c>
      <c r="AM100" s="73">
        <v>467980.66</v>
      </c>
      <c r="AN100" s="73">
        <v>567437.40500000003</v>
      </c>
      <c r="AO100" s="18">
        <v>-0.17527350880226167</v>
      </c>
      <c r="AP100" s="73">
        <v>321534.42499999999</v>
      </c>
      <c r="AQ100" s="18">
        <v>0.45546051561975043</v>
      </c>
      <c r="AR100" s="73">
        <v>1196568.4669999999</v>
      </c>
      <c r="AS100" s="22">
        <v>-0.6088977163393694</v>
      </c>
      <c r="AU100" s="24"/>
      <c r="AV100" s="24"/>
      <c r="AW100" s="24"/>
      <c r="AX100" s="16"/>
      <c r="AY100" s="24"/>
      <c r="AZ100" s="16"/>
      <c r="BA100" s="24"/>
      <c r="BB100" s="16"/>
    </row>
    <row r="101" spans="9:54" x14ac:dyDescent="0.25">
      <c r="I101" s="25"/>
      <c r="K101" s="6">
        <v>50000</v>
      </c>
      <c r="L101" s="73">
        <v>161739658.53099999</v>
      </c>
      <c r="M101" s="73">
        <v>3720342.4569999999</v>
      </c>
      <c r="N101" s="18">
        <v>42.474400650047464</v>
      </c>
      <c r="O101" s="73">
        <v>2373276.4670000002</v>
      </c>
      <c r="P101" s="18">
        <v>67.150365446235213</v>
      </c>
      <c r="Q101" s="73">
        <v>142044831.15799999</v>
      </c>
      <c r="R101" s="22">
        <v>0.13865219320154609</v>
      </c>
      <c r="T101" s="6">
        <v>50000</v>
      </c>
      <c r="U101" s="73">
        <v>3702057.7570000002</v>
      </c>
      <c r="V101" s="73">
        <v>2888760.892</v>
      </c>
      <c r="W101" s="20">
        <v>0.28153831189431666</v>
      </c>
      <c r="X101" s="73">
        <v>1750926.709</v>
      </c>
      <c r="Y101" s="18">
        <v>1.1143419298882828</v>
      </c>
      <c r="Z101" s="73">
        <v>5690673.7180000003</v>
      </c>
      <c r="AA101" s="88">
        <v>-0.34945176257599664</v>
      </c>
      <c r="AC101" s="6">
        <v>50000</v>
      </c>
      <c r="AD101" s="73">
        <v>3664510.9449999998</v>
      </c>
      <c r="AE101" s="73">
        <v>2832150.8859999999</v>
      </c>
      <c r="AF101" s="18">
        <v>0.29389679169798288</v>
      </c>
      <c r="AG101" s="73">
        <v>1715264.017</v>
      </c>
      <c r="AH101" s="18">
        <v>1.136412184177475</v>
      </c>
      <c r="AI101" s="73">
        <v>5696586.8720000004</v>
      </c>
      <c r="AJ101" s="22">
        <v>-0.35671814942173685</v>
      </c>
      <c r="AL101" s="6">
        <v>50000</v>
      </c>
      <c r="AM101" s="73">
        <v>3549630.5619999999</v>
      </c>
      <c r="AN101" s="73">
        <v>2746838.2609999999</v>
      </c>
      <c r="AO101" s="18">
        <v>0.29226049178000735</v>
      </c>
      <c r="AP101" s="73">
        <v>1646696.054</v>
      </c>
      <c r="AQ101" s="18">
        <v>1.1556076201054646</v>
      </c>
      <c r="AR101" s="73">
        <v>5674064.6950000003</v>
      </c>
      <c r="AS101" s="22">
        <v>-0.37441133423664641</v>
      </c>
      <c r="AU101" s="24"/>
      <c r="AV101" s="24"/>
      <c r="AW101" s="24"/>
      <c r="AX101" s="16"/>
      <c r="AY101" s="24"/>
      <c r="AZ101" s="16"/>
      <c r="BA101" s="24"/>
      <c r="BB101" s="16"/>
    </row>
    <row r="102" spans="9:54" ht="20" thickBot="1" x14ac:dyDescent="0.3">
      <c r="I102" s="25"/>
      <c r="K102" s="7">
        <v>100000</v>
      </c>
      <c r="L102" s="74">
        <v>475500756.63999999</v>
      </c>
      <c r="M102" s="74">
        <v>8996090.6870000008</v>
      </c>
      <c r="N102" s="19">
        <v>51.856376528877462</v>
      </c>
      <c r="O102" s="74">
        <v>6072273.3930000002</v>
      </c>
      <c r="P102" s="19">
        <v>77.306875508627144</v>
      </c>
      <c r="Q102" s="74">
        <v>666806147.95200002</v>
      </c>
      <c r="R102" s="23">
        <v>-0.28689806160241216</v>
      </c>
      <c r="T102" s="7">
        <v>100000</v>
      </c>
      <c r="U102" s="74">
        <v>8676850.7880000006</v>
      </c>
      <c r="V102" s="74">
        <v>6453226.1509999996</v>
      </c>
      <c r="W102" s="19">
        <v>0.34457565641883248</v>
      </c>
      <c r="X102" s="74">
        <v>4166039.358</v>
      </c>
      <c r="Y102" s="19">
        <v>1.0827577567979376</v>
      </c>
      <c r="Z102" s="74">
        <v>13478122.329</v>
      </c>
      <c r="AA102" s="90">
        <v>-0.35622703398895672</v>
      </c>
      <c r="AC102" s="7">
        <v>100000</v>
      </c>
      <c r="AD102" s="74">
        <v>9244026.5559999999</v>
      </c>
      <c r="AE102" s="74">
        <v>5029628.4790000003</v>
      </c>
      <c r="AF102" s="19">
        <v>0.83791438962066511</v>
      </c>
      <c r="AG102" s="74">
        <v>4549208.8150000004</v>
      </c>
      <c r="AH102" s="19">
        <v>1.0320075274451872</v>
      </c>
      <c r="AI102" s="74">
        <v>16586553.91</v>
      </c>
      <c r="AJ102" s="23">
        <v>-0.44267949773299231</v>
      </c>
      <c r="AL102" s="7">
        <v>100000</v>
      </c>
      <c r="AM102" s="74">
        <v>8612110.8010000009</v>
      </c>
      <c r="AN102" s="74">
        <v>4629175.7869999995</v>
      </c>
      <c r="AO102" s="19">
        <v>0.86039830787700478</v>
      </c>
      <c r="AP102" s="74">
        <v>4031639.298</v>
      </c>
      <c r="AQ102" s="19">
        <v>1.13613127674201</v>
      </c>
      <c r="AR102" s="74">
        <v>15652602.003</v>
      </c>
      <c r="AS102" s="23">
        <v>-0.4497968580974977</v>
      </c>
      <c r="AU102" s="24"/>
      <c r="AV102" s="24"/>
      <c r="AW102" s="24"/>
      <c r="AX102" s="16"/>
      <c r="AY102" s="24"/>
      <c r="AZ102" s="16"/>
      <c r="BA102" s="24"/>
      <c r="BB102" s="16"/>
    </row>
    <row r="103" spans="9:54" ht="20" thickBot="1" x14ac:dyDescent="0.3">
      <c r="I103" s="25"/>
      <c r="K103" s="24"/>
      <c r="L103" s="77"/>
      <c r="M103" s="77"/>
      <c r="N103" s="16"/>
      <c r="O103" s="77"/>
      <c r="P103" s="16"/>
      <c r="Q103" s="77"/>
      <c r="R103" s="16"/>
      <c r="T103" s="24"/>
      <c r="U103" s="24"/>
      <c r="V103" s="24"/>
      <c r="W103" s="16"/>
      <c r="X103" s="24"/>
      <c r="Y103" s="16"/>
    </row>
    <row r="104" spans="9:54" x14ac:dyDescent="0.25">
      <c r="I104" s="25"/>
      <c r="K104" s="24"/>
      <c r="L104" s="77"/>
      <c r="M104" s="77"/>
      <c r="N104" s="16"/>
      <c r="O104" s="77"/>
      <c r="P104" s="16"/>
      <c r="Q104" s="77"/>
      <c r="R104" s="16"/>
      <c r="T104" s="70" t="s">
        <v>681</v>
      </c>
      <c r="U104" s="72" t="s">
        <v>344</v>
      </c>
      <c r="V104" s="72" t="s">
        <v>341</v>
      </c>
      <c r="W104" s="17" t="s">
        <v>162</v>
      </c>
      <c r="X104" s="72" t="s">
        <v>343</v>
      </c>
      <c r="Y104" s="17" t="s">
        <v>162</v>
      </c>
      <c r="Z104" s="72" t="s">
        <v>342</v>
      </c>
      <c r="AA104" s="87" t="s">
        <v>162</v>
      </c>
      <c r="AC104" s="70" t="s">
        <v>943</v>
      </c>
      <c r="AD104" s="72" t="s">
        <v>344</v>
      </c>
      <c r="AE104" s="72" t="s">
        <v>341</v>
      </c>
      <c r="AF104" s="17" t="s">
        <v>162</v>
      </c>
      <c r="AG104" s="72" t="s">
        <v>343</v>
      </c>
      <c r="AH104" s="17" t="s">
        <v>162</v>
      </c>
      <c r="AI104" s="72" t="s">
        <v>342</v>
      </c>
      <c r="AJ104" s="21" t="s">
        <v>162</v>
      </c>
      <c r="AU104" s="80"/>
      <c r="AV104" s="78"/>
      <c r="AW104" s="78"/>
      <c r="AX104" s="44"/>
      <c r="AY104" s="78"/>
      <c r="AZ104" s="44"/>
      <c r="BA104" s="78"/>
      <c r="BB104" s="44"/>
    </row>
    <row r="105" spans="9:54" x14ac:dyDescent="0.25">
      <c r="I105" s="25"/>
      <c r="K105" s="24"/>
      <c r="L105" s="77"/>
      <c r="M105" s="77"/>
      <c r="N105" s="16"/>
      <c r="O105" s="77"/>
      <c r="P105" s="16"/>
      <c r="Q105" s="77"/>
      <c r="R105" s="16"/>
      <c r="T105" s="67">
        <v>100</v>
      </c>
      <c r="U105" s="73">
        <v>960.26700000000005</v>
      </c>
      <c r="V105" s="73">
        <v>1509.3430000000001</v>
      </c>
      <c r="W105" s="18">
        <v>-0.36378477257985764</v>
      </c>
      <c r="X105" s="73">
        <v>28290.82</v>
      </c>
      <c r="Y105" s="18">
        <v>-0.96605729349661829</v>
      </c>
      <c r="Z105" s="73">
        <v>789.58699999999999</v>
      </c>
      <c r="AA105" s="88">
        <v>0.21616363997887511</v>
      </c>
      <c r="AC105" s="67">
        <v>100</v>
      </c>
      <c r="AD105" s="73">
        <v>622.45600000000002</v>
      </c>
      <c r="AE105" s="73">
        <v>1018.854</v>
      </c>
      <c r="AF105" s="18">
        <v>-0.38906261348534732</v>
      </c>
      <c r="AG105" s="73">
        <v>585.18700000000001</v>
      </c>
      <c r="AH105" s="18">
        <v>6.3687334134217011E-2</v>
      </c>
      <c r="AI105" s="73">
        <v>561.00400000000002</v>
      </c>
      <c r="AJ105" s="22">
        <v>0.1095393259228099</v>
      </c>
      <c r="AU105" s="3"/>
      <c r="AV105" s="24"/>
      <c r="AW105" s="24"/>
      <c r="AX105" s="16"/>
      <c r="AY105" s="24"/>
      <c r="AZ105" s="16"/>
      <c r="BA105" s="24"/>
      <c r="BB105" s="16"/>
    </row>
    <row r="106" spans="9:54" x14ac:dyDescent="0.25">
      <c r="I106" s="25"/>
      <c r="K106" s="24"/>
      <c r="L106" s="77"/>
      <c r="M106" s="77"/>
      <c r="N106" s="16"/>
      <c r="O106" s="77"/>
      <c r="P106" s="16"/>
      <c r="Q106" s="77"/>
      <c r="R106" s="16"/>
      <c r="T106" s="67">
        <v>1000</v>
      </c>
      <c r="U106" s="73">
        <v>10167.713</v>
      </c>
      <c r="V106" s="73">
        <v>15547.58</v>
      </c>
      <c r="W106" s="18">
        <v>-0.34602600533330585</v>
      </c>
      <c r="X106" s="73">
        <v>2820505.1329999999</v>
      </c>
      <c r="Y106" s="18">
        <v>-0.99639507374723857</v>
      </c>
      <c r="Z106" s="73">
        <v>13974.32</v>
      </c>
      <c r="AA106" s="88">
        <v>-0.27240015972154641</v>
      </c>
      <c r="AC106" s="67">
        <v>1000</v>
      </c>
      <c r="AD106" s="73">
        <v>6049.152</v>
      </c>
      <c r="AE106" s="73">
        <v>6269.0039999999999</v>
      </c>
      <c r="AF106" s="18">
        <v>-3.5069685710840126E-2</v>
      </c>
      <c r="AG106" s="73">
        <v>5606.4660000000003</v>
      </c>
      <c r="AH106" s="18">
        <v>7.8959900942946915E-2</v>
      </c>
      <c r="AI106" s="73">
        <v>5512.7709999999997</v>
      </c>
      <c r="AJ106" s="22">
        <v>9.7297892475490144E-2</v>
      </c>
      <c r="AU106" s="3"/>
      <c r="AV106" s="24"/>
      <c r="AW106" s="24"/>
      <c r="AX106" s="16"/>
      <c r="AY106" s="24"/>
      <c r="AZ106" s="16"/>
      <c r="BA106" s="24"/>
      <c r="BB106" s="16"/>
    </row>
    <row r="107" spans="9:54" x14ac:dyDescent="0.25">
      <c r="I107" s="25"/>
      <c r="K107" s="24"/>
      <c r="L107" s="77"/>
      <c r="M107" s="77"/>
      <c r="N107" s="16"/>
      <c r="O107" s="77"/>
      <c r="P107" s="16"/>
      <c r="Q107" s="77"/>
      <c r="R107" s="16"/>
      <c r="T107" s="6">
        <v>10000</v>
      </c>
      <c r="U107" s="73">
        <v>97324.524999999994</v>
      </c>
      <c r="V107" s="73">
        <v>119570.111</v>
      </c>
      <c r="W107" s="18">
        <v>-0.18604637742621155</v>
      </c>
      <c r="X107" s="73">
        <v>278319262.20099998</v>
      </c>
      <c r="Y107" s="18">
        <v>-0.99965031336950827</v>
      </c>
      <c r="Z107" s="73">
        <v>131761.356</v>
      </c>
      <c r="AA107" s="88">
        <v>-0.26135759410369153</v>
      </c>
      <c r="AC107" s="6">
        <v>10000</v>
      </c>
      <c r="AD107" s="73">
        <v>61338.008000000002</v>
      </c>
      <c r="AE107" s="73">
        <v>62229.849000000002</v>
      </c>
      <c r="AF107" s="18">
        <v>-1.4331402282528494E-2</v>
      </c>
      <c r="AG107" s="73">
        <v>55866.798000000003</v>
      </c>
      <c r="AH107" s="18">
        <v>9.7933122997312161E-2</v>
      </c>
      <c r="AI107" s="73">
        <v>54841.281000000003</v>
      </c>
      <c r="AJ107" s="22">
        <v>0.11846417300135648</v>
      </c>
      <c r="AU107" s="24"/>
      <c r="AV107" s="24"/>
      <c r="AW107" s="24"/>
      <c r="AX107" s="16"/>
      <c r="AY107" s="24"/>
      <c r="AZ107" s="16"/>
      <c r="BA107" s="24"/>
      <c r="BB107" s="16"/>
    </row>
    <row r="108" spans="9:54" x14ac:dyDescent="0.25">
      <c r="I108" s="25"/>
      <c r="K108" s="24"/>
      <c r="L108" s="77"/>
      <c r="M108" s="77"/>
      <c r="N108" s="16"/>
      <c r="O108" s="77"/>
      <c r="P108" s="16"/>
      <c r="Q108" s="77"/>
      <c r="R108" s="16"/>
      <c r="T108" s="6">
        <v>50000</v>
      </c>
      <c r="U108" s="73">
        <v>484195.57199999999</v>
      </c>
      <c r="V108" s="73">
        <v>565043.93999999994</v>
      </c>
      <c r="W108" s="18">
        <v>-0.14308332905932941</v>
      </c>
      <c r="X108" s="73">
        <v>6966736254.9399996</v>
      </c>
      <c r="Y108" s="18">
        <v>-0.99993049893748209</v>
      </c>
      <c r="Z108" s="73">
        <v>418738.44199999998</v>
      </c>
      <c r="AA108" s="88">
        <v>0.15631984894283968</v>
      </c>
      <c r="AC108" s="6">
        <v>50000</v>
      </c>
      <c r="AD108" s="73">
        <v>307797.57500000001</v>
      </c>
      <c r="AE108" s="73">
        <v>309115.41399999999</v>
      </c>
      <c r="AF108" s="18">
        <v>-4.2632587710426106E-3</v>
      </c>
      <c r="AG108" s="73">
        <v>281018.152</v>
      </c>
      <c r="AH108" s="18">
        <v>9.5294281915283552E-2</v>
      </c>
      <c r="AI108" s="73">
        <v>275878.26799999998</v>
      </c>
      <c r="AJ108" s="22">
        <v>0.11570069375671177</v>
      </c>
      <c r="AU108" s="24"/>
      <c r="AV108" s="24"/>
      <c r="AW108" s="24"/>
      <c r="AX108" s="16"/>
      <c r="AY108" s="24"/>
      <c r="AZ108" s="16"/>
      <c r="BA108" s="24"/>
      <c r="BB108" s="16"/>
    </row>
    <row r="109" spans="9:54" ht="20" thickBot="1" x14ac:dyDescent="0.3">
      <c r="I109" s="25"/>
      <c r="K109" s="24"/>
      <c r="L109" s="77"/>
      <c r="M109" s="77"/>
      <c r="N109" s="16"/>
      <c r="O109" s="77"/>
      <c r="P109" s="16"/>
      <c r="Q109" s="77"/>
      <c r="R109" s="16"/>
      <c r="T109" s="7">
        <v>100000</v>
      </c>
      <c r="U109" s="74">
        <v>975951.049</v>
      </c>
      <c r="V109" s="74">
        <v>1121801.585</v>
      </c>
      <c r="W109" s="19">
        <v>-0.13001455689688646</v>
      </c>
      <c r="X109" s="74">
        <v>27896780525</v>
      </c>
      <c r="Y109" s="19">
        <v>-0.99996501563869977</v>
      </c>
      <c r="Z109" s="74">
        <v>876622.89599999995</v>
      </c>
      <c r="AA109" s="90">
        <v>0.11330773295248275</v>
      </c>
      <c r="AC109" s="7">
        <v>100000</v>
      </c>
      <c r="AD109" s="74">
        <v>616855.60400000005</v>
      </c>
      <c r="AE109" s="74">
        <v>620992.90599999996</v>
      </c>
      <c r="AF109" s="19">
        <v>-6.6623981691666945E-3</v>
      </c>
      <c r="AG109" s="74">
        <v>550838.25800000003</v>
      </c>
      <c r="AH109" s="19">
        <v>0.11984887585640425</v>
      </c>
      <c r="AI109" s="74">
        <v>548355.049</v>
      </c>
      <c r="AJ109" s="23">
        <v>0.12492007710136011</v>
      </c>
      <c r="AU109" s="24"/>
      <c r="AV109" s="24"/>
      <c r="AW109" s="24"/>
      <c r="AX109" s="16"/>
      <c r="AY109" s="24"/>
      <c r="AZ109" s="16"/>
      <c r="BA109" s="24"/>
      <c r="BB109" s="16"/>
    </row>
    <row r="110" spans="9:54" x14ac:dyDescent="0.25">
      <c r="I110" s="25"/>
    </row>
    <row r="111" spans="9:54" ht="20" thickBot="1" x14ac:dyDescent="0.3">
      <c r="I111" s="25"/>
    </row>
    <row r="112" spans="9:54" x14ac:dyDescent="0.25">
      <c r="I112" s="25"/>
      <c r="T112" s="5" t="s">
        <v>268</v>
      </c>
      <c r="U112" s="72" t="s">
        <v>340</v>
      </c>
      <c r="V112" s="72" t="s">
        <v>341</v>
      </c>
      <c r="W112" s="17" t="s">
        <v>162</v>
      </c>
      <c r="X112" s="72" t="s">
        <v>342</v>
      </c>
      <c r="Y112" s="21" t="s">
        <v>162</v>
      </c>
      <c r="AC112" s="5" t="s">
        <v>964</v>
      </c>
      <c r="AD112" s="72" t="s">
        <v>340</v>
      </c>
      <c r="AE112" s="72" t="s">
        <v>341</v>
      </c>
      <c r="AF112" s="17" t="s">
        <v>162</v>
      </c>
      <c r="AG112" s="72" t="s">
        <v>342</v>
      </c>
      <c r="AH112" s="21" t="s">
        <v>162</v>
      </c>
      <c r="AL112" s="5" t="s">
        <v>964</v>
      </c>
      <c r="AM112" s="72" t="s">
        <v>340</v>
      </c>
      <c r="AN112" s="72" t="s">
        <v>341</v>
      </c>
      <c r="AO112" s="17" t="s">
        <v>162</v>
      </c>
      <c r="AP112" s="72" t="s">
        <v>342</v>
      </c>
      <c r="AQ112" s="21" t="s">
        <v>162</v>
      </c>
      <c r="AU112" s="82"/>
      <c r="AV112" s="78"/>
      <c r="AW112" s="78"/>
      <c r="AX112" s="44"/>
      <c r="AY112" s="78"/>
      <c r="AZ112" s="44"/>
    </row>
    <row r="113" spans="9:52" x14ac:dyDescent="0.25">
      <c r="I113" s="25"/>
      <c r="T113" s="67">
        <v>100</v>
      </c>
      <c r="U113" s="73">
        <v>2685.9270000000001</v>
      </c>
      <c r="V113" s="73">
        <v>2659.93</v>
      </c>
      <c r="W113" s="18">
        <v>9.7735654697681529E-3</v>
      </c>
      <c r="X113" s="73">
        <v>2522.0790000000002</v>
      </c>
      <c r="Y113" s="22">
        <v>6.496545112187202E-2</v>
      </c>
      <c r="AC113" s="67">
        <v>100</v>
      </c>
      <c r="AD113" s="73">
        <v>2270.9299999999998</v>
      </c>
      <c r="AE113" s="73">
        <v>2784.192</v>
      </c>
      <c r="AF113" s="18">
        <v>-0.18434863687561787</v>
      </c>
      <c r="AG113" s="73">
        <v>2400.605</v>
      </c>
      <c r="AH113" s="22">
        <v>-5.4017633055000847E-2</v>
      </c>
      <c r="AL113" s="67">
        <v>100</v>
      </c>
      <c r="AM113" s="73">
        <v>2201.7330000000002</v>
      </c>
      <c r="AN113" s="73">
        <v>3530.0970000000002</v>
      </c>
      <c r="AO113" s="18">
        <v>-0.37629674198754315</v>
      </c>
      <c r="AP113" s="73">
        <v>2363.306</v>
      </c>
      <c r="AQ113" s="22">
        <v>-6.836736334609228E-2</v>
      </c>
      <c r="AU113" s="3"/>
      <c r="AV113" s="24"/>
      <c r="AW113" s="24"/>
      <c r="AX113" s="16"/>
      <c r="AY113" s="24"/>
      <c r="AZ113" s="16"/>
    </row>
    <row r="114" spans="9:52" x14ac:dyDescent="0.25">
      <c r="I114" s="25"/>
      <c r="T114" s="67">
        <v>1000</v>
      </c>
      <c r="U114" s="73">
        <v>64760.56</v>
      </c>
      <c r="V114" s="73">
        <v>54074.642999999996</v>
      </c>
      <c r="W114" s="20">
        <v>0.19761419414271497</v>
      </c>
      <c r="X114" s="73">
        <v>47109.696000000004</v>
      </c>
      <c r="Y114" s="31">
        <v>0.3746758204510594</v>
      </c>
      <c r="AC114" s="67">
        <v>1000</v>
      </c>
      <c r="AD114" s="73">
        <v>40914.101000000002</v>
      </c>
      <c r="AE114" s="73">
        <v>36848.618000000002</v>
      </c>
      <c r="AF114" s="94">
        <v>0.11032932089881897</v>
      </c>
      <c r="AG114" s="73">
        <v>39214.955000000002</v>
      </c>
      <c r="AH114" s="22">
        <v>4.3329030978105143E-2</v>
      </c>
      <c r="AL114" s="67">
        <v>1000</v>
      </c>
      <c r="AM114" s="73">
        <v>41612.131999999998</v>
      </c>
      <c r="AN114" s="73">
        <v>43139.093999999997</v>
      </c>
      <c r="AO114" s="18">
        <v>-3.5396246383848529E-2</v>
      </c>
      <c r="AP114" s="73">
        <v>39225.375</v>
      </c>
      <c r="AQ114" s="22">
        <v>6.0847270421251487E-2</v>
      </c>
      <c r="AU114" s="3"/>
      <c r="AV114" s="24"/>
      <c r="AW114" s="24"/>
      <c r="AX114" s="110"/>
      <c r="AY114" s="24"/>
      <c r="AZ114" s="16"/>
    </row>
    <row r="115" spans="9:52" x14ac:dyDescent="0.25">
      <c r="I115" s="25"/>
      <c r="T115" s="6">
        <v>10000</v>
      </c>
      <c r="U115" s="73">
        <v>1066701.757</v>
      </c>
      <c r="V115" s="73">
        <v>1085807.392</v>
      </c>
      <c r="W115" s="18">
        <v>-1.7595786454178031E-2</v>
      </c>
      <c r="X115" s="73">
        <v>1193352.8489999999</v>
      </c>
      <c r="Y115" s="31">
        <v>-0.10613046435187246</v>
      </c>
      <c r="AC115" s="6">
        <v>10000</v>
      </c>
      <c r="AD115" s="73">
        <v>1008892.549</v>
      </c>
      <c r="AE115" s="73">
        <v>1039131.297</v>
      </c>
      <c r="AF115" s="18">
        <v>-2.9100026230852727E-2</v>
      </c>
      <c r="AG115" s="73">
        <v>1037447.648</v>
      </c>
      <c r="AH115" s="22">
        <v>-2.752437586132539E-2</v>
      </c>
      <c r="AL115" s="6">
        <v>10000</v>
      </c>
      <c r="AM115" s="73">
        <v>986200.43599999999</v>
      </c>
      <c r="AN115" s="73">
        <v>984542.99100000004</v>
      </c>
      <c r="AO115" s="18">
        <v>1.6834663545941542E-3</v>
      </c>
      <c r="AP115" s="73">
        <v>935957.88899999997</v>
      </c>
      <c r="AQ115" s="22">
        <v>5.368034992864934E-2</v>
      </c>
      <c r="AU115" s="24"/>
      <c r="AV115" s="24"/>
      <c r="AW115" s="24"/>
      <c r="AX115" s="16"/>
      <c r="AY115" s="24"/>
      <c r="AZ115" s="16"/>
    </row>
    <row r="116" spans="9:52" x14ac:dyDescent="0.25">
      <c r="I116" s="25"/>
      <c r="T116" s="6">
        <v>50000</v>
      </c>
      <c r="U116" s="73">
        <v>6340678.9119999995</v>
      </c>
      <c r="V116" s="73">
        <v>6405952.727</v>
      </c>
      <c r="W116" s="18">
        <v>-1.0189556149061585E-2</v>
      </c>
      <c r="X116" s="73">
        <v>6484845.1699999999</v>
      </c>
      <c r="Y116" s="31">
        <v>-2.2231256756435447E-2</v>
      </c>
      <c r="AC116" s="6">
        <v>50000</v>
      </c>
      <c r="AD116" s="73">
        <v>6290290.5379999997</v>
      </c>
      <c r="AE116" s="73">
        <v>6424842.4900000002</v>
      </c>
      <c r="AF116" s="18">
        <v>-2.0942451462339307E-2</v>
      </c>
      <c r="AG116" s="73">
        <v>6424806.3830000004</v>
      </c>
      <c r="AH116" s="22">
        <v>-2.0936949221680656E-2</v>
      </c>
      <c r="AL116" s="6">
        <v>50000</v>
      </c>
      <c r="AM116" s="73">
        <v>6111910.108</v>
      </c>
      <c r="AN116" s="73">
        <v>6229627.1720000003</v>
      </c>
      <c r="AO116" s="18">
        <v>-1.8896325694914395E-2</v>
      </c>
      <c r="AP116" s="73">
        <v>6144594.2280000001</v>
      </c>
      <c r="AQ116" s="22">
        <v>-5.3191665368338414E-3</v>
      </c>
      <c r="AU116" s="24"/>
      <c r="AV116" s="24"/>
      <c r="AW116" s="24"/>
      <c r="AX116" s="16"/>
      <c r="AY116" s="24"/>
      <c r="AZ116" s="16"/>
    </row>
    <row r="117" spans="9:52" ht="20" thickBot="1" x14ac:dyDescent="0.3">
      <c r="I117" s="25"/>
      <c r="T117" s="7">
        <v>100000</v>
      </c>
      <c r="U117" s="74">
        <v>14128407.647</v>
      </c>
      <c r="V117" s="74">
        <v>15333047.555</v>
      </c>
      <c r="W117" s="19">
        <v>-7.8564936531953511E-2</v>
      </c>
      <c r="X117" s="74">
        <v>15682405.51</v>
      </c>
      <c r="Y117" s="45">
        <v>-9.909180463475975E-2</v>
      </c>
      <c r="AC117" s="7">
        <v>100000</v>
      </c>
      <c r="AD117" s="74">
        <v>13438685.933</v>
      </c>
      <c r="AE117" s="74">
        <v>13891542.401000001</v>
      </c>
      <c r="AF117" s="19">
        <v>-3.2599437479843951E-2</v>
      </c>
      <c r="AG117" s="74">
        <v>13764353.068</v>
      </c>
      <c r="AH117" s="23">
        <v>-2.366018463716435E-2</v>
      </c>
      <c r="AL117" s="7">
        <v>100000</v>
      </c>
      <c r="AM117" s="74">
        <v>12978517.098999999</v>
      </c>
      <c r="AN117" s="74">
        <v>13475811.132999999</v>
      </c>
      <c r="AO117" s="19">
        <v>-3.6902716214403664E-2</v>
      </c>
      <c r="AP117" s="74">
        <v>13337584.823000001</v>
      </c>
      <c r="AQ117" s="23">
        <v>-2.6921495065643897E-2</v>
      </c>
      <c r="AU117" s="24"/>
      <c r="AV117" s="24"/>
      <c r="AW117" s="24"/>
      <c r="AX117" s="16"/>
      <c r="AY117" s="24"/>
      <c r="AZ117" s="16"/>
    </row>
    <row r="118" spans="9:52" x14ac:dyDescent="0.25">
      <c r="I118" s="25"/>
    </row>
    <row r="119" spans="9:52" ht="20" thickBot="1" x14ac:dyDescent="0.3">
      <c r="I119" s="25"/>
    </row>
    <row r="120" spans="9:52" x14ac:dyDescent="0.25">
      <c r="I120" s="25"/>
      <c r="T120" s="5" t="s">
        <v>574</v>
      </c>
      <c r="U120" s="72" t="s">
        <v>340</v>
      </c>
      <c r="V120" s="72" t="s">
        <v>341</v>
      </c>
      <c r="W120" s="21" t="s">
        <v>162</v>
      </c>
    </row>
    <row r="121" spans="9:52" x14ac:dyDescent="0.25">
      <c r="I121" s="25"/>
      <c r="T121" s="67">
        <v>100</v>
      </c>
      <c r="U121" s="73">
        <v>1070.5740000000001</v>
      </c>
      <c r="V121" s="73">
        <v>576.80899999999997</v>
      </c>
      <c r="W121" s="22">
        <v>0.85602859872158743</v>
      </c>
    </row>
    <row r="122" spans="9:52" x14ac:dyDescent="0.25">
      <c r="I122" s="25"/>
      <c r="T122" s="67">
        <v>1000</v>
      </c>
      <c r="U122" s="73">
        <v>15422.397999999999</v>
      </c>
      <c r="V122" s="73">
        <v>9448.7800000000007</v>
      </c>
      <c r="W122" s="22">
        <v>0.6322105075999227</v>
      </c>
    </row>
    <row r="123" spans="9:52" x14ac:dyDescent="0.25">
      <c r="I123" s="25"/>
      <c r="T123" s="6">
        <v>10000</v>
      </c>
      <c r="U123" s="73">
        <v>115079.03</v>
      </c>
      <c r="V123" s="73">
        <v>95267.255000000005</v>
      </c>
      <c r="W123" s="22">
        <v>0.20795996483786583</v>
      </c>
    </row>
    <row r="124" spans="9:52" x14ac:dyDescent="0.25">
      <c r="I124" s="25"/>
      <c r="T124" s="6">
        <v>50000</v>
      </c>
      <c r="U124" s="73">
        <v>577703.26199999999</v>
      </c>
      <c r="V124" s="73">
        <v>476734.87800000003</v>
      </c>
      <c r="W124" s="22">
        <v>0.21179147710690449</v>
      </c>
    </row>
    <row r="125" spans="9:52" ht="20" thickBot="1" x14ac:dyDescent="0.3">
      <c r="I125" s="25"/>
      <c r="T125" s="7">
        <v>100000</v>
      </c>
      <c r="U125" s="74">
        <v>1146703.5549999999</v>
      </c>
      <c r="V125" s="74">
        <v>909976.11499999999</v>
      </c>
      <c r="W125" s="23">
        <v>0.26014687209674725</v>
      </c>
    </row>
    <row r="126" spans="9:52" x14ac:dyDescent="0.25">
      <c r="I126" s="25"/>
    </row>
    <row r="127" spans="9:52" ht="20" thickBot="1" x14ac:dyDescent="0.3">
      <c r="I127" s="25"/>
    </row>
    <row r="128" spans="9:52" x14ac:dyDescent="0.25">
      <c r="I128" s="25"/>
      <c r="T128" s="5" t="s">
        <v>573</v>
      </c>
      <c r="U128" s="72" t="s">
        <v>340</v>
      </c>
      <c r="V128" s="72" t="s">
        <v>341</v>
      </c>
      <c r="W128" s="17" t="s">
        <v>162</v>
      </c>
      <c r="X128" s="72" t="s">
        <v>342</v>
      </c>
      <c r="Y128" s="21" t="s">
        <v>162</v>
      </c>
    </row>
    <row r="129" spans="9:25" x14ac:dyDescent="0.25">
      <c r="I129" s="25"/>
      <c r="T129" s="67">
        <v>100</v>
      </c>
      <c r="U129" s="73">
        <v>16507.186000000002</v>
      </c>
      <c r="V129" s="73">
        <v>21598.898000000001</v>
      </c>
      <c r="W129" s="18">
        <v>-0.23573943448411117</v>
      </c>
      <c r="X129" s="73">
        <v>24140.532999999999</v>
      </c>
      <c r="Y129" s="22">
        <v>-0.31620457593044848</v>
      </c>
    </row>
    <row r="130" spans="9:25" x14ac:dyDescent="0.25">
      <c r="I130" s="25"/>
      <c r="T130" s="67">
        <v>1000</v>
      </c>
      <c r="U130" s="73">
        <v>123901.817</v>
      </c>
      <c r="V130" s="73">
        <v>201443.45199999999</v>
      </c>
      <c r="W130" s="18">
        <v>-0.38493003485663058</v>
      </c>
      <c r="X130" s="73">
        <v>258632.505</v>
      </c>
      <c r="Y130" s="22">
        <v>-0.52093486083661444</v>
      </c>
    </row>
    <row r="131" spans="9:25" x14ac:dyDescent="0.25">
      <c r="I131" s="25"/>
      <c r="T131" s="6">
        <v>10000</v>
      </c>
      <c r="U131" s="73">
        <v>1161361.4180000001</v>
      </c>
      <c r="V131" s="73">
        <v>2050867.736</v>
      </c>
      <c r="W131" s="18">
        <v>-0.43372193261711145</v>
      </c>
      <c r="X131" s="73">
        <v>2408364.5260000001</v>
      </c>
      <c r="Y131" s="22">
        <v>-0.51778005137416638</v>
      </c>
    </row>
    <row r="132" spans="9:25" x14ac:dyDescent="0.25">
      <c r="I132" s="25"/>
      <c r="T132" s="6">
        <v>50000</v>
      </c>
      <c r="U132" s="73">
        <v>6615010.7359999996</v>
      </c>
      <c r="V132" s="73">
        <v>10676597.592</v>
      </c>
      <c r="W132" s="18">
        <v>-0.38041958788850083</v>
      </c>
      <c r="X132" s="73">
        <v>11925679.335000001</v>
      </c>
      <c r="Y132" s="22">
        <v>-0.44531371755183968</v>
      </c>
    </row>
    <row r="133" spans="9:25" ht="20" thickBot="1" x14ac:dyDescent="0.3">
      <c r="I133" s="25"/>
      <c r="T133" s="7">
        <v>100000</v>
      </c>
      <c r="U133" s="74">
        <v>12507636.187999999</v>
      </c>
      <c r="V133" s="74">
        <v>16283251.732000001</v>
      </c>
      <c r="W133" s="19">
        <v>-0.23187110327479166</v>
      </c>
      <c r="X133" s="74">
        <v>23351303.918000001</v>
      </c>
      <c r="Y133" s="23">
        <v>-0.46437097337598021</v>
      </c>
    </row>
    <row r="134" spans="9:25" x14ac:dyDescent="0.25">
      <c r="I134" s="25"/>
    </row>
    <row r="135" spans="9:25" ht="20" thickBot="1" x14ac:dyDescent="0.3">
      <c r="I135" s="25"/>
    </row>
    <row r="136" spans="9:25" x14ac:dyDescent="0.25">
      <c r="I136" s="25"/>
      <c r="T136" s="5" t="s">
        <v>567</v>
      </c>
      <c r="U136" s="72" t="s">
        <v>340</v>
      </c>
      <c r="V136" s="72" t="s">
        <v>341</v>
      </c>
      <c r="W136" s="17" t="s">
        <v>162</v>
      </c>
      <c r="X136" s="72" t="s">
        <v>342</v>
      </c>
      <c r="Y136" s="21" t="s">
        <v>162</v>
      </c>
    </row>
    <row r="137" spans="9:25" x14ac:dyDescent="0.25">
      <c r="I137" s="25"/>
      <c r="T137" s="67">
        <v>100</v>
      </c>
      <c r="U137" s="73">
        <v>1545.192</v>
      </c>
      <c r="V137" s="73">
        <v>2075.2280000000001</v>
      </c>
      <c r="W137" s="18">
        <v>-0.25541097171009641</v>
      </c>
      <c r="X137" s="73">
        <v>2440.4470000000001</v>
      </c>
      <c r="Y137" s="22">
        <v>-0.36684058289321586</v>
      </c>
    </row>
    <row r="138" spans="9:25" x14ac:dyDescent="0.25">
      <c r="I138" s="25"/>
      <c r="T138" s="67">
        <v>1000</v>
      </c>
      <c r="U138" s="73">
        <v>16892.191999999999</v>
      </c>
      <c r="V138" s="73">
        <v>20223.866000000002</v>
      </c>
      <c r="W138" s="18">
        <v>-0.16473971890438766</v>
      </c>
      <c r="X138" s="73">
        <v>35889.478999999999</v>
      </c>
      <c r="Y138" s="22">
        <v>-0.52932746669295483</v>
      </c>
    </row>
    <row r="139" spans="9:25" x14ac:dyDescent="0.25">
      <c r="I139" s="25"/>
      <c r="T139" s="6">
        <v>10000</v>
      </c>
      <c r="U139" s="73">
        <v>229140.05900000001</v>
      </c>
      <c r="V139" s="73">
        <v>334326.80599999998</v>
      </c>
      <c r="W139" s="18">
        <v>-0.31462253433546095</v>
      </c>
      <c r="X139" s="73">
        <v>434217.64199999999</v>
      </c>
      <c r="Y139" s="22">
        <v>-0.47229214836922717</v>
      </c>
    </row>
    <row r="140" spans="9:25" x14ac:dyDescent="0.25">
      <c r="I140" s="25"/>
      <c r="T140" s="6">
        <v>50000</v>
      </c>
      <c r="U140" s="73">
        <v>1088643.821</v>
      </c>
      <c r="V140" s="73">
        <v>1681412.94</v>
      </c>
      <c r="W140" s="18">
        <v>-0.35254226067749894</v>
      </c>
      <c r="X140" s="73">
        <v>2292703.1179999998</v>
      </c>
      <c r="Y140" s="22">
        <v>-0.52517017469332894</v>
      </c>
    </row>
    <row r="141" spans="9:25" ht="20" thickBot="1" x14ac:dyDescent="0.3">
      <c r="I141" s="25"/>
      <c r="T141" s="7">
        <v>100000</v>
      </c>
      <c r="U141" s="74">
        <v>2190055.023</v>
      </c>
      <c r="V141" s="74">
        <v>3629000.6779999998</v>
      </c>
      <c r="W141" s="19">
        <v>-0.39651291985787829</v>
      </c>
      <c r="X141" s="74">
        <v>6790632.8229999999</v>
      </c>
      <c r="Y141" s="23">
        <v>-0.67748881730400101</v>
      </c>
    </row>
    <row r="142" spans="9:25" ht="20" thickBot="1" x14ac:dyDescent="0.3">
      <c r="I142" s="25"/>
    </row>
    <row r="143" spans="9:25" x14ac:dyDescent="0.25">
      <c r="I143" s="25"/>
      <c r="T143" s="5" t="s">
        <v>568</v>
      </c>
      <c r="U143" s="72" t="s">
        <v>340</v>
      </c>
      <c r="V143" s="72" t="s">
        <v>341</v>
      </c>
      <c r="W143" s="17" t="s">
        <v>162</v>
      </c>
      <c r="X143" s="72" t="s">
        <v>342</v>
      </c>
      <c r="Y143" s="21" t="s">
        <v>162</v>
      </c>
    </row>
    <row r="144" spans="9:25" x14ac:dyDescent="0.25">
      <c r="I144" s="25"/>
      <c r="T144" s="67">
        <v>100</v>
      </c>
      <c r="U144" s="73">
        <v>2634.3620000000001</v>
      </c>
      <c r="V144" s="73">
        <v>3418.6329999999998</v>
      </c>
      <c r="W144" s="18">
        <v>-0.2294107030500202</v>
      </c>
      <c r="X144" s="73">
        <v>2363.616</v>
      </c>
      <c r="Y144" s="22">
        <v>0.11454737148504668</v>
      </c>
    </row>
    <row r="145" spans="9:52" x14ac:dyDescent="0.25">
      <c r="I145" s="25"/>
      <c r="T145" s="67">
        <v>1000</v>
      </c>
      <c r="U145" s="73">
        <v>29285.241999999998</v>
      </c>
      <c r="V145" s="73">
        <v>57350.175999999999</v>
      </c>
      <c r="W145" s="18">
        <v>-0.4893609044896392</v>
      </c>
      <c r="X145" s="73">
        <v>36755.618999999999</v>
      </c>
      <c r="Y145" s="31">
        <v>-0.20324448895827329</v>
      </c>
    </row>
    <row r="146" spans="9:52" x14ac:dyDescent="0.25">
      <c r="I146" s="25"/>
      <c r="T146" s="6">
        <v>10000</v>
      </c>
      <c r="U146" s="73">
        <v>397995.38</v>
      </c>
      <c r="V146" s="73">
        <v>689765.21400000004</v>
      </c>
      <c r="W146" s="18">
        <v>-0.42299876549007875</v>
      </c>
      <c r="X146" s="73">
        <v>383068.34499999997</v>
      </c>
      <c r="Y146" s="31">
        <v>3.8967028194407449E-2</v>
      </c>
    </row>
    <row r="147" spans="9:52" x14ac:dyDescent="0.25">
      <c r="I147" s="25"/>
      <c r="T147" s="6">
        <v>50000</v>
      </c>
      <c r="U147" s="73">
        <v>1988463.719</v>
      </c>
      <c r="V147" s="73">
        <v>3786684.7650000001</v>
      </c>
      <c r="W147" s="18">
        <v>-0.47488004880173862</v>
      </c>
      <c r="X147" s="73">
        <v>2279737.892</v>
      </c>
      <c r="Y147" s="31">
        <v>-0.12776651825726637</v>
      </c>
    </row>
    <row r="148" spans="9:52" ht="20" thickBot="1" x14ac:dyDescent="0.3">
      <c r="I148" s="25"/>
      <c r="T148" s="7">
        <v>100000</v>
      </c>
      <c r="U148" s="74">
        <v>4161219.662</v>
      </c>
      <c r="V148" s="74">
        <v>7769229.801</v>
      </c>
      <c r="W148" s="19">
        <v>-0.46439740249871386</v>
      </c>
      <c r="X148" s="74">
        <v>6661832.7599999998</v>
      </c>
      <c r="Y148" s="23">
        <v>-0.37536413597990115</v>
      </c>
    </row>
    <row r="149" spans="9:52" x14ac:dyDescent="0.25">
      <c r="I149" s="25"/>
    </row>
    <row r="150" spans="9:52" ht="20" thickBot="1" x14ac:dyDescent="0.3">
      <c r="I150" s="25"/>
    </row>
    <row r="151" spans="9:52" x14ac:dyDescent="0.25">
      <c r="I151" s="25"/>
      <c r="T151" s="5" t="s">
        <v>578</v>
      </c>
      <c r="U151" s="72" t="s">
        <v>340</v>
      </c>
      <c r="V151" s="72" t="s">
        <v>341</v>
      </c>
      <c r="W151" s="17" t="s">
        <v>162</v>
      </c>
      <c r="X151" s="72" t="s">
        <v>342</v>
      </c>
      <c r="Y151" s="21" t="s">
        <v>162</v>
      </c>
      <c r="AC151" s="5" t="s">
        <v>881</v>
      </c>
      <c r="AD151" s="72" t="s">
        <v>340</v>
      </c>
      <c r="AE151" s="72" t="s">
        <v>341</v>
      </c>
      <c r="AF151" s="17" t="s">
        <v>162</v>
      </c>
      <c r="AG151" s="72" t="s">
        <v>342</v>
      </c>
      <c r="AH151" s="21" t="s">
        <v>162</v>
      </c>
      <c r="AL151" s="5" t="s">
        <v>881</v>
      </c>
      <c r="AM151" s="72" t="s">
        <v>340</v>
      </c>
      <c r="AN151" s="72" t="s">
        <v>341</v>
      </c>
      <c r="AO151" s="17" t="s">
        <v>162</v>
      </c>
      <c r="AP151" s="72" t="s">
        <v>342</v>
      </c>
      <c r="AQ151" s="21" t="s">
        <v>162</v>
      </c>
      <c r="AU151" s="82"/>
      <c r="AV151" s="78"/>
      <c r="AW151" s="78"/>
      <c r="AX151" s="44"/>
      <c r="AY151" s="78"/>
      <c r="AZ151" s="44"/>
    </row>
    <row r="152" spans="9:52" x14ac:dyDescent="0.25">
      <c r="T152" s="67">
        <v>100</v>
      </c>
      <c r="U152" s="73">
        <v>1099.067</v>
      </c>
      <c r="V152" s="73">
        <v>1274.479</v>
      </c>
      <c r="W152" s="18">
        <v>-0.13763428036083769</v>
      </c>
      <c r="X152" s="73">
        <v>1858.94</v>
      </c>
      <c r="Y152" s="22">
        <v>-0.40876682410405929</v>
      </c>
      <c r="AC152" s="67">
        <v>100</v>
      </c>
      <c r="AD152" s="73">
        <v>1242.316</v>
      </c>
      <c r="AE152" s="73">
        <v>1242.3920000000001</v>
      </c>
      <c r="AF152" s="18">
        <v>-6.1172319203661729E-5</v>
      </c>
      <c r="AG152" s="73">
        <v>1607.45</v>
      </c>
      <c r="AH152" s="22">
        <v>-0.22715107779402155</v>
      </c>
      <c r="AL152" s="67">
        <v>100</v>
      </c>
      <c r="AM152" s="73">
        <v>1195.692</v>
      </c>
      <c r="AN152" s="73">
        <v>1308.239</v>
      </c>
      <c r="AO152" s="18">
        <v>-8.6029387596608942E-2</v>
      </c>
      <c r="AP152" s="73">
        <v>1682.0909999999999</v>
      </c>
      <c r="AQ152" s="22">
        <v>-0.28916330923832301</v>
      </c>
      <c r="AU152" s="3"/>
      <c r="AV152" s="24"/>
      <c r="AW152" s="24"/>
      <c r="AX152" s="16"/>
      <c r="AY152" s="24"/>
      <c r="AZ152" s="16"/>
    </row>
    <row r="153" spans="9:52" x14ac:dyDescent="0.25">
      <c r="T153" s="67">
        <v>1000</v>
      </c>
      <c r="U153" s="73">
        <v>12429.9</v>
      </c>
      <c r="V153" s="73">
        <v>11020.687</v>
      </c>
      <c r="W153" s="18">
        <v>0.12786979613884331</v>
      </c>
      <c r="X153" s="73">
        <v>21824.592000000001</v>
      </c>
      <c r="Y153" s="22">
        <v>-0.43046357980025474</v>
      </c>
      <c r="AC153" s="67">
        <v>1000</v>
      </c>
      <c r="AD153" s="73">
        <v>12747.538</v>
      </c>
      <c r="AE153" s="73">
        <v>12579.261</v>
      </c>
      <c r="AF153" s="18">
        <v>1.3377335918222766E-2</v>
      </c>
      <c r="AG153" s="73">
        <v>16799.281999999999</v>
      </c>
      <c r="AH153" s="22">
        <v>-0.241185545906069</v>
      </c>
      <c r="AL153" s="67">
        <v>1000</v>
      </c>
      <c r="AM153" s="73">
        <v>12469.069</v>
      </c>
      <c r="AN153" s="73">
        <v>12618.235000000001</v>
      </c>
      <c r="AO153" s="18">
        <v>-1.1821463144409794E-2</v>
      </c>
      <c r="AP153" s="73">
        <v>16393.794999999998</v>
      </c>
      <c r="AQ153" s="22">
        <v>-0.23940314002950502</v>
      </c>
      <c r="AU153" s="3"/>
      <c r="AV153" s="24"/>
      <c r="AW153" s="24"/>
      <c r="AX153" s="16"/>
      <c r="AY153" s="24"/>
      <c r="AZ153" s="16"/>
    </row>
    <row r="154" spans="9:52" x14ac:dyDescent="0.25">
      <c r="T154" s="6">
        <v>10000</v>
      </c>
      <c r="U154" s="73">
        <v>160063.31400000001</v>
      </c>
      <c r="V154" s="73">
        <v>125660.39</v>
      </c>
      <c r="W154" s="18">
        <v>0.27377699528069277</v>
      </c>
      <c r="X154" s="73">
        <v>211583.552</v>
      </c>
      <c r="Y154" s="22">
        <v>-0.2434983131391989</v>
      </c>
      <c r="AC154" s="6">
        <v>10000</v>
      </c>
      <c r="AD154" s="73">
        <v>157072.23199999999</v>
      </c>
      <c r="AE154" s="73">
        <v>163584.29500000001</v>
      </c>
      <c r="AF154" s="18">
        <v>-3.9808607543896701E-2</v>
      </c>
      <c r="AG154" s="73">
        <v>266938.348</v>
      </c>
      <c r="AH154" s="22">
        <v>-0.41157861664746653</v>
      </c>
      <c r="AL154" s="6">
        <v>10000</v>
      </c>
      <c r="AM154" s="73">
        <v>152478.603</v>
      </c>
      <c r="AN154" s="73">
        <v>158931.79800000001</v>
      </c>
      <c r="AO154" s="18">
        <v>-4.0603548699549741E-2</v>
      </c>
      <c r="AP154" s="73">
        <v>275241.57799999998</v>
      </c>
      <c r="AQ154" s="22">
        <v>-0.44601900589307031</v>
      </c>
      <c r="AU154" s="24"/>
      <c r="AV154" s="24"/>
      <c r="AW154" s="24"/>
      <c r="AX154" s="16"/>
      <c r="AY154" s="24"/>
      <c r="AZ154" s="16"/>
    </row>
    <row r="155" spans="9:52" x14ac:dyDescent="0.25">
      <c r="T155" s="6">
        <v>50000</v>
      </c>
      <c r="U155" s="73">
        <v>977295.22199999995</v>
      </c>
      <c r="V155" s="73">
        <v>837556.38399999996</v>
      </c>
      <c r="W155" s="18">
        <v>0.16684111143972835</v>
      </c>
      <c r="X155" s="73">
        <v>1166290.098</v>
      </c>
      <c r="Y155" s="22">
        <v>-0.16204791271408026</v>
      </c>
      <c r="AC155" s="6">
        <v>50000</v>
      </c>
      <c r="AD155" s="73">
        <v>862142.46100000001</v>
      </c>
      <c r="AE155" s="73">
        <v>931856.33799999999</v>
      </c>
      <c r="AF155" s="18">
        <v>-7.4811828988171736E-2</v>
      </c>
      <c r="AG155" s="73">
        <v>1303263.395</v>
      </c>
      <c r="AH155" s="22">
        <v>-0.33847412249309738</v>
      </c>
      <c r="AL155" s="6">
        <v>50000</v>
      </c>
      <c r="AM155" s="73">
        <v>869747.29799999995</v>
      </c>
      <c r="AN155" s="73">
        <v>885150.27099999995</v>
      </c>
      <c r="AO155" s="18">
        <v>-1.7401534524300044E-2</v>
      </c>
      <c r="AP155" s="73">
        <v>1198841.9380000001</v>
      </c>
      <c r="AQ155" s="22">
        <v>-0.2745104501007205</v>
      </c>
      <c r="AU155" s="24"/>
      <c r="AV155" s="24"/>
      <c r="AW155" s="24"/>
      <c r="AX155" s="16"/>
      <c r="AY155" s="24"/>
      <c r="AZ155" s="16"/>
    </row>
    <row r="156" spans="9:52" ht="20" thickBot="1" x14ac:dyDescent="0.3">
      <c r="T156" s="7">
        <v>100000</v>
      </c>
      <c r="U156" s="74">
        <v>2966082.048</v>
      </c>
      <c r="V156" s="74">
        <v>2635831.8650000002</v>
      </c>
      <c r="W156" s="19">
        <v>0.12529258310639624</v>
      </c>
      <c r="X156" s="74">
        <v>2490297.83</v>
      </c>
      <c r="Y156" s="23">
        <v>0.19105514700625181</v>
      </c>
      <c r="AC156" s="7">
        <v>100000</v>
      </c>
      <c r="AD156" s="74">
        <v>1981019.334</v>
      </c>
      <c r="AE156" s="74">
        <v>1673110.442</v>
      </c>
      <c r="AF156" s="96">
        <v>0.18403381167828492</v>
      </c>
      <c r="AG156" s="74">
        <v>2671647.753</v>
      </c>
      <c r="AH156" s="23">
        <v>-0.25850279784245189</v>
      </c>
      <c r="AL156" s="7">
        <v>100000</v>
      </c>
      <c r="AM156" s="74">
        <v>1939761.79</v>
      </c>
      <c r="AN156" s="74">
        <v>1649398.5349999999</v>
      </c>
      <c r="AO156" s="19">
        <v>0.17604190184393498</v>
      </c>
      <c r="AP156" s="74">
        <v>2518618.5660000001</v>
      </c>
      <c r="AQ156" s="23">
        <v>-0.22983106049254787</v>
      </c>
      <c r="AU156" s="24"/>
      <c r="AV156" s="24"/>
      <c r="AW156" s="24"/>
      <c r="AX156" s="110"/>
      <c r="AY156" s="24"/>
      <c r="AZ156" s="16"/>
    </row>
    <row r="157" spans="9:52" ht="20" thickBot="1" x14ac:dyDescent="0.3"/>
    <row r="158" spans="9:52" x14ac:dyDescent="0.25">
      <c r="T158" s="5" t="s">
        <v>579</v>
      </c>
      <c r="U158" s="72" t="s">
        <v>340</v>
      </c>
      <c r="V158" s="72" t="s">
        <v>341</v>
      </c>
      <c r="W158" s="17" t="s">
        <v>162</v>
      </c>
      <c r="X158" s="72" t="s">
        <v>342</v>
      </c>
      <c r="Y158" s="21" t="s">
        <v>162</v>
      </c>
      <c r="AC158" s="5" t="s">
        <v>897</v>
      </c>
      <c r="AD158" s="72" t="s">
        <v>340</v>
      </c>
      <c r="AE158" s="72" t="s">
        <v>341</v>
      </c>
      <c r="AF158" s="17" t="s">
        <v>162</v>
      </c>
      <c r="AG158" s="72" t="s">
        <v>342</v>
      </c>
      <c r="AH158" s="21" t="s">
        <v>162</v>
      </c>
      <c r="AL158" s="5" t="s">
        <v>897</v>
      </c>
      <c r="AM158" s="72" t="s">
        <v>340</v>
      </c>
      <c r="AN158" s="72" t="s">
        <v>341</v>
      </c>
      <c r="AO158" s="17" t="s">
        <v>162</v>
      </c>
      <c r="AP158" s="72" t="s">
        <v>342</v>
      </c>
      <c r="AQ158" s="21" t="s">
        <v>162</v>
      </c>
      <c r="AU158" s="82"/>
      <c r="AV158" s="78"/>
      <c r="AW158" s="78"/>
      <c r="AX158" s="44"/>
      <c r="AY158" s="78"/>
      <c r="AZ158" s="44"/>
    </row>
    <row r="159" spans="9:52" x14ac:dyDescent="0.25">
      <c r="T159" s="67">
        <v>100</v>
      </c>
      <c r="U159" s="73">
        <v>2637.817</v>
      </c>
      <c r="V159" s="73">
        <v>2392.1909999999998</v>
      </c>
      <c r="W159" s="18">
        <v>0.10267825604226433</v>
      </c>
      <c r="X159" s="73">
        <v>3167.511</v>
      </c>
      <c r="Y159" s="22">
        <v>-0.1672272014209264</v>
      </c>
      <c r="AC159" s="67">
        <v>100</v>
      </c>
      <c r="AD159" s="73">
        <v>2358.3440000000001</v>
      </c>
      <c r="AE159" s="73">
        <v>2350.9279999999999</v>
      </c>
      <c r="AF159" s="18">
        <v>3.1544989893352859E-3</v>
      </c>
      <c r="AG159" s="73">
        <v>2484.3389999999999</v>
      </c>
      <c r="AH159" s="22">
        <v>-5.0715703452709149E-2</v>
      </c>
      <c r="AL159" s="67">
        <v>100</v>
      </c>
      <c r="AM159" s="73">
        <v>2305.7069999999999</v>
      </c>
      <c r="AN159" s="73">
        <v>2227.31</v>
      </c>
      <c r="AO159" s="18">
        <v>3.5198064032397891E-2</v>
      </c>
      <c r="AP159" s="73">
        <v>2528.3040000000001</v>
      </c>
      <c r="AQ159" s="22">
        <v>-8.8042023427562621E-2</v>
      </c>
      <c r="AU159" s="3"/>
      <c r="AV159" s="24"/>
      <c r="AW159" s="24"/>
      <c r="AX159" s="16"/>
      <c r="AY159" s="24"/>
      <c r="AZ159" s="16"/>
    </row>
    <row r="160" spans="9:52" x14ac:dyDescent="0.25">
      <c r="T160" s="67">
        <v>1000</v>
      </c>
      <c r="U160" s="73">
        <v>31343.279999999999</v>
      </c>
      <c r="V160" s="73">
        <v>27548.216</v>
      </c>
      <c r="W160" s="18">
        <v>0.13776079002720176</v>
      </c>
      <c r="X160" s="73">
        <v>30208.25</v>
      </c>
      <c r="Y160" s="22">
        <v>3.7573510547615374E-2</v>
      </c>
      <c r="AC160" s="67">
        <v>1000</v>
      </c>
      <c r="AD160" s="73">
        <v>28685.64</v>
      </c>
      <c r="AE160" s="73">
        <v>27661.183000000001</v>
      </c>
      <c r="AF160" s="18">
        <v>3.703590696030612E-2</v>
      </c>
      <c r="AG160" s="73">
        <v>26861.341</v>
      </c>
      <c r="AH160" s="22">
        <v>6.7915410477831228E-2</v>
      </c>
      <c r="AL160" s="67">
        <v>1000</v>
      </c>
      <c r="AM160" s="73">
        <v>26836.947</v>
      </c>
      <c r="AN160" s="73">
        <v>26744.466</v>
      </c>
      <c r="AO160" s="18">
        <v>3.4579490201822605E-3</v>
      </c>
      <c r="AP160" s="73">
        <v>26771.245999999999</v>
      </c>
      <c r="AQ160" s="22">
        <v>2.4541629478134208E-3</v>
      </c>
      <c r="AU160" s="3"/>
      <c r="AV160" s="24"/>
      <c r="AW160" s="24"/>
      <c r="AX160" s="16"/>
      <c r="AY160" s="24"/>
      <c r="AZ160" s="16"/>
    </row>
    <row r="161" spans="20:52" x14ac:dyDescent="0.25">
      <c r="T161" s="6">
        <v>10000</v>
      </c>
      <c r="U161" s="73">
        <v>360704.46299999999</v>
      </c>
      <c r="V161" s="73">
        <v>344165.78700000001</v>
      </c>
      <c r="W161" s="18">
        <v>4.8054387230535456E-2</v>
      </c>
      <c r="X161" s="73">
        <v>360934.91499999998</v>
      </c>
      <c r="Y161" s="22">
        <v>-6.3848630437979281E-4</v>
      </c>
      <c r="AC161" s="6">
        <v>10000</v>
      </c>
      <c r="AD161" s="73">
        <v>347207.79200000002</v>
      </c>
      <c r="AE161" s="73">
        <v>350290.18199999997</v>
      </c>
      <c r="AF161" s="18">
        <v>-8.7995329540807576E-3</v>
      </c>
      <c r="AG161" s="73">
        <v>329809.44400000002</v>
      </c>
      <c r="AH161" s="22">
        <v>5.2752728329998888E-2</v>
      </c>
      <c r="AL161" s="6">
        <v>10000</v>
      </c>
      <c r="AM161" s="73">
        <v>336783.10800000001</v>
      </c>
      <c r="AN161" s="73">
        <v>349206.63400000002</v>
      </c>
      <c r="AO161" s="18">
        <v>-3.5576431803984621E-2</v>
      </c>
      <c r="AP161" s="73">
        <v>325345.99900000001</v>
      </c>
      <c r="AQ161" s="22">
        <v>3.5153679575447905E-2</v>
      </c>
      <c r="AU161" s="24"/>
      <c r="AV161" s="24"/>
      <c r="AW161" s="24"/>
      <c r="AX161" s="16"/>
      <c r="AY161" s="24"/>
      <c r="AZ161" s="16"/>
    </row>
    <row r="162" spans="20:52" x14ac:dyDescent="0.25">
      <c r="T162" s="6">
        <v>50000</v>
      </c>
      <c r="U162" s="73">
        <v>2090740.9539999999</v>
      </c>
      <c r="V162" s="73">
        <v>2081260.2479999999</v>
      </c>
      <c r="W162" s="18">
        <v>4.5552717441803559E-3</v>
      </c>
      <c r="X162" s="73">
        <v>2198922.2230000002</v>
      </c>
      <c r="Y162" s="22">
        <v>-4.9197405832939411E-2</v>
      </c>
      <c r="AC162" s="6">
        <v>50000</v>
      </c>
      <c r="AD162" s="73">
        <v>2141358.645</v>
      </c>
      <c r="AE162" s="73">
        <v>2141210.1630000002</v>
      </c>
      <c r="AF162" s="18">
        <v>6.9344897836609576E-5</v>
      </c>
      <c r="AG162" s="73">
        <v>2251015.5329999998</v>
      </c>
      <c r="AH162" s="22">
        <v>-4.8714407516262881E-2</v>
      </c>
      <c r="AL162" s="6">
        <v>50000</v>
      </c>
      <c r="AM162" s="73">
        <v>2039409.0330000001</v>
      </c>
      <c r="AN162" s="73">
        <v>2064538.848</v>
      </c>
      <c r="AO162" s="18">
        <v>-1.2172120192528335E-2</v>
      </c>
      <c r="AP162" s="73">
        <v>2138740.1239999998</v>
      </c>
      <c r="AQ162" s="22">
        <v>-4.6443740352252294E-2</v>
      </c>
      <c r="AU162" s="24"/>
      <c r="AV162" s="24"/>
      <c r="AW162" s="24"/>
      <c r="AX162" s="16"/>
      <c r="AY162" s="24"/>
      <c r="AZ162" s="16"/>
    </row>
    <row r="163" spans="20:52" ht="20" thickBot="1" x14ac:dyDescent="0.3">
      <c r="T163" s="7">
        <v>100000</v>
      </c>
      <c r="U163" s="74">
        <v>4553636.0360000003</v>
      </c>
      <c r="V163" s="74">
        <v>4488209.2759999996</v>
      </c>
      <c r="W163" s="19">
        <v>1.4577475330720402E-2</v>
      </c>
      <c r="X163" s="74">
        <v>4914195.9950000001</v>
      </c>
      <c r="Y163" s="23">
        <v>-7.3371098622614039E-2</v>
      </c>
      <c r="AC163" s="7">
        <v>100000</v>
      </c>
      <c r="AD163" s="74">
        <v>4729086.7479999997</v>
      </c>
      <c r="AE163" s="74">
        <v>4460491.8159999996</v>
      </c>
      <c r="AF163" s="19">
        <v>6.0216438697754615E-2</v>
      </c>
      <c r="AG163" s="74">
        <v>4986779.6529999999</v>
      </c>
      <c r="AH163" s="23">
        <v>-5.1675213851683721E-2</v>
      </c>
      <c r="AL163" s="7">
        <v>100000</v>
      </c>
      <c r="AM163" s="74">
        <v>4228710.9689999996</v>
      </c>
      <c r="AN163" s="74">
        <v>4217993.773</v>
      </c>
      <c r="AO163" s="19">
        <v>2.540827838249049E-3</v>
      </c>
      <c r="AP163" s="74">
        <v>4528837.4859999996</v>
      </c>
      <c r="AQ163" s="23">
        <v>-6.6270100865350456E-2</v>
      </c>
      <c r="AU163" s="24"/>
      <c r="AV163" s="24"/>
      <c r="AW163" s="24"/>
      <c r="AX163" s="16"/>
      <c r="AY163" s="24"/>
      <c r="AZ163" s="16"/>
    </row>
    <row r="165" spans="20:52" ht="20" thickBot="1" x14ac:dyDescent="0.3"/>
    <row r="166" spans="20:52" x14ac:dyDescent="0.25">
      <c r="T166" s="5" t="s">
        <v>577</v>
      </c>
      <c r="U166" s="72" t="s">
        <v>340</v>
      </c>
      <c r="V166" s="72" t="s">
        <v>341</v>
      </c>
      <c r="W166" s="17" t="s">
        <v>162</v>
      </c>
      <c r="X166" s="72" t="s">
        <v>342</v>
      </c>
      <c r="Y166" s="21" t="s">
        <v>162</v>
      </c>
    </row>
    <row r="167" spans="20:52" x14ac:dyDescent="0.25">
      <c r="T167" s="67">
        <v>100</v>
      </c>
      <c r="U167" s="73">
        <v>959.78499999999997</v>
      </c>
      <c r="V167" s="73">
        <v>1553.1320000000001</v>
      </c>
      <c r="W167" s="18">
        <v>-0.38203256387737816</v>
      </c>
      <c r="X167" s="73">
        <v>2938.5</v>
      </c>
      <c r="Y167" s="31">
        <v>-0.67337587204355964</v>
      </c>
    </row>
    <row r="168" spans="20:52" x14ac:dyDescent="0.25">
      <c r="T168" s="67">
        <v>1000</v>
      </c>
      <c r="U168" s="73">
        <v>8026.1629999999996</v>
      </c>
      <c r="V168" s="73">
        <v>8157.7209999999995</v>
      </c>
      <c r="W168" s="18">
        <v>-1.6126807965116674E-2</v>
      </c>
      <c r="X168" s="73">
        <v>20838.598999999998</v>
      </c>
      <c r="Y168" s="31">
        <v>-0.61484152557472793</v>
      </c>
    </row>
    <row r="169" spans="20:52" x14ac:dyDescent="0.25">
      <c r="T169" s="6">
        <v>10000</v>
      </c>
      <c r="U169" s="73">
        <v>57094.508999999998</v>
      </c>
      <c r="V169" s="73">
        <v>52271.923000000003</v>
      </c>
      <c r="W169" s="18">
        <v>9.2259586470541555E-2</v>
      </c>
      <c r="X169" s="73">
        <v>190788.51199999999</v>
      </c>
      <c r="Y169" s="31">
        <v>-0.70074451338034438</v>
      </c>
    </row>
    <row r="170" spans="20:52" x14ac:dyDescent="0.25">
      <c r="T170" s="6">
        <v>50000</v>
      </c>
      <c r="U170" s="73">
        <v>283769.99</v>
      </c>
      <c r="V170" s="73">
        <v>253492.981</v>
      </c>
      <c r="W170" s="18">
        <v>0.11943924001588035</v>
      </c>
      <c r="X170" s="73">
        <v>840179.652</v>
      </c>
      <c r="Y170" s="31">
        <v>-0.66225081823333665</v>
      </c>
    </row>
    <row r="171" spans="20:52" ht="20" thickBot="1" x14ac:dyDescent="0.3">
      <c r="T171" s="7">
        <v>100000</v>
      </c>
      <c r="U171" s="74">
        <v>576843.46900000004</v>
      </c>
      <c r="V171" s="74">
        <v>504186.837</v>
      </c>
      <c r="W171" s="19">
        <v>0.14410656262333177</v>
      </c>
      <c r="X171" s="74">
        <v>1643591.912</v>
      </c>
      <c r="Y171" s="45">
        <v>-0.64903485786926896</v>
      </c>
    </row>
    <row r="173" spans="20:52" ht="20" thickBot="1" x14ac:dyDescent="0.3"/>
    <row r="174" spans="20:52" x14ac:dyDescent="0.25">
      <c r="T174" s="5" t="s">
        <v>576</v>
      </c>
      <c r="U174" s="72" t="s">
        <v>340</v>
      </c>
      <c r="V174" s="72" t="s">
        <v>341</v>
      </c>
      <c r="W174" s="21" t="s">
        <v>162</v>
      </c>
    </row>
    <row r="175" spans="20:52" x14ac:dyDescent="0.25">
      <c r="T175" s="67">
        <v>100</v>
      </c>
      <c r="U175" s="73">
        <v>1160.5840000000001</v>
      </c>
      <c r="V175" s="73">
        <v>832.94</v>
      </c>
      <c r="W175" s="22">
        <v>0.39335846519557238</v>
      </c>
    </row>
    <row r="176" spans="20:52" x14ac:dyDescent="0.25">
      <c r="T176" s="67">
        <v>1000</v>
      </c>
      <c r="U176" s="73">
        <v>13139.287</v>
      </c>
      <c r="V176" s="73">
        <v>13061.200999999999</v>
      </c>
      <c r="W176" s="22">
        <v>5.978470126905E-3</v>
      </c>
    </row>
    <row r="177" spans="20:52" x14ac:dyDescent="0.25">
      <c r="T177" s="6">
        <v>10000</v>
      </c>
      <c r="U177" s="73">
        <v>161455.57199999999</v>
      </c>
      <c r="V177" s="73">
        <v>134776.89000000001</v>
      </c>
      <c r="W177" s="22">
        <v>0.19794700708704571</v>
      </c>
    </row>
    <row r="178" spans="20:52" x14ac:dyDescent="0.25">
      <c r="T178" s="6">
        <v>50000</v>
      </c>
      <c r="U178" s="73">
        <v>916299.11800000002</v>
      </c>
      <c r="V178" s="73">
        <v>811511.04700000002</v>
      </c>
      <c r="W178" s="22">
        <v>0.12912710355254098</v>
      </c>
    </row>
    <row r="179" spans="20:52" ht="20" thickBot="1" x14ac:dyDescent="0.3">
      <c r="T179" s="7">
        <v>100000</v>
      </c>
      <c r="U179" s="74">
        <v>2455878.1439999999</v>
      </c>
      <c r="V179" s="74">
        <v>1746629.93</v>
      </c>
      <c r="W179" s="23">
        <v>0.40606667836042409</v>
      </c>
    </row>
    <row r="181" spans="20:52" ht="20" thickBot="1" x14ac:dyDescent="0.3"/>
    <row r="182" spans="20:52" x14ac:dyDescent="0.25">
      <c r="T182" s="5" t="s">
        <v>586</v>
      </c>
      <c r="U182" s="72" t="s">
        <v>340</v>
      </c>
      <c r="V182" s="72" t="s">
        <v>341</v>
      </c>
      <c r="W182" s="17" t="s">
        <v>162</v>
      </c>
      <c r="X182" s="72" t="s">
        <v>342</v>
      </c>
      <c r="Y182" s="21" t="s">
        <v>162</v>
      </c>
      <c r="AC182" s="5" t="s">
        <v>980</v>
      </c>
      <c r="AD182" s="72" t="s">
        <v>340</v>
      </c>
      <c r="AE182" s="72" t="s">
        <v>341</v>
      </c>
      <c r="AF182" s="17" t="s">
        <v>162</v>
      </c>
      <c r="AG182" s="72" t="s">
        <v>342</v>
      </c>
      <c r="AH182" s="21" t="s">
        <v>162</v>
      </c>
      <c r="AU182" s="82"/>
      <c r="AV182" s="78"/>
      <c r="AW182" s="78"/>
      <c r="AX182" s="44"/>
      <c r="AY182" s="78"/>
      <c r="AZ182" s="44"/>
    </row>
    <row r="183" spans="20:52" x14ac:dyDescent="0.25">
      <c r="T183" s="67">
        <v>100</v>
      </c>
      <c r="U183" s="73">
        <v>419.19</v>
      </c>
      <c r="V183" s="73">
        <v>42.311999999999998</v>
      </c>
      <c r="W183" s="18">
        <v>8.9071185479296666</v>
      </c>
      <c r="X183" s="73">
        <v>93.012</v>
      </c>
      <c r="Y183" s="22">
        <v>3.5068378273771126</v>
      </c>
      <c r="AC183" s="67">
        <v>100</v>
      </c>
      <c r="AD183" s="73">
        <v>59.835000000000001</v>
      </c>
      <c r="AE183" s="73">
        <v>33.055</v>
      </c>
      <c r="AF183" s="18">
        <v>0.8101648767206171</v>
      </c>
      <c r="AG183" s="73">
        <v>65.566000000000003</v>
      </c>
      <c r="AH183" s="22">
        <v>-8.740810786078157E-2</v>
      </c>
      <c r="AU183" s="3"/>
      <c r="AV183" s="24"/>
      <c r="AW183" s="24"/>
      <c r="AX183" s="16"/>
      <c r="AY183" s="24"/>
      <c r="AZ183" s="16"/>
    </row>
    <row r="184" spans="20:52" x14ac:dyDescent="0.25">
      <c r="T184" s="67">
        <v>1000</v>
      </c>
      <c r="U184" s="73">
        <v>5288.7669999999998</v>
      </c>
      <c r="V184" s="73">
        <v>446.70600000000002</v>
      </c>
      <c r="W184" s="18">
        <v>10.839480553205016</v>
      </c>
      <c r="X184" s="73">
        <v>685.94899999999996</v>
      </c>
      <c r="Y184" s="22">
        <v>6.710146089578088</v>
      </c>
      <c r="AC184" s="67">
        <v>1000</v>
      </c>
      <c r="AD184" s="73">
        <v>573.48699999999997</v>
      </c>
      <c r="AE184" s="73">
        <v>326.36</v>
      </c>
      <c r="AF184" s="18">
        <v>0.75722208603995567</v>
      </c>
      <c r="AG184" s="73">
        <v>460.714</v>
      </c>
      <c r="AH184" s="22">
        <v>0.24477875645194191</v>
      </c>
      <c r="AU184" s="3"/>
      <c r="AV184" s="24"/>
      <c r="AW184" s="24"/>
      <c r="AX184" s="16"/>
      <c r="AY184" s="24"/>
      <c r="AZ184" s="16"/>
    </row>
    <row r="185" spans="20:52" x14ac:dyDescent="0.25">
      <c r="T185" s="6">
        <v>10000</v>
      </c>
      <c r="U185" s="73">
        <v>41431.716999999997</v>
      </c>
      <c r="V185" s="73">
        <v>5605.2449999999999</v>
      </c>
      <c r="W185" s="18">
        <v>6.3915978694954454</v>
      </c>
      <c r="X185" s="73">
        <v>6554.7939999999999</v>
      </c>
      <c r="Y185" s="22">
        <v>5.3208267109538454</v>
      </c>
      <c r="AC185" s="6">
        <v>10000</v>
      </c>
      <c r="AD185" s="73">
        <v>5438.6369999999997</v>
      </c>
      <c r="AE185" s="73">
        <v>2860.3229999999999</v>
      </c>
      <c r="AF185" s="18">
        <v>0.90140658939567309</v>
      </c>
      <c r="AG185" s="73">
        <v>4307.2460000000001</v>
      </c>
      <c r="AH185" s="22">
        <v>0.26267155393492714</v>
      </c>
      <c r="AU185" s="24"/>
      <c r="AV185" s="24"/>
      <c r="AW185" s="24"/>
      <c r="AX185" s="16"/>
      <c r="AY185" s="24"/>
      <c r="AZ185" s="16"/>
    </row>
    <row r="186" spans="20:52" x14ac:dyDescent="0.25">
      <c r="T186" s="6">
        <v>50000</v>
      </c>
      <c r="U186" s="73">
        <v>203632.867</v>
      </c>
      <c r="V186" s="73">
        <v>28150.562000000002</v>
      </c>
      <c r="W186" s="18">
        <v>6.2337052098640156</v>
      </c>
      <c r="X186" s="73">
        <v>39229.141000000003</v>
      </c>
      <c r="Y186" s="22">
        <v>4.190857148771113</v>
      </c>
      <c r="AC186" s="6">
        <v>50000</v>
      </c>
      <c r="AD186" s="73">
        <v>27238.223000000002</v>
      </c>
      <c r="AE186" s="73">
        <v>14218.724</v>
      </c>
      <c r="AF186" s="18">
        <v>0.91565874687489557</v>
      </c>
      <c r="AG186" s="73">
        <v>19238.339</v>
      </c>
      <c r="AH186" s="22">
        <v>0.41583028555635715</v>
      </c>
      <c r="AU186" s="24"/>
      <c r="AV186" s="24"/>
      <c r="AW186" s="24"/>
      <c r="AX186" s="16"/>
      <c r="AY186" s="24"/>
      <c r="AZ186" s="16"/>
    </row>
    <row r="187" spans="20:52" ht="20" thickBot="1" x14ac:dyDescent="0.3">
      <c r="T187" s="7">
        <v>100000</v>
      </c>
      <c r="U187" s="74">
        <v>405011.77500000002</v>
      </c>
      <c r="V187" s="74">
        <v>54471.981</v>
      </c>
      <c r="W187" s="19">
        <v>6.4352312430128071</v>
      </c>
      <c r="X187" s="74">
        <v>62938.163999999997</v>
      </c>
      <c r="Y187" s="23">
        <v>5.4350745121831014</v>
      </c>
      <c r="AC187" s="7">
        <v>100000</v>
      </c>
      <c r="AD187" s="74">
        <v>54278.364999999998</v>
      </c>
      <c r="AE187" s="74">
        <v>28886.501</v>
      </c>
      <c r="AF187" s="19">
        <v>0.87902179637471489</v>
      </c>
      <c r="AG187" s="74">
        <v>40301.870999999999</v>
      </c>
      <c r="AH187" s="23">
        <v>0.34679516491926643</v>
      </c>
      <c r="AU187" s="24"/>
      <c r="AV187" s="24"/>
      <c r="AW187" s="24"/>
      <c r="AX187" s="16"/>
      <c r="AY187" s="24"/>
      <c r="AZ187" s="16"/>
    </row>
    <row r="188" spans="20:52" ht="20" thickBot="1" x14ac:dyDescent="0.3"/>
    <row r="189" spans="20:52" x14ac:dyDescent="0.25">
      <c r="T189" s="5" t="s">
        <v>602</v>
      </c>
      <c r="U189" s="72" t="s">
        <v>340</v>
      </c>
      <c r="V189" s="72" t="s">
        <v>341</v>
      </c>
      <c r="W189" s="17" t="s">
        <v>162</v>
      </c>
      <c r="X189" s="72" t="s">
        <v>342</v>
      </c>
      <c r="Y189" s="21" t="s">
        <v>162</v>
      </c>
      <c r="AC189" s="5" t="s">
        <v>996</v>
      </c>
      <c r="AD189" s="72" t="s">
        <v>340</v>
      </c>
      <c r="AE189" s="72" t="s">
        <v>341</v>
      </c>
      <c r="AF189" s="17" t="s">
        <v>162</v>
      </c>
      <c r="AG189" s="72" t="s">
        <v>342</v>
      </c>
      <c r="AH189" s="21" t="s">
        <v>162</v>
      </c>
      <c r="AU189" s="82"/>
      <c r="AV189" s="78"/>
      <c r="AW189" s="78"/>
      <c r="AX189" s="44"/>
      <c r="AY189" s="78"/>
      <c r="AZ189" s="44"/>
    </row>
    <row r="190" spans="20:52" x14ac:dyDescent="0.25">
      <c r="T190" s="67">
        <v>100</v>
      </c>
      <c r="U190" s="73">
        <v>844.50300000000004</v>
      </c>
      <c r="V190" s="73">
        <v>380.85599999999999</v>
      </c>
      <c r="W190" s="18">
        <v>1.2173813724872393</v>
      </c>
      <c r="X190" s="73">
        <v>586.18200000000002</v>
      </c>
      <c r="Y190" s="22">
        <v>0.44068395140075944</v>
      </c>
      <c r="AC190" s="67">
        <v>100</v>
      </c>
      <c r="AD190" s="73">
        <v>516.52499999999998</v>
      </c>
      <c r="AE190" s="73">
        <v>285.73700000000002</v>
      </c>
      <c r="AF190" s="18">
        <v>0.80769378834382644</v>
      </c>
      <c r="AG190" s="73">
        <v>416.85300000000001</v>
      </c>
      <c r="AH190" s="22">
        <v>0.23910587185410681</v>
      </c>
      <c r="AU190" s="3"/>
      <c r="AV190" s="24"/>
      <c r="AW190" s="24"/>
      <c r="AX190" s="16"/>
      <c r="AY190" s="24"/>
      <c r="AZ190" s="16"/>
    </row>
    <row r="191" spans="20:52" x14ac:dyDescent="0.25">
      <c r="T191" s="67">
        <v>1000</v>
      </c>
      <c r="U191" s="73">
        <v>9553.5259999999998</v>
      </c>
      <c r="V191" s="73">
        <v>5697.6090000000004</v>
      </c>
      <c r="W191" s="18">
        <v>0.67676054990786483</v>
      </c>
      <c r="X191" s="73">
        <v>6151.6949999999997</v>
      </c>
      <c r="Y191" s="22">
        <v>0.552990842361333</v>
      </c>
      <c r="AC191" s="67">
        <v>1000</v>
      </c>
      <c r="AD191" s="73">
        <v>6246.9260000000004</v>
      </c>
      <c r="AE191" s="73">
        <v>2568.5830000000001</v>
      </c>
      <c r="AF191" s="18">
        <v>1.432051446264341</v>
      </c>
      <c r="AG191" s="73">
        <v>3808.0050000000001</v>
      </c>
      <c r="AH191" s="22">
        <v>0.64047211072464449</v>
      </c>
      <c r="AU191" s="3"/>
      <c r="AV191" s="24"/>
      <c r="AW191" s="24"/>
      <c r="AX191" s="16"/>
      <c r="AY191" s="24"/>
      <c r="AZ191" s="16"/>
    </row>
    <row r="192" spans="20:52" x14ac:dyDescent="0.25">
      <c r="T192" s="6">
        <v>10000</v>
      </c>
      <c r="U192" s="73">
        <v>86571.278000000006</v>
      </c>
      <c r="V192" s="73">
        <v>51248.106</v>
      </c>
      <c r="W192" s="18">
        <v>0.68925809667970972</v>
      </c>
      <c r="X192" s="73">
        <v>58713.925999999999</v>
      </c>
      <c r="Y192" s="22">
        <v>0.47445902357134151</v>
      </c>
      <c r="AC192" s="6">
        <v>10000</v>
      </c>
      <c r="AD192" s="73">
        <v>61927.775999999998</v>
      </c>
      <c r="AE192" s="73">
        <v>25671.806</v>
      </c>
      <c r="AF192" s="18">
        <v>1.4122874721007159</v>
      </c>
      <c r="AG192" s="73">
        <v>36748.957999999999</v>
      </c>
      <c r="AH192" s="22">
        <v>0.68515733153576752</v>
      </c>
      <c r="AU192" s="24"/>
      <c r="AV192" s="24"/>
      <c r="AW192" s="24"/>
      <c r="AX192" s="16"/>
      <c r="AY192" s="24"/>
      <c r="AZ192" s="16"/>
    </row>
    <row r="193" spans="20:52" x14ac:dyDescent="0.25">
      <c r="T193" s="6">
        <v>50000</v>
      </c>
      <c r="U193" s="73">
        <v>410874.11599999998</v>
      </c>
      <c r="V193" s="73">
        <v>247833.128</v>
      </c>
      <c r="W193" s="18">
        <v>0.65786599764015397</v>
      </c>
      <c r="X193" s="73">
        <v>347428.53600000002</v>
      </c>
      <c r="Y193" s="22">
        <v>0.18261476368768959</v>
      </c>
      <c r="AC193" s="6">
        <v>50000</v>
      </c>
      <c r="AD193" s="73">
        <v>242707.86300000001</v>
      </c>
      <c r="AE193" s="73">
        <v>130475.711</v>
      </c>
      <c r="AF193" s="18">
        <v>0.86017658872922342</v>
      </c>
      <c r="AG193" s="73">
        <v>172859.106</v>
      </c>
      <c r="AH193" s="22">
        <v>0.4040791290451311</v>
      </c>
      <c r="AU193" s="24"/>
      <c r="AV193" s="24"/>
      <c r="AW193" s="24"/>
      <c r="AX193" s="16"/>
      <c r="AY193" s="24"/>
      <c r="AZ193" s="16"/>
    </row>
    <row r="194" spans="20:52" ht="20" thickBot="1" x14ac:dyDescent="0.3">
      <c r="T194" s="7">
        <v>100000</v>
      </c>
      <c r="U194" s="74">
        <v>856561.80200000003</v>
      </c>
      <c r="V194" s="74">
        <v>510465.11900000001</v>
      </c>
      <c r="W194" s="19">
        <v>0.67800261000791329</v>
      </c>
      <c r="X194" s="74">
        <v>583628.20600000001</v>
      </c>
      <c r="Y194" s="23">
        <v>0.46764976948355375</v>
      </c>
      <c r="AC194" s="7">
        <v>100000</v>
      </c>
      <c r="AD194" s="74">
        <v>487248.87900000002</v>
      </c>
      <c r="AE194" s="74">
        <v>263276.772</v>
      </c>
      <c r="AF194" s="19">
        <v>0.85070971243904503</v>
      </c>
      <c r="AG194" s="74">
        <v>350806.81400000001</v>
      </c>
      <c r="AH194" s="23">
        <v>0.38893789845256532</v>
      </c>
      <c r="AU194" s="24"/>
      <c r="AV194" s="24"/>
      <c r="AW194" s="24"/>
      <c r="AX194" s="16"/>
      <c r="AY194" s="24"/>
      <c r="AZ194" s="16"/>
    </row>
    <row r="196" spans="20:52" ht="20" thickBot="1" x14ac:dyDescent="0.3"/>
    <row r="197" spans="20:52" x14ac:dyDescent="0.25">
      <c r="T197" s="5" t="s">
        <v>628</v>
      </c>
      <c r="U197" s="72" t="s">
        <v>340</v>
      </c>
      <c r="V197" s="72" t="s">
        <v>341</v>
      </c>
      <c r="W197" s="17" t="s">
        <v>162</v>
      </c>
      <c r="X197" s="72" t="s">
        <v>342</v>
      </c>
      <c r="Y197" s="21" t="s">
        <v>162</v>
      </c>
      <c r="AC197" s="5" t="s">
        <v>828</v>
      </c>
      <c r="AD197" s="72" t="s">
        <v>340</v>
      </c>
      <c r="AE197" s="72" t="s">
        <v>341</v>
      </c>
      <c r="AF197" s="17" t="s">
        <v>162</v>
      </c>
      <c r="AG197" s="72" t="s">
        <v>342</v>
      </c>
      <c r="AH197" s="21" t="s">
        <v>162</v>
      </c>
      <c r="AU197" s="82"/>
      <c r="AV197" s="78"/>
      <c r="AW197" s="78"/>
      <c r="AX197" s="44"/>
      <c r="AY197" s="78"/>
      <c r="AZ197" s="44"/>
    </row>
    <row r="198" spans="20:52" x14ac:dyDescent="0.25">
      <c r="T198" s="67">
        <v>100</v>
      </c>
      <c r="U198" s="73">
        <v>815.81299999999999</v>
      </c>
      <c r="V198" s="73">
        <v>389.68</v>
      </c>
      <c r="W198" s="18">
        <v>1.0935459864504207</v>
      </c>
      <c r="X198" s="73">
        <v>491.75700000000001</v>
      </c>
      <c r="Y198" s="22">
        <v>0.65897587629662624</v>
      </c>
      <c r="AC198" s="67">
        <v>100</v>
      </c>
      <c r="AD198" s="73">
        <v>477.09500000000003</v>
      </c>
      <c r="AE198" s="73">
        <v>345.21100000000001</v>
      </c>
      <c r="AF198" s="18">
        <v>0.38203881104599802</v>
      </c>
      <c r="AG198" s="73">
        <v>310.78300000000002</v>
      </c>
      <c r="AH198" s="22">
        <v>0.53513866588584325</v>
      </c>
      <c r="AU198" s="3"/>
      <c r="AV198" s="24"/>
      <c r="AW198" s="24"/>
      <c r="AX198" s="16"/>
      <c r="AY198" s="24"/>
      <c r="AZ198" s="16"/>
    </row>
    <row r="199" spans="20:52" x14ac:dyDescent="0.25">
      <c r="T199" s="67">
        <v>1000</v>
      </c>
      <c r="U199" s="73">
        <v>8990.3240000000005</v>
      </c>
      <c r="V199" s="73">
        <v>6849.6239999999998</v>
      </c>
      <c r="W199" s="18">
        <v>0.31252810373240947</v>
      </c>
      <c r="X199" s="73">
        <v>5853.2370000000001</v>
      </c>
      <c r="Y199" s="22">
        <v>0.53595762481512366</v>
      </c>
      <c r="AC199" s="67">
        <v>1000</v>
      </c>
      <c r="AD199" s="73">
        <v>4580.5749999999998</v>
      </c>
      <c r="AE199" s="73">
        <v>2847.415</v>
      </c>
      <c r="AF199" s="18">
        <v>0.6086783977748238</v>
      </c>
      <c r="AG199" s="73">
        <v>2816.8809999999999</v>
      </c>
      <c r="AH199" s="22">
        <v>0.62611590620974056</v>
      </c>
      <c r="AU199" s="3"/>
      <c r="AV199" s="24"/>
      <c r="AW199" s="24"/>
      <c r="AX199" s="16"/>
      <c r="AY199" s="24"/>
      <c r="AZ199" s="16"/>
    </row>
    <row r="200" spans="20:52" x14ac:dyDescent="0.25">
      <c r="T200" s="6">
        <v>10000</v>
      </c>
      <c r="U200" s="73">
        <v>79943.172000000006</v>
      </c>
      <c r="V200" s="73">
        <v>57192.792999999998</v>
      </c>
      <c r="W200" s="18">
        <v>0.39778401799681307</v>
      </c>
      <c r="X200" s="73">
        <v>62943.008999999998</v>
      </c>
      <c r="Y200" s="22">
        <v>0.2700881840586935</v>
      </c>
      <c r="AC200" s="6">
        <v>10000</v>
      </c>
      <c r="AD200" s="73">
        <v>46022.71</v>
      </c>
      <c r="AE200" s="73">
        <v>28526.54</v>
      </c>
      <c r="AF200" s="18">
        <v>0.61332955205924011</v>
      </c>
      <c r="AG200" s="73">
        <v>28019.788</v>
      </c>
      <c r="AH200" s="22">
        <v>0.64250743081996187</v>
      </c>
      <c r="AU200" s="24"/>
      <c r="AV200" s="24"/>
      <c r="AW200" s="24"/>
      <c r="AX200" s="16"/>
      <c r="AY200" s="24"/>
      <c r="AZ200" s="16"/>
    </row>
    <row r="201" spans="20:52" x14ac:dyDescent="0.25">
      <c r="T201" s="6">
        <v>50000</v>
      </c>
      <c r="U201" s="73">
        <v>393679.09600000002</v>
      </c>
      <c r="V201" s="73">
        <v>261854.905</v>
      </c>
      <c r="W201" s="18">
        <v>0.50342456254542967</v>
      </c>
      <c r="X201" s="73">
        <v>278350.01799999998</v>
      </c>
      <c r="Y201" s="22">
        <v>0.41433113181979397</v>
      </c>
      <c r="AC201" s="6">
        <v>50000</v>
      </c>
      <c r="AD201" s="73">
        <v>236241.60500000001</v>
      </c>
      <c r="AE201" s="73">
        <v>143074.152</v>
      </c>
      <c r="AF201" s="18">
        <v>0.65118298237406291</v>
      </c>
      <c r="AG201" s="73">
        <v>140692.264</v>
      </c>
      <c r="AH201" s="22">
        <v>0.67913713436298107</v>
      </c>
      <c r="AU201" s="24"/>
      <c r="AV201" s="24"/>
      <c r="AW201" s="24"/>
      <c r="AX201" s="16"/>
      <c r="AY201" s="24"/>
      <c r="AZ201" s="16"/>
    </row>
    <row r="202" spans="20:52" ht="20" thickBot="1" x14ac:dyDescent="0.3">
      <c r="T202" s="7">
        <v>100000</v>
      </c>
      <c r="U202" s="74">
        <v>791241.75399999996</v>
      </c>
      <c r="V202" s="74">
        <v>528134.625</v>
      </c>
      <c r="W202" s="19">
        <v>0.49818193419906898</v>
      </c>
      <c r="X202" s="74">
        <v>569035.36600000004</v>
      </c>
      <c r="Y202" s="23">
        <v>0.39049662161068555</v>
      </c>
      <c r="AC202" s="7">
        <v>100000</v>
      </c>
      <c r="AD202" s="74">
        <v>471730.63900000002</v>
      </c>
      <c r="AE202" s="74">
        <v>289619.576</v>
      </c>
      <c r="AF202" s="19">
        <v>0.62879403911564324</v>
      </c>
      <c r="AG202" s="74">
        <v>303870.304</v>
      </c>
      <c r="AH202" s="23">
        <v>0.55240782922967036</v>
      </c>
      <c r="AU202" s="24"/>
      <c r="AV202" s="24"/>
      <c r="AW202" s="24"/>
      <c r="AX202" s="16"/>
      <c r="AY202" s="24"/>
      <c r="AZ202" s="16"/>
    </row>
    <row r="203" spans="20:52" ht="20" thickBot="1" x14ac:dyDescent="0.3"/>
    <row r="204" spans="20:52" x14ac:dyDescent="0.25">
      <c r="T204" s="5" t="s">
        <v>644</v>
      </c>
      <c r="U204" s="72" t="s">
        <v>340</v>
      </c>
      <c r="V204" s="72" t="s">
        <v>341</v>
      </c>
      <c r="W204" s="17" t="s">
        <v>162</v>
      </c>
      <c r="X204" s="72" t="s">
        <v>342</v>
      </c>
      <c r="Y204" s="21" t="s">
        <v>162</v>
      </c>
      <c r="AC204" s="5" t="s">
        <v>844</v>
      </c>
      <c r="AD204" s="72" t="s">
        <v>340</v>
      </c>
      <c r="AE204" s="72" t="s">
        <v>341</v>
      </c>
      <c r="AF204" s="17" t="s">
        <v>162</v>
      </c>
      <c r="AG204" s="72" t="s">
        <v>342</v>
      </c>
      <c r="AH204" s="21" t="s">
        <v>162</v>
      </c>
      <c r="AU204" s="82"/>
      <c r="AV204" s="78"/>
      <c r="AW204" s="78"/>
      <c r="AX204" s="44"/>
      <c r="AY204" s="78"/>
      <c r="AZ204" s="44"/>
    </row>
    <row r="205" spans="20:52" x14ac:dyDescent="0.25">
      <c r="T205" s="67">
        <v>100</v>
      </c>
      <c r="U205" s="73">
        <v>415.41199999999998</v>
      </c>
      <c r="V205" s="73">
        <v>95.460999999999999</v>
      </c>
      <c r="W205" s="18">
        <v>3.3516409842763011</v>
      </c>
      <c r="X205" s="73">
        <v>283.08300000000003</v>
      </c>
      <c r="Y205" s="22">
        <v>0.46745654101447265</v>
      </c>
      <c r="AC205" s="67">
        <v>100</v>
      </c>
      <c r="AD205" s="73">
        <v>54.91</v>
      </c>
      <c r="AE205" s="73">
        <v>72.349999999999994</v>
      </c>
      <c r="AF205" s="18">
        <v>-0.2410504492052522</v>
      </c>
      <c r="AG205" s="73">
        <v>236.55600000000001</v>
      </c>
      <c r="AH205" s="22">
        <v>-0.76787737364514119</v>
      </c>
      <c r="AU205" s="3"/>
      <c r="AV205" s="24"/>
      <c r="AW205" s="24"/>
      <c r="AX205" s="16"/>
      <c r="AY205" s="24"/>
      <c r="AZ205" s="16"/>
    </row>
    <row r="206" spans="20:52" x14ac:dyDescent="0.25">
      <c r="T206" s="67">
        <v>1000</v>
      </c>
      <c r="U206" s="73">
        <v>5246.2070000000003</v>
      </c>
      <c r="V206" s="73">
        <v>930.63699999999994</v>
      </c>
      <c r="W206" s="18">
        <v>4.637221601978001</v>
      </c>
      <c r="X206" s="73">
        <v>3327.386</v>
      </c>
      <c r="Y206" s="22">
        <v>0.57667520389879634</v>
      </c>
      <c r="AC206" s="67">
        <v>1000</v>
      </c>
      <c r="AD206" s="73">
        <v>525.46600000000001</v>
      </c>
      <c r="AE206" s="73">
        <v>1070.931</v>
      </c>
      <c r="AF206" s="18">
        <v>-0.50933720286367656</v>
      </c>
      <c r="AG206" s="73">
        <v>2222.7620000000002</v>
      </c>
      <c r="AH206" s="22">
        <v>-0.76359772211329868</v>
      </c>
      <c r="AU206" s="3"/>
      <c r="AV206" s="24"/>
      <c r="AW206" s="24"/>
      <c r="AX206" s="16"/>
      <c r="AY206" s="24"/>
      <c r="AZ206" s="16"/>
    </row>
    <row r="207" spans="20:52" x14ac:dyDescent="0.25">
      <c r="T207" s="6">
        <v>10000</v>
      </c>
      <c r="U207" s="73">
        <v>41592.014000000003</v>
      </c>
      <c r="V207" s="73">
        <v>14480.166999999999</v>
      </c>
      <c r="W207" s="18">
        <v>1.8723435302921581</v>
      </c>
      <c r="X207" s="73">
        <v>30083.495999999999</v>
      </c>
      <c r="Y207" s="22">
        <v>0.38255254641947212</v>
      </c>
      <c r="AC207" s="6">
        <v>10000</v>
      </c>
      <c r="AD207" s="73">
        <v>5160.2780000000002</v>
      </c>
      <c r="AE207" s="73">
        <v>9212.0879999999997</v>
      </c>
      <c r="AF207" s="18">
        <v>-0.43983622388322818</v>
      </c>
      <c r="AG207" s="73">
        <v>21860.511999999999</v>
      </c>
      <c r="AH207" s="22">
        <v>-0.76394523604936604</v>
      </c>
      <c r="AU207" s="24"/>
      <c r="AV207" s="24"/>
      <c r="AW207" s="24"/>
      <c r="AX207" s="16"/>
      <c r="AY207" s="24"/>
      <c r="AZ207" s="16"/>
    </row>
    <row r="208" spans="20:52" x14ac:dyDescent="0.25">
      <c r="T208" s="6">
        <v>50000</v>
      </c>
      <c r="U208" s="73">
        <v>201425.59400000001</v>
      </c>
      <c r="V208" s="73">
        <v>69367.880999999994</v>
      </c>
      <c r="W208" s="18">
        <v>1.9037299553665195</v>
      </c>
      <c r="X208" s="73">
        <v>140175.07999999999</v>
      </c>
      <c r="Y208" s="22">
        <v>0.43695722520721958</v>
      </c>
      <c r="AC208" s="6">
        <v>50000</v>
      </c>
      <c r="AD208" s="73">
        <v>25553.105</v>
      </c>
      <c r="AE208" s="73">
        <v>48014.81</v>
      </c>
      <c r="AF208" s="18">
        <v>-0.46780784928650143</v>
      </c>
      <c r="AG208" s="73">
        <v>110047.234</v>
      </c>
      <c r="AH208" s="22">
        <v>-0.76779875267014885</v>
      </c>
      <c r="AU208" s="24"/>
      <c r="AV208" s="24"/>
      <c r="AW208" s="24"/>
      <c r="AX208" s="16"/>
      <c r="AY208" s="24"/>
      <c r="AZ208" s="16"/>
    </row>
    <row r="209" spans="20:52" ht="20" thickBot="1" x14ac:dyDescent="0.3">
      <c r="T209" s="7">
        <v>100000</v>
      </c>
      <c r="U209" s="74">
        <v>410754.78200000001</v>
      </c>
      <c r="V209" s="74">
        <v>139881.34</v>
      </c>
      <c r="W209" s="19">
        <v>1.9364515810328955</v>
      </c>
      <c r="X209" s="74">
        <v>286243.87300000002</v>
      </c>
      <c r="Y209" s="23">
        <v>0.43498191837279943</v>
      </c>
      <c r="AC209" s="7">
        <v>100000</v>
      </c>
      <c r="AD209" s="74">
        <v>50886.771000000001</v>
      </c>
      <c r="AE209" s="74">
        <v>93268.964999999997</v>
      </c>
      <c r="AF209" s="19">
        <v>-0.45440832328309844</v>
      </c>
      <c r="AG209" s="74">
        <v>143988.25200000001</v>
      </c>
      <c r="AH209" s="23">
        <v>-0.64659081353387082</v>
      </c>
      <c r="AU209" s="24"/>
      <c r="AV209" s="24"/>
      <c r="AW209" s="24"/>
      <c r="AX209" s="16"/>
      <c r="AY209" s="24"/>
      <c r="AZ209" s="16"/>
    </row>
    <row r="211" spans="20:52" ht="20" thickBot="1" x14ac:dyDescent="0.3"/>
    <row r="212" spans="20:52" x14ac:dyDescent="0.25">
      <c r="T212" s="70" t="s">
        <v>660</v>
      </c>
      <c r="U212" s="72" t="s">
        <v>344</v>
      </c>
      <c r="V212" s="72" t="s">
        <v>341</v>
      </c>
      <c r="W212" s="17" t="s">
        <v>162</v>
      </c>
      <c r="X212" s="72" t="s">
        <v>343</v>
      </c>
      <c r="Y212" s="17" t="s">
        <v>162</v>
      </c>
      <c r="Z212" s="72" t="s">
        <v>342</v>
      </c>
      <c r="AA212" s="87" t="s">
        <v>162</v>
      </c>
    </row>
    <row r="213" spans="20:52" x14ac:dyDescent="0.25">
      <c r="T213" s="67">
        <v>100</v>
      </c>
      <c r="U213" s="73">
        <v>3743.1619999999998</v>
      </c>
      <c r="V213" s="73">
        <v>3990.8870000000002</v>
      </c>
      <c r="W213" s="18">
        <v>-6.2072667053715169E-2</v>
      </c>
      <c r="X213" s="73">
        <v>4173.8890000000001</v>
      </c>
      <c r="Y213" s="18">
        <v>-0.10319560486634893</v>
      </c>
      <c r="Z213" s="73">
        <v>3787.0309999999999</v>
      </c>
      <c r="AA213" s="88">
        <v>-1.1584008686488234E-2</v>
      </c>
    </row>
    <row r="214" spans="20:52" x14ac:dyDescent="0.25">
      <c r="T214" s="67">
        <v>1000</v>
      </c>
      <c r="U214" s="73">
        <v>53964.703999999998</v>
      </c>
      <c r="V214" s="73">
        <v>66378.396999999997</v>
      </c>
      <c r="W214" s="18">
        <v>-0.18701405217724676</v>
      </c>
      <c r="X214" s="73">
        <v>59316.523999999998</v>
      </c>
      <c r="Y214" s="18">
        <v>-9.022477446588073E-2</v>
      </c>
      <c r="Z214" s="73">
        <v>61665.39</v>
      </c>
      <c r="AA214" s="88">
        <v>-0.12487857451319129</v>
      </c>
    </row>
    <row r="215" spans="20:52" x14ac:dyDescent="0.25">
      <c r="T215" s="6">
        <v>10000</v>
      </c>
      <c r="U215" s="73">
        <v>1165313.922</v>
      </c>
      <c r="V215" s="73">
        <v>1168694.9820000001</v>
      </c>
      <c r="W215" s="18">
        <v>-2.8930217482528997E-3</v>
      </c>
      <c r="X215" s="73">
        <v>1234207.49</v>
      </c>
      <c r="Y215" s="18">
        <v>-5.5820085810692976E-2</v>
      </c>
      <c r="Z215" s="73">
        <v>1131924.865</v>
      </c>
      <c r="AA215" s="88">
        <v>2.9497591255758904E-2</v>
      </c>
    </row>
    <row r="216" spans="20:52" x14ac:dyDescent="0.25">
      <c r="T216" s="6">
        <v>50000</v>
      </c>
      <c r="U216" s="73">
        <v>6817516.5310000004</v>
      </c>
      <c r="V216" s="73">
        <v>7102065.6950000003</v>
      </c>
      <c r="W216" s="18">
        <v>-4.0065690211839144E-2</v>
      </c>
      <c r="X216" s="73">
        <v>7169907.8159999996</v>
      </c>
      <c r="Y216" s="18">
        <v>-4.9148649333206285E-2</v>
      </c>
      <c r="Z216" s="73">
        <v>6980096.4680000003</v>
      </c>
      <c r="AA216" s="88">
        <v>-2.3291932675335025E-2</v>
      </c>
    </row>
    <row r="217" spans="20:52" ht="20" thickBot="1" x14ac:dyDescent="0.3">
      <c r="T217" s="7">
        <v>100000</v>
      </c>
      <c r="U217" s="74">
        <v>14870772.634</v>
      </c>
      <c r="V217" s="74">
        <v>15470365.488</v>
      </c>
      <c r="W217" s="19">
        <v>-3.8757510574982224E-2</v>
      </c>
      <c r="X217" s="74">
        <v>15364027.539000001</v>
      </c>
      <c r="Y217" s="19">
        <v>-3.2104531428879812E-2</v>
      </c>
      <c r="Z217" s="74">
        <v>14922144.015000001</v>
      </c>
      <c r="AA217" s="90">
        <v>-3.4426273428510568E-3</v>
      </c>
    </row>
    <row r="220" spans="20:52" ht="20" thickBot="1" x14ac:dyDescent="0.3">
      <c r="T220" s="85">
        <v>10000</v>
      </c>
      <c r="U220" s="24"/>
      <c r="V220" s="24"/>
      <c r="W220" s="16"/>
      <c r="X220" s="24"/>
      <c r="Y220" s="16"/>
      <c r="AA220" s="16"/>
      <c r="AB220" s="16"/>
      <c r="AC220" s="16"/>
    </row>
    <row r="221" spans="20:52" x14ac:dyDescent="0.25">
      <c r="T221" s="5" t="s">
        <v>1180</v>
      </c>
      <c r="U221" s="72" t="s">
        <v>340</v>
      </c>
      <c r="V221" s="72" t="s">
        <v>341</v>
      </c>
      <c r="W221" s="17" t="s">
        <v>162</v>
      </c>
      <c r="X221" s="72" t="s">
        <v>1182</v>
      </c>
      <c r="Y221" s="17" t="s">
        <v>162</v>
      </c>
      <c r="Z221" s="72" t="s">
        <v>342</v>
      </c>
      <c r="AA221" s="17" t="s">
        <v>162</v>
      </c>
      <c r="AB221" s="111" t="s">
        <v>1183</v>
      </c>
      <c r="AC221" s="112" t="s">
        <v>1184</v>
      </c>
    </row>
    <row r="222" spans="20:52" x14ac:dyDescent="0.25">
      <c r="T222" s="6" t="s">
        <v>1181</v>
      </c>
      <c r="U222" s="73">
        <v>1116122.676</v>
      </c>
      <c r="V222" s="73">
        <v>1168951.398</v>
      </c>
      <c r="W222" s="18">
        <v>-4.5193257897964467E-2</v>
      </c>
      <c r="X222" s="73">
        <v>1182581.702</v>
      </c>
      <c r="Y222" s="18">
        <v>-5.6198253268762377E-2</v>
      </c>
      <c r="Z222" s="73">
        <v>1124630.311</v>
      </c>
      <c r="AA222" s="18">
        <v>-7.5648281188821498E-3</v>
      </c>
      <c r="AB222" s="18">
        <v>3.9409472220778508E-2</v>
      </c>
      <c r="AC222" s="22">
        <v>5.1529280718452863E-2</v>
      </c>
    </row>
    <row r="223" spans="20:52" x14ac:dyDescent="0.25">
      <c r="T223" s="6" t="s">
        <v>1185</v>
      </c>
      <c r="U223" s="73">
        <v>134250.856</v>
      </c>
      <c r="V223" s="73">
        <v>161195.481</v>
      </c>
      <c r="W223" s="18">
        <v>-0.16715496509483418</v>
      </c>
      <c r="X223" s="73">
        <v>153344.00700000001</v>
      </c>
      <c r="Y223" s="18">
        <v>-0.12451188261957968</v>
      </c>
      <c r="Z223" s="73">
        <v>189508.465</v>
      </c>
      <c r="AA223" s="18">
        <v>-0.29158385616178151</v>
      </c>
      <c r="AB223" s="18">
        <v>-0.14940221271909937</v>
      </c>
      <c r="AC223" s="22">
        <v>-0.19083294247568294</v>
      </c>
    </row>
    <row r="224" spans="20:52" x14ac:dyDescent="0.25">
      <c r="T224" s="6" t="s">
        <v>1186</v>
      </c>
      <c r="U224" s="73">
        <v>265054.58</v>
      </c>
      <c r="V224" s="73">
        <v>318428.28200000001</v>
      </c>
      <c r="W224" s="18">
        <v>-0.16761608505616343</v>
      </c>
      <c r="X224" s="73">
        <v>243101.75700000001</v>
      </c>
      <c r="Y224" s="18">
        <v>9.0303020722306115E-2</v>
      </c>
      <c r="Z224" s="73">
        <v>266285.35499999998</v>
      </c>
      <c r="AA224" s="18">
        <v>-4.6220153564208166E-3</v>
      </c>
      <c r="AB224" s="18">
        <v>0.19581597718732979</v>
      </c>
      <c r="AC224" s="22">
        <v>-8.706298549539071E-2</v>
      </c>
    </row>
    <row r="225" spans="20:29" x14ac:dyDescent="0.25">
      <c r="T225" s="6" t="s">
        <v>1187</v>
      </c>
      <c r="U225" s="73">
        <v>80140.683999999994</v>
      </c>
      <c r="V225" s="73">
        <v>55675.103999999999</v>
      </c>
      <c r="W225" s="18">
        <v>0.43943483248814408</v>
      </c>
      <c r="X225" s="73"/>
      <c r="Y225" s="18"/>
      <c r="Z225" s="73">
        <v>61410.196000000004</v>
      </c>
      <c r="AA225" s="18">
        <v>0.30500615891211269</v>
      </c>
      <c r="AB225" s="18">
        <v>-9.3389898967266016E-2</v>
      </c>
      <c r="AC225" s="22"/>
    </row>
    <row r="226" spans="20:29" x14ac:dyDescent="0.25">
      <c r="T226" s="6" t="s">
        <v>1188</v>
      </c>
      <c r="U226" s="73">
        <v>41234.262999999999</v>
      </c>
      <c r="V226" s="73">
        <v>14059.196</v>
      </c>
      <c r="W226" s="18">
        <v>1.9329033466778611</v>
      </c>
      <c r="X226" s="73"/>
      <c r="Y226" s="18"/>
      <c r="Z226" s="73">
        <v>29590.920999999998</v>
      </c>
      <c r="AA226" s="18">
        <v>0.39347683703389968</v>
      </c>
      <c r="AB226" s="18">
        <v>-0.52488143238258789</v>
      </c>
      <c r="AC226" s="22"/>
    </row>
    <row r="227" spans="20:29" x14ac:dyDescent="0.25">
      <c r="T227" s="6" t="s">
        <v>1189</v>
      </c>
      <c r="U227" s="73">
        <v>49509.065999999999</v>
      </c>
      <c r="V227" s="73">
        <v>47496.811000000002</v>
      </c>
      <c r="W227" s="18">
        <v>4.2366107484563376E-2</v>
      </c>
      <c r="X227" s="73"/>
      <c r="Y227" s="18"/>
      <c r="Z227" s="73">
        <v>49164.760999999999</v>
      </c>
      <c r="AA227" s="18">
        <v>7.0030849941484785E-3</v>
      </c>
      <c r="AB227" s="18">
        <v>-3.3925721717634194E-2</v>
      </c>
      <c r="AC227" s="22"/>
    </row>
    <row r="228" spans="20:29" x14ac:dyDescent="0.25">
      <c r="T228" s="6" t="s">
        <v>1190</v>
      </c>
      <c r="U228" s="73">
        <v>91303.633000000002</v>
      </c>
      <c r="V228" s="73">
        <v>58797.637999999999</v>
      </c>
      <c r="W228" s="18">
        <v>0.55284525204907053</v>
      </c>
      <c r="X228" s="73"/>
      <c r="Y228" s="18"/>
      <c r="Z228" s="73">
        <v>76534.263000000006</v>
      </c>
      <c r="AA228" s="18">
        <v>0.19297722903531445</v>
      </c>
      <c r="AB228" s="18">
        <v>-0.23174751156877282</v>
      </c>
      <c r="AC228" s="22"/>
    </row>
    <row r="229" spans="20:29" x14ac:dyDescent="0.25">
      <c r="T229" s="6" t="s">
        <v>168</v>
      </c>
      <c r="U229" s="73">
        <v>480156.48</v>
      </c>
      <c r="V229" s="73">
        <v>582553.74300000002</v>
      </c>
      <c r="W229" s="18">
        <v>-0.17577307541220288</v>
      </c>
      <c r="X229" s="73">
        <v>368554.54800000001</v>
      </c>
      <c r="Y229" s="18">
        <v>0.3028098082241002</v>
      </c>
      <c r="Z229" s="73">
        <v>1252654.1499999999</v>
      </c>
      <c r="AA229" s="18">
        <v>-0.61668870853140101</v>
      </c>
      <c r="AB229" s="18">
        <v>-0.53494446731366352</v>
      </c>
      <c r="AC229" s="22">
        <v>-0.70578108251188088</v>
      </c>
    </row>
    <row r="230" spans="20:29" x14ac:dyDescent="0.25">
      <c r="T230" s="6" t="s">
        <v>1191</v>
      </c>
      <c r="U230" s="73">
        <v>165697.90700000001</v>
      </c>
      <c r="V230" s="73">
        <v>128220.367</v>
      </c>
      <c r="W230" s="18">
        <v>0.29229006964236826</v>
      </c>
      <c r="X230" s="73"/>
      <c r="Y230" s="18"/>
      <c r="Z230" s="73">
        <v>219021.68400000001</v>
      </c>
      <c r="AA230" s="18">
        <v>-0.2434634599923905</v>
      </c>
      <c r="AB230" s="18">
        <v>-0.41457683705874537</v>
      </c>
      <c r="AC230" s="22"/>
    </row>
    <row r="231" spans="20:29" x14ac:dyDescent="0.25">
      <c r="T231" s="6" t="s">
        <v>1192</v>
      </c>
      <c r="U231" s="73">
        <v>386331.81400000001</v>
      </c>
      <c r="V231" s="73">
        <v>374155.03</v>
      </c>
      <c r="W231" s="18">
        <v>3.2544755578990836E-2</v>
      </c>
      <c r="X231" s="73"/>
      <c r="Y231" s="18"/>
      <c r="Z231" s="73">
        <v>381326.86200000002</v>
      </c>
      <c r="AA231" s="18">
        <v>1.3125096862439234E-2</v>
      </c>
      <c r="AB231" s="18">
        <v>-1.8807570917991123E-2</v>
      </c>
      <c r="AC231" s="22"/>
    </row>
    <row r="232" spans="20:29" x14ac:dyDescent="0.25">
      <c r="T232" s="6" t="s">
        <v>1193</v>
      </c>
      <c r="U232" s="73">
        <v>63116.591999999997</v>
      </c>
      <c r="V232" s="73">
        <v>41617.688999999998</v>
      </c>
      <c r="W232" s="18">
        <v>0.516580894244272</v>
      </c>
      <c r="X232" s="73"/>
      <c r="Y232" s="18"/>
      <c r="Z232" s="73">
        <v>59577.391000000003</v>
      </c>
      <c r="AA232" s="18">
        <v>5.9405102180456248E-2</v>
      </c>
      <c r="AB232" s="18">
        <v>-0.30145163624234572</v>
      </c>
      <c r="AC232" s="22"/>
    </row>
    <row r="233" spans="20:29" x14ac:dyDescent="0.25">
      <c r="T233" s="6" t="s">
        <v>1194</v>
      </c>
      <c r="U233" s="73">
        <v>99782.607999999993</v>
      </c>
      <c r="V233" s="73">
        <v>69551.403000000006</v>
      </c>
      <c r="W233" s="18">
        <v>0.43465988745043704</v>
      </c>
      <c r="X233" s="73"/>
      <c r="Y233" s="18"/>
      <c r="Z233" s="73">
        <v>77686.801000000007</v>
      </c>
      <c r="AA233" s="18">
        <v>0.28442163553626032</v>
      </c>
      <c r="AB233" s="18">
        <v>-0.10472046596435347</v>
      </c>
      <c r="AC233" s="22"/>
    </row>
    <row r="234" spans="20:29" x14ac:dyDescent="0.25">
      <c r="T234" s="6" t="s">
        <v>1195</v>
      </c>
      <c r="U234" s="73">
        <v>135394.43799999999</v>
      </c>
      <c r="V234" s="73">
        <v>134042.356</v>
      </c>
      <c r="W234" s="18">
        <v>1.008697579144302E-2</v>
      </c>
      <c r="X234" s="73"/>
      <c r="Y234" s="18"/>
      <c r="Z234" s="73">
        <v>146089.383</v>
      </c>
      <c r="AA234" s="18">
        <v>-7.3208228964866007E-2</v>
      </c>
      <c r="AB234" s="18">
        <v>-8.2463398452439218E-2</v>
      </c>
      <c r="AC234" s="22"/>
    </row>
    <row r="235" spans="20:29" x14ac:dyDescent="0.25">
      <c r="T235" s="6" t="s">
        <v>1196</v>
      </c>
      <c r="U235" s="73">
        <v>207119.307</v>
      </c>
      <c r="V235" s="73">
        <v>251186.372</v>
      </c>
      <c r="W235" s="18">
        <v>-0.17543573183978312</v>
      </c>
      <c r="X235" s="73"/>
      <c r="Y235" s="18"/>
      <c r="Z235" s="73">
        <v>285688.42200000002</v>
      </c>
      <c r="AA235" s="18">
        <v>-0.27501679784559141</v>
      </c>
      <c r="AB235" s="18">
        <v>-0.12076810729137644</v>
      </c>
      <c r="AC235" s="22"/>
    </row>
    <row r="236" spans="20:29" x14ac:dyDescent="0.25">
      <c r="T236" s="6" t="s">
        <v>1197</v>
      </c>
      <c r="U236" s="73">
        <v>381354.80699999997</v>
      </c>
      <c r="V236" s="73">
        <v>833594.603</v>
      </c>
      <c r="W236" s="18">
        <v>-0.54251766310919847</v>
      </c>
      <c r="X236" s="73"/>
      <c r="Y236" s="18"/>
      <c r="Z236" s="73">
        <v>568364.67599999998</v>
      </c>
      <c r="AA236" s="18">
        <v>-0.32903147731862215</v>
      </c>
      <c r="AB236" s="18">
        <v>0.46665448821805389</v>
      </c>
      <c r="AC236" s="22"/>
    </row>
    <row r="237" spans="20:29" x14ac:dyDescent="0.25">
      <c r="T237" s="6" t="s">
        <v>1198</v>
      </c>
      <c r="U237" s="73">
        <v>173200.272</v>
      </c>
      <c r="V237" s="73">
        <v>199777.451</v>
      </c>
      <c r="W237" s="18">
        <v>-0.13303392783803214</v>
      </c>
      <c r="X237" s="73"/>
      <c r="Y237" s="18"/>
      <c r="Z237" s="73">
        <v>188716.53</v>
      </c>
      <c r="AA237" s="18">
        <v>-8.221992000382794E-2</v>
      </c>
      <c r="AB237" s="18">
        <v>5.8611299179780474E-2</v>
      </c>
      <c r="AC237" s="22"/>
    </row>
    <row r="238" spans="20:29" x14ac:dyDescent="0.25">
      <c r="T238" s="6" t="s">
        <v>1199</v>
      </c>
      <c r="U238" s="73">
        <v>120476.662</v>
      </c>
      <c r="V238" s="73">
        <v>95677.706000000006</v>
      </c>
      <c r="W238" s="18">
        <v>0.25919262738176418</v>
      </c>
      <c r="X238" s="73"/>
      <c r="Y238" s="18"/>
      <c r="Z238" s="73">
        <v>88249.804999999993</v>
      </c>
      <c r="AA238" s="18">
        <v>0.36517765676649372</v>
      </c>
      <c r="AB238" s="18">
        <v>8.4169035840929274E-2</v>
      </c>
      <c r="AC238" s="22"/>
    </row>
    <row r="239" spans="20:29" x14ac:dyDescent="0.25">
      <c r="T239" s="6" t="s">
        <v>681</v>
      </c>
      <c r="U239" s="73">
        <v>97535.667000000001</v>
      </c>
      <c r="V239" s="73">
        <v>118154.323</v>
      </c>
      <c r="W239" s="18">
        <v>-0.17450614989347446</v>
      </c>
      <c r="X239" s="73">
        <v>136408.74799999999</v>
      </c>
      <c r="Y239" s="18">
        <v>-0.28497498562188983</v>
      </c>
      <c r="Z239" s="73">
        <v>129910.749</v>
      </c>
      <c r="AA239" s="18">
        <v>-0.2492101866028037</v>
      </c>
      <c r="AB239" s="18">
        <v>-9.049617595538606E-2</v>
      </c>
      <c r="AC239" s="22">
        <v>5.0018948008682562E-2</v>
      </c>
    </row>
    <row r="240" spans="20:29" x14ac:dyDescent="0.25">
      <c r="T240" s="6" t="s">
        <v>573</v>
      </c>
      <c r="U240" s="73">
        <v>1067645.933</v>
      </c>
      <c r="V240" s="73">
        <v>1920203.6329999999</v>
      </c>
      <c r="W240" s="18">
        <v>-0.44399337932093164</v>
      </c>
      <c r="X240" s="73"/>
      <c r="Y240" s="18"/>
      <c r="Z240" s="73">
        <v>2368433.889</v>
      </c>
      <c r="AA240" s="18">
        <v>-0.54921860476722806</v>
      </c>
      <c r="AB240" s="18">
        <v>-0.18925174904892605</v>
      </c>
      <c r="AC240" s="22"/>
    </row>
    <row r="241" spans="20:29" x14ac:dyDescent="0.25">
      <c r="T241" s="6" t="s">
        <v>268</v>
      </c>
      <c r="U241" s="73">
        <v>1012289.286</v>
      </c>
      <c r="V241" s="73">
        <v>1005283.5550000001</v>
      </c>
      <c r="W241" s="18">
        <v>6.9689103787238249E-3</v>
      </c>
      <c r="X241" s="73"/>
      <c r="Y241" s="18"/>
      <c r="Z241" s="73">
        <v>1008809.71</v>
      </c>
      <c r="AA241" s="18">
        <v>3.4491896395405508E-3</v>
      </c>
      <c r="AB241" s="18">
        <v>-3.4953618755314553E-3</v>
      </c>
      <c r="AC241" s="22"/>
    </row>
    <row r="242" spans="20:29" x14ac:dyDescent="0.25">
      <c r="T242" s="6" t="s">
        <v>1200</v>
      </c>
      <c r="U242" s="73">
        <v>40740.330999999998</v>
      </c>
      <c r="V242" s="73">
        <v>5487.4530000000004</v>
      </c>
      <c r="W242" s="18">
        <v>6.424269693061607</v>
      </c>
      <c r="X242" s="73"/>
      <c r="Y242" s="18"/>
      <c r="Z242" s="73">
        <v>6391.3720000000003</v>
      </c>
      <c r="AA242" s="18">
        <v>5.3742700315362644</v>
      </c>
      <c r="AB242" s="18">
        <v>-0.14142800638110253</v>
      </c>
      <c r="AC242" s="22"/>
    </row>
    <row r="243" spans="20:29" ht="20" thickBot="1" x14ac:dyDescent="0.3">
      <c r="T243" s="7" t="s">
        <v>1201</v>
      </c>
      <c r="U243" s="74">
        <v>81540.877999999997</v>
      </c>
      <c r="V243" s="74">
        <v>49839.777999999998</v>
      </c>
      <c r="W243" s="19">
        <v>0.63606021680112623</v>
      </c>
      <c r="X243" s="74"/>
      <c r="Y243" s="19"/>
      <c r="Z243" s="74">
        <v>69398.312000000005</v>
      </c>
      <c r="AA243" s="19">
        <v>0.17496918368850234</v>
      </c>
      <c r="AB243" s="19">
        <v>-0.28183011137216141</v>
      </c>
      <c r="AC243" s="23"/>
    </row>
    <row r="245" spans="20:29" ht="20" thickBot="1" x14ac:dyDescent="0.3">
      <c r="T245" s="85">
        <v>10000</v>
      </c>
      <c r="U245" s="24"/>
      <c r="V245" s="24"/>
      <c r="W245" s="16"/>
      <c r="X245" s="24"/>
      <c r="Y245" s="16"/>
      <c r="AA245" s="16"/>
      <c r="AB245" s="16"/>
      <c r="AC245" s="16"/>
    </row>
    <row r="246" spans="20:29" x14ac:dyDescent="0.25">
      <c r="T246" s="5" t="s">
        <v>1180</v>
      </c>
      <c r="U246" s="72" t="s">
        <v>340</v>
      </c>
      <c r="V246" s="72" t="s">
        <v>341</v>
      </c>
      <c r="W246" s="17" t="s">
        <v>162</v>
      </c>
      <c r="X246" s="72" t="s">
        <v>1182</v>
      </c>
      <c r="Y246" s="17" t="s">
        <v>162</v>
      </c>
      <c r="Z246" s="72" t="s">
        <v>342</v>
      </c>
      <c r="AA246" s="17" t="s">
        <v>162</v>
      </c>
      <c r="AB246" s="111" t="s">
        <v>1183</v>
      </c>
      <c r="AC246" s="112" t="s">
        <v>1184</v>
      </c>
    </row>
    <row r="247" spans="20:29" x14ac:dyDescent="0.25">
      <c r="T247" s="6" t="s">
        <v>1181</v>
      </c>
      <c r="U247" s="73">
        <v>1100663.611</v>
      </c>
      <c r="V247" s="73">
        <v>1160494.656</v>
      </c>
      <c r="W247" s="18">
        <v>-5.1556501954283851E-2</v>
      </c>
      <c r="X247" s="73">
        <v>1144659.8770000001</v>
      </c>
      <c r="Y247" s="18">
        <v>-3.8436103932731891E-2</v>
      </c>
      <c r="Z247" s="73">
        <v>1116096.493</v>
      </c>
      <c r="AA247" s="18">
        <v>-1.3827551736604216E-2</v>
      </c>
      <c r="AB247" s="18">
        <v>3.977986068270889E-2</v>
      </c>
      <c r="AC247" s="22">
        <v>2.5592217320944632E-2</v>
      </c>
    </row>
    <row r="248" spans="20:29" x14ac:dyDescent="0.25">
      <c r="T248" s="6" t="s">
        <v>1185</v>
      </c>
      <c r="U248" s="73">
        <v>146575.745</v>
      </c>
      <c r="V248" s="73">
        <v>192790.91800000001</v>
      </c>
      <c r="W248" s="18">
        <v>-0.23971654619124749</v>
      </c>
      <c r="X248" s="73">
        <v>136471.10999999999</v>
      </c>
      <c r="Y248" s="18">
        <v>7.4042300967582131E-2</v>
      </c>
      <c r="Z248" s="73">
        <v>139023.50700000001</v>
      </c>
      <c r="AA248" s="18">
        <v>5.4323460564118742E-2</v>
      </c>
      <c r="AB248" s="18">
        <v>0.38675050112208709</v>
      </c>
      <c r="AC248" s="22">
        <v>-1.8359463482675809E-2</v>
      </c>
    </row>
    <row r="249" spans="20:29" x14ac:dyDescent="0.25">
      <c r="T249" s="6" t="s">
        <v>1186</v>
      </c>
      <c r="U249" s="73">
        <v>235577.709</v>
      </c>
      <c r="V249" s="73">
        <v>268782.511</v>
      </c>
      <c r="W249" s="18">
        <v>-0.12353780711573159</v>
      </c>
      <c r="X249" s="73">
        <v>202091.55</v>
      </c>
      <c r="Y249" s="18">
        <v>0.16569796708471984</v>
      </c>
      <c r="Z249" s="73">
        <v>236784.128</v>
      </c>
      <c r="AA249" s="18">
        <v>-5.0950163348786326E-3</v>
      </c>
      <c r="AB249" s="18">
        <v>0.13513736444361668</v>
      </c>
      <c r="AC249" s="22">
        <v>-0.14651563976450321</v>
      </c>
    </row>
    <row r="250" spans="20:29" x14ac:dyDescent="0.25">
      <c r="T250" s="6" t="s">
        <v>1187</v>
      </c>
      <c r="U250" s="73">
        <v>59113.938000000002</v>
      </c>
      <c r="V250" s="73">
        <v>25977.832999999999</v>
      </c>
      <c r="W250" s="18">
        <v>1.2755530840466949</v>
      </c>
      <c r="X250" s="73"/>
      <c r="Y250" s="18"/>
      <c r="Z250" s="73">
        <v>55827.071000000004</v>
      </c>
      <c r="AA250" s="18">
        <v>5.8875863288618602E-2</v>
      </c>
      <c r="AB250" s="18">
        <v>-0.53467318749357284</v>
      </c>
      <c r="AC250" s="22"/>
    </row>
    <row r="251" spans="20:29" x14ac:dyDescent="0.25">
      <c r="T251" s="6" t="s">
        <v>1188</v>
      </c>
      <c r="U251" s="73">
        <v>38488.675999999999</v>
      </c>
      <c r="V251" s="73">
        <v>12167.425999999999</v>
      </c>
      <c r="W251" s="18">
        <v>2.1632554001150286</v>
      </c>
      <c r="X251" s="73"/>
      <c r="Y251" s="18"/>
      <c r="Z251" s="73">
        <v>29388.955000000002</v>
      </c>
      <c r="AA251" s="18">
        <v>0.30963064185167521</v>
      </c>
      <c r="AB251" s="18">
        <v>-0.58598643606075829</v>
      </c>
      <c r="AC251" s="22"/>
    </row>
    <row r="252" spans="20:29" x14ac:dyDescent="0.25">
      <c r="T252" s="6" t="s">
        <v>1189</v>
      </c>
      <c r="U252" s="73">
        <v>53128.745000000003</v>
      </c>
      <c r="V252" s="73">
        <v>45009.534</v>
      </c>
      <c r="W252" s="18">
        <v>0.18038869276007174</v>
      </c>
      <c r="X252" s="73"/>
      <c r="Y252" s="18"/>
      <c r="Z252" s="73">
        <v>95491.099000000002</v>
      </c>
      <c r="AA252" s="18">
        <v>-0.44362620645930573</v>
      </c>
      <c r="AB252" s="18">
        <v>-0.52865204745418204</v>
      </c>
      <c r="AC252" s="22"/>
    </row>
    <row r="253" spans="20:29" x14ac:dyDescent="0.25">
      <c r="T253" s="6" t="s">
        <v>1190</v>
      </c>
      <c r="U253" s="73">
        <v>69840.907999999996</v>
      </c>
      <c r="V253" s="73">
        <v>38532.025000000001</v>
      </c>
      <c r="W253" s="18">
        <v>0.81254185317278282</v>
      </c>
      <c r="X253" s="73"/>
      <c r="Y253" s="18"/>
      <c r="Z253" s="73">
        <v>110251.106</v>
      </c>
      <c r="AA253" s="18">
        <v>-0.3665287312401202</v>
      </c>
      <c r="AB253" s="18">
        <v>-0.65050668063139427</v>
      </c>
      <c r="AC253" s="22"/>
    </row>
    <row r="254" spans="20:29" x14ac:dyDescent="0.25">
      <c r="T254" s="6" t="s">
        <v>168</v>
      </c>
      <c r="U254" s="73">
        <v>246075.71100000001</v>
      </c>
      <c r="V254" s="73">
        <v>437234.17300000001</v>
      </c>
      <c r="W254" s="18">
        <v>-0.43719927170468442</v>
      </c>
      <c r="X254" s="73">
        <v>286990.57299999997</v>
      </c>
      <c r="Y254" s="18">
        <v>-0.14256517756769649</v>
      </c>
      <c r="Z254" s="73">
        <v>977862.43400000001</v>
      </c>
      <c r="AA254" s="18">
        <v>-0.74835344682031213</v>
      </c>
      <c r="AB254" s="18">
        <v>-0.55286739954671371</v>
      </c>
      <c r="AC254" s="22">
        <v>-0.70651232420694465</v>
      </c>
    </row>
    <row r="255" spans="20:29" x14ac:dyDescent="0.25">
      <c r="T255" s="6" t="s">
        <v>1191</v>
      </c>
      <c r="U255" s="73">
        <v>159572.27100000001</v>
      </c>
      <c r="V255" s="73">
        <v>126816.425</v>
      </c>
      <c r="W255" s="18">
        <v>0.25829340324015604</v>
      </c>
      <c r="X255" s="73"/>
      <c r="Y255" s="18"/>
      <c r="Z255" s="73">
        <v>227851.647</v>
      </c>
      <c r="AA255" s="18">
        <v>-0.29966593131538777</v>
      </c>
      <c r="AB255" s="18">
        <v>-0.44342546270907579</v>
      </c>
      <c r="AC255" s="22"/>
    </row>
    <row r="256" spans="20:29" x14ac:dyDescent="0.25">
      <c r="T256" s="6" t="s">
        <v>1192</v>
      </c>
      <c r="U256" s="73">
        <v>371730.94699999999</v>
      </c>
      <c r="V256" s="73">
        <v>367952.22899999999</v>
      </c>
      <c r="W256" s="18">
        <v>1.0269588555746889E-2</v>
      </c>
      <c r="X256" s="73"/>
      <c r="Y256" s="18"/>
      <c r="Z256" s="73">
        <v>361890.038</v>
      </c>
      <c r="AA256" s="18">
        <v>2.719309173136164E-2</v>
      </c>
      <c r="AB256" s="18">
        <v>1.675147244589259E-2</v>
      </c>
      <c r="AC256" s="22"/>
    </row>
    <row r="257" spans="20:29" x14ac:dyDescent="0.25">
      <c r="T257" s="6" t="s">
        <v>1193</v>
      </c>
      <c r="U257" s="73">
        <v>40461.561999999998</v>
      </c>
      <c r="V257" s="73">
        <v>6132.6210000000001</v>
      </c>
      <c r="W257" s="20">
        <v>5.5977600768089202</v>
      </c>
      <c r="X257" s="73"/>
      <c r="Y257" s="18"/>
      <c r="Z257" s="73">
        <v>66201.983999999997</v>
      </c>
      <c r="AA257" s="18">
        <v>-0.38881647414071452</v>
      </c>
      <c r="AB257" s="18">
        <v>-0.90736499679526217</v>
      </c>
      <c r="AC257" s="22"/>
    </row>
    <row r="258" spans="20:29" x14ac:dyDescent="0.25">
      <c r="T258" s="6" t="s">
        <v>1194</v>
      </c>
      <c r="U258" s="73">
        <v>76621.226999999999</v>
      </c>
      <c r="V258" s="73">
        <v>42913.7</v>
      </c>
      <c r="W258" s="18">
        <v>0.78547240158737197</v>
      </c>
      <c r="X258" s="73"/>
      <c r="Y258" s="18"/>
      <c r="Z258" s="73">
        <v>80497.331999999995</v>
      </c>
      <c r="AA258" s="18">
        <v>-4.8151968564622671E-2</v>
      </c>
      <c r="AB258" s="18">
        <v>-0.46689289031343295</v>
      </c>
      <c r="AC258" s="22"/>
    </row>
    <row r="259" spans="20:29" x14ac:dyDescent="0.25">
      <c r="T259" s="6" t="s">
        <v>1195</v>
      </c>
      <c r="U259" s="73">
        <v>113483.71400000001</v>
      </c>
      <c r="V259" s="73">
        <v>125651.14</v>
      </c>
      <c r="W259" s="18">
        <v>-9.6834982953596715E-2</v>
      </c>
      <c r="X259" s="73"/>
      <c r="Y259" s="18"/>
      <c r="Z259" s="73">
        <v>141204.40299999999</v>
      </c>
      <c r="AA259" s="18">
        <v>-0.1963160383886895</v>
      </c>
      <c r="AB259" s="18">
        <v>-0.11014715313091183</v>
      </c>
      <c r="AC259" s="22"/>
    </row>
    <row r="260" spans="20:29" x14ac:dyDescent="0.25">
      <c r="T260" s="6" t="s">
        <v>1196</v>
      </c>
      <c r="U260" s="73">
        <v>185874.128</v>
      </c>
      <c r="V260" s="73">
        <v>517579.038</v>
      </c>
      <c r="W260" s="18">
        <v>-0.64087778995408229</v>
      </c>
      <c r="X260" s="73"/>
      <c r="Y260" s="18"/>
      <c r="Z260" s="73">
        <v>286162.51299999998</v>
      </c>
      <c r="AA260" s="18">
        <v>-0.35045954813794911</v>
      </c>
      <c r="AB260" s="18">
        <v>0.80868916956988013</v>
      </c>
      <c r="AC260" s="22"/>
    </row>
    <row r="261" spans="20:29" x14ac:dyDescent="0.25">
      <c r="T261" s="6" t="s">
        <v>1197</v>
      </c>
      <c r="U261" s="73">
        <v>361904.45699999999</v>
      </c>
      <c r="V261" s="73">
        <v>795963.78799999994</v>
      </c>
      <c r="W261" s="18">
        <v>-0.54532547528405906</v>
      </c>
      <c r="X261" s="73"/>
      <c r="Y261" s="18"/>
      <c r="Z261" s="73">
        <v>568393.68500000006</v>
      </c>
      <c r="AA261" s="18">
        <v>-0.36328557731952993</v>
      </c>
      <c r="AB261" s="18">
        <v>0.40037408754813986</v>
      </c>
      <c r="AC261" s="22"/>
    </row>
    <row r="262" spans="20:29" x14ac:dyDescent="0.25">
      <c r="T262" s="6" t="s">
        <v>1198</v>
      </c>
      <c r="U262" s="73">
        <v>165291.60999999999</v>
      </c>
      <c r="V262" s="73">
        <v>189575.467</v>
      </c>
      <c r="W262" s="18">
        <v>-0.12809598934022415</v>
      </c>
      <c r="X262" s="73"/>
      <c r="Y262" s="18"/>
      <c r="Z262" s="73">
        <v>172318.83199999999</v>
      </c>
      <c r="AA262" s="18">
        <v>-4.0780348371906361E-2</v>
      </c>
      <c r="AB262" s="18">
        <v>0.10014363955298866</v>
      </c>
      <c r="AC262" s="22"/>
    </row>
    <row r="263" spans="20:29" x14ac:dyDescent="0.25">
      <c r="T263" s="6" t="s">
        <v>1199</v>
      </c>
      <c r="U263" s="73">
        <v>111783.14599999999</v>
      </c>
      <c r="V263" s="73">
        <v>103863.486</v>
      </c>
      <c r="W263" s="18">
        <v>7.625066618695997E-2</v>
      </c>
      <c r="X263" s="73"/>
      <c r="Y263" s="18"/>
      <c r="Z263" s="73">
        <v>91679.861000000004</v>
      </c>
      <c r="AA263" s="18">
        <v>0.21927700130348127</v>
      </c>
      <c r="AB263" s="18">
        <v>0.1328931443297019</v>
      </c>
      <c r="AC263" s="22"/>
    </row>
    <row r="264" spans="20:29" x14ac:dyDescent="0.25">
      <c r="T264" s="6" t="s">
        <v>681</v>
      </c>
      <c r="U264" s="73">
        <v>51939.383000000002</v>
      </c>
      <c r="V264" s="73">
        <v>98461.774000000005</v>
      </c>
      <c r="W264" s="18">
        <v>-0.47249190330452506</v>
      </c>
      <c r="X264" s="73">
        <v>123152.359</v>
      </c>
      <c r="Y264" s="18">
        <v>-0.57825101019786396</v>
      </c>
      <c r="Z264" s="73">
        <v>53195.741999999998</v>
      </c>
      <c r="AA264" s="18">
        <v>-2.3617660977451882E-2</v>
      </c>
      <c r="AB264" s="18">
        <v>0.8509333698174566</v>
      </c>
      <c r="AC264" s="22">
        <v>1.3150792595392318</v>
      </c>
    </row>
    <row r="265" spans="20:29" x14ac:dyDescent="0.25">
      <c r="T265" s="6" t="s">
        <v>573</v>
      </c>
      <c r="U265" s="73">
        <v>1172290.639</v>
      </c>
      <c r="V265" s="73">
        <v>1721152.456</v>
      </c>
      <c r="W265" s="18">
        <v>-0.31889203950913692</v>
      </c>
      <c r="X265" s="73"/>
      <c r="Y265" s="18"/>
      <c r="Z265" s="73">
        <v>2410738.7650000001</v>
      </c>
      <c r="AA265" s="18">
        <v>-0.51372141352694434</v>
      </c>
      <c r="AB265" s="18">
        <v>-0.28604771243225102</v>
      </c>
      <c r="AC265" s="22"/>
    </row>
    <row r="266" spans="20:29" x14ac:dyDescent="0.25">
      <c r="T266" s="6" t="s">
        <v>268</v>
      </c>
      <c r="U266" s="73">
        <v>1013426.4620000001</v>
      </c>
      <c r="V266" s="73">
        <v>1025560.118</v>
      </c>
      <c r="W266" s="18">
        <v>-1.1831247907399534E-2</v>
      </c>
      <c r="X266" s="73"/>
      <c r="Y266" s="18"/>
      <c r="Z266" s="73">
        <v>997076.33400000003</v>
      </c>
      <c r="AA266" s="18">
        <v>1.6398070481131288E-2</v>
      </c>
      <c r="AB266" s="18">
        <v>2.8567305259097564E-2</v>
      </c>
      <c r="AC266" s="22"/>
    </row>
    <row r="267" spans="20:29" x14ac:dyDescent="0.25">
      <c r="T267" s="6" t="s">
        <v>1200</v>
      </c>
      <c r="U267" s="73">
        <v>39123.83</v>
      </c>
      <c r="V267" s="73">
        <v>1795.634</v>
      </c>
      <c r="W267" s="18">
        <v>20.788309867155558</v>
      </c>
      <c r="X267" s="73"/>
      <c r="Y267" s="18"/>
      <c r="Z267" s="73">
        <v>6675.9589999999998</v>
      </c>
      <c r="AA267" s="18">
        <v>4.8604059731343474</v>
      </c>
      <c r="AB267" s="18">
        <v>-0.7310298041075447</v>
      </c>
      <c r="AC267" s="22"/>
    </row>
    <row r="268" spans="20:29" ht="20" thickBot="1" x14ac:dyDescent="0.3">
      <c r="T268" s="7" t="s">
        <v>1201</v>
      </c>
      <c r="U268" s="74">
        <v>60905.894999999997</v>
      </c>
      <c r="V268" s="113">
        <v>10860.664000000001</v>
      </c>
      <c r="W268" s="19">
        <v>4.6079347450579444</v>
      </c>
      <c r="X268" s="74"/>
      <c r="Y268" s="19"/>
      <c r="Z268" s="74">
        <v>61199.748</v>
      </c>
      <c r="AA268" s="19">
        <v>-4.8015393788877203E-3</v>
      </c>
      <c r="AB268" s="19">
        <v>-0.82253743920644906</v>
      </c>
      <c r="AC268" s="23"/>
    </row>
  </sheetData>
  <sortState xmlns:xlrd2="http://schemas.microsoft.com/office/spreadsheetml/2017/richdata2" ref="AC46:AF50">
    <sortCondition ref="AC46:AC50"/>
  </sortState>
  <mergeCells count="3">
    <mergeCell ref="T2:AA2"/>
    <mergeCell ref="T3:AA3"/>
    <mergeCell ref="T5:A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B954-8F12-694A-A3D0-088B0E3F0B50}">
  <dimension ref="B1:AN243"/>
  <sheetViews>
    <sheetView topLeftCell="N187" zoomScale="97" workbookViewId="0">
      <selection activeCell="AG61" sqref="AG61"/>
    </sheetView>
  </sheetViews>
  <sheetFormatPr baseColWidth="10" defaultRowHeight="16" x14ac:dyDescent="0.2"/>
  <cols>
    <col min="3" max="3" width="26.1640625" customWidth="1"/>
    <col min="4" max="4" width="19.5" style="1" customWidth="1"/>
    <col min="6" max="6" width="14.1640625" customWidth="1"/>
    <col min="11" max="11" width="10.83203125" style="123"/>
    <col min="12" max="12" width="4.83203125" customWidth="1"/>
    <col min="13" max="13" width="17.83203125" customWidth="1"/>
    <col min="14" max="14" width="19.83203125" customWidth="1"/>
    <col min="15" max="15" width="18.5" customWidth="1"/>
    <col min="17" max="17" width="19.5" customWidth="1"/>
    <col min="18" max="18" width="9.6640625" customWidth="1"/>
    <col min="19" max="19" width="15.1640625" customWidth="1"/>
    <col min="20" max="20" width="9" customWidth="1"/>
    <col min="21" max="21" width="8.6640625" customWidth="1"/>
    <col min="22" max="22" width="8.83203125" customWidth="1"/>
    <col min="23" max="23" width="10.83203125" style="169"/>
    <col min="24" max="24" width="6.1640625" style="160" customWidth="1"/>
    <col min="25" max="25" width="5" customWidth="1"/>
    <col min="26" max="26" width="15.33203125" customWidth="1"/>
    <col min="27" max="27" width="18" customWidth="1"/>
    <col min="28" max="28" width="17" customWidth="1"/>
    <col min="29" max="29" width="8.83203125" customWidth="1"/>
    <col min="30" max="30" width="19.5" customWidth="1"/>
    <col min="31" max="31" width="8.6640625" customWidth="1"/>
    <col min="32" max="32" width="14" customWidth="1"/>
    <col min="33" max="33" width="8.6640625" customWidth="1"/>
    <col min="34" max="34" width="8.1640625" customWidth="1"/>
  </cols>
  <sheetData>
    <row r="1" spans="2:40" ht="21" x14ac:dyDescent="0.25">
      <c r="L1" s="123"/>
      <c r="M1" s="131" t="s">
        <v>1242</v>
      </c>
      <c r="N1" s="123"/>
      <c r="O1" s="123"/>
      <c r="P1" s="123"/>
      <c r="Q1" s="123"/>
      <c r="R1" s="123"/>
      <c r="S1" s="123"/>
      <c r="T1" s="123"/>
      <c r="U1" s="130"/>
      <c r="V1" s="130"/>
      <c r="W1" s="168"/>
      <c r="Y1" s="161" t="s">
        <v>1683</v>
      </c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</row>
    <row r="2" spans="2:40" ht="17" thickBot="1" x14ac:dyDescent="0.25">
      <c r="N2" s="159"/>
      <c r="T2" s="169"/>
      <c r="U2" s="169"/>
      <c r="V2" s="169"/>
    </row>
    <row r="3" spans="2:40" ht="19" x14ac:dyDescent="0.25">
      <c r="M3" s="105" t="s">
        <v>1225</v>
      </c>
      <c r="N3" s="72" t="s">
        <v>340</v>
      </c>
      <c r="O3" s="72" t="s">
        <v>341</v>
      </c>
      <c r="P3" s="17" t="s">
        <v>162</v>
      </c>
      <c r="Q3" s="72" t="s">
        <v>342</v>
      </c>
      <c r="R3" s="155" t="s">
        <v>162</v>
      </c>
      <c r="S3" s="172" t="s">
        <v>1245</v>
      </c>
      <c r="T3" s="145"/>
      <c r="U3" s="170"/>
      <c r="V3" s="165"/>
    </row>
    <row r="4" spans="2:40" ht="19" x14ac:dyDescent="0.25">
      <c r="M4" s="67">
        <v>100</v>
      </c>
      <c r="N4" s="119">
        <v>40.746000000000002</v>
      </c>
      <c r="O4" s="119">
        <v>39.286000000000001</v>
      </c>
      <c r="P4" s="18">
        <f>(N4-O4)/N4</f>
        <v>3.583173808471999E-2</v>
      </c>
      <c r="Q4" s="73">
        <v>49.451999999999998</v>
      </c>
      <c r="R4" s="53">
        <f>(N4-Q4)/N4</f>
        <v>-0.21366514504491227</v>
      </c>
      <c r="S4" s="173">
        <f>(O4-Q4)/O4</f>
        <v>-0.25876902713434802</v>
      </c>
      <c r="T4" s="148"/>
      <c r="U4" s="171"/>
      <c r="V4" s="169"/>
    </row>
    <row r="5" spans="2:40" ht="19" x14ac:dyDescent="0.25">
      <c r="M5" s="67">
        <v>1000</v>
      </c>
      <c r="N5" s="119">
        <v>338.34300000000002</v>
      </c>
      <c r="O5" s="119">
        <v>487.13299999999998</v>
      </c>
      <c r="P5" s="18">
        <f t="shared" ref="P5:P8" si="0">(N5-O5)/N5</f>
        <v>-0.43976083441950908</v>
      </c>
      <c r="Q5" s="73">
        <v>366.01499999999999</v>
      </c>
      <c r="R5" s="53">
        <f t="shared" ref="R5:R43" si="1">(N5-Q5)/N5</f>
        <v>-8.1786825795124973E-2</v>
      </c>
      <c r="S5" s="173">
        <f t="shared" ref="S5:S8" si="2">(O5-Q5)/O5</f>
        <v>0.24863435653096794</v>
      </c>
      <c r="T5" s="148"/>
      <c r="U5" s="171"/>
      <c r="V5" s="169"/>
    </row>
    <row r="6" spans="2:40" ht="19" x14ac:dyDescent="0.25">
      <c r="M6" s="6">
        <v>10000</v>
      </c>
      <c r="N6" s="119">
        <v>3931.4169999999999</v>
      </c>
      <c r="O6" s="119">
        <v>5266.5839999999998</v>
      </c>
      <c r="P6" s="18">
        <f t="shared" si="0"/>
        <v>-0.33961469872058853</v>
      </c>
      <c r="Q6" s="73">
        <v>4018.4949999999999</v>
      </c>
      <c r="R6" s="53">
        <f t="shared" si="1"/>
        <v>-2.2149265773638353E-2</v>
      </c>
      <c r="S6" s="173">
        <f t="shared" si="2"/>
        <v>0.23698264377820613</v>
      </c>
      <c r="T6" s="148"/>
      <c r="U6" s="171"/>
      <c r="V6" s="169"/>
    </row>
    <row r="7" spans="2:40" ht="19" x14ac:dyDescent="0.25">
      <c r="M7" s="6">
        <v>50000</v>
      </c>
      <c r="N7" s="119">
        <v>27199.940999999999</v>
      </c>
      <c r="O7" s="119">
        <v>35131.309000000001</v>
      </c>
      <c r="P7" s="18">
        <f t="shared" si="0"/>
        <v>-0.29159504426866228</v>
      </c>
      <c r="Q7" s="73">
        <v>27694.99</v>
      </c>
      <c r="R7" s="53">
        <f t="shared" si="1"/>
        <v>-1.8200370361097576E-2</v>
      </c>
      <c r="S7" s="173">
        <f t="shared" si="2"/>
        <v>0.21167212983723435</v>
      </c>
      <c r="T7" s="148"/>
      <c r="U7" s="171"/>
      <c r="V7" s="169"/>
    </row>
    <row r="8" spans="2:40" ht="20" thickBot="1" x14ac:dyDescent="0.3">
      <c r="M8" s="7">
        <v>100000</v>
      </c>
      <c r="N8" s="120">
        <v>79440.979000000007</v>
      </c>
      <c r="O8" s="120">
        <v>83243.862999999998</v>
      </c>
      <c r="P8" s="19">
        <f t="shared" si="0"/>
        <v>-4.7870558090680006E-2</v>
      </c>
      <c r="Q8" s="74">
        <v>67692.205000000002</v>
      </c>
      <c r="R8" s="54">
        <f t="shared" si="1"/>
        <v>0.14789311697681878</v>
      </c>
      <c r="S8" s="173">
        <f t="shared" si="2"/>
        <v>0.18682047468171914</v>
      </c>
      <c r="T8" s="148"/>
      <c r="U8" s="171"/>
      <c r="V8" s="169"/>
    </row>
    <row r="9" spans="2:40" ht="20" thickBot="1" x14ac:dyDescent="0.3">
      <c r="N9" s="102"/>
      <c r="P9" s="16"/>
      <c r="R9" s="16"/>
      <c r="S9" s="16"/>
      <c r="T9" s="148"/>
      <c r="U9" s="169"/>
      <c r="V9" s="169"/>
    </row>
    <row r="10" spans="2:40" ht="19" x14ac:dyDescent="0.25">
      <c r="B10" s="5" t="s">
        <v>759</v>
      </c>
      <c r="C10" s="72" t="s">
        <v>340</v>
      </c>
      <c r="D10" s="72" t="s">
        <v>341</v>
      </c>
      <c r="E10" s="17" t="s">
        <v>162</v>
      </c>
      <c r="F10" s="72" t="s">
        <v>342</v>
      </c>
      <c r="G10" s="21" t="s">
        <v>162</v>
      </c>
      <c r="M10" s="105" t="s">
        <v>759</v>
      </c>
      <c r="N10" s="72" t="s">
        <v>340</v>
      </c>
      <c r="O10" s="72" t="s">
        <v>341</v>
      </c>
      <c r="P10" s="17" t="s">
        <v>162</v>
      </c>
      <c r="Q10" s="72" t="s">
        <v>342</v>
      </c>
      <c r="R10" s="21" t="s">
        <v>162</v>
      </c>
      <c r="S10" s="172" t="s">
        <v>1245</v>
      </c>
      <c r="T10" s="145"/>
      <c r="U10" s="170"/>
      <c r="V10" s="169"/>
      <c r="Z10" s="5" t="s">
        <v>759</v>
      </c>
      <c r="AA10" s="72" t="s">
        <v>340</v>
      </c>
      <c r="AB10" s="72" t="s">
        <v>341</v>
      </c>
      <c r="AC10" s="17" t="s">
        <v>162</v>
      </c>
      <c r="AD10" s="72" t="s">
        <v>342</v>
      </c>
      <c r="AE10" s="17" t="s">
        <v>162</v>
      </c>
      <c r="AF10" s="87" t="s">
        <v>1245</v>
      </c>
    </row>
    <row r="11" spans="2:40" ht="19" x14ac:dyDescent="0.25">
      <c r="B11" s="67">
        <v>100</v>
      </c>
      <c r="C11" s="73">
        <v>669.19299999999998</v>
      </c>
      <c r="D11" s="73">
        <v>415.24</v>
      </c>
      <c r="E11" s="18">
        <v>0.6115812542144301</v>
      </c>
      <c r="F11" s="73">
        <v>475.142</v>
      </c>
      <c r="G11" s="22">
        <v>0.40840632905531393</v>
      </c>
      <c r="M11" s="67">
        <v>100</v>
      </c>
      <c r="N11" s="119">
        <v>424.012</v>
      </c>
      <c r="O11" s="119">
        <v>42.802999999999997</v>
      </c>
      <c r="P11" s="18">
        <f>(N11-O11)/N11</f>
        <v>0.89905238530984977</v>
      </c>
      <c r="Q11" s="73">
        <v>312.399</v>
      </c>
      <c r="R11" s="22">
        <f t="shared" si="1"/>
        <v>0.26323075762006737</v>
      </c>
      <c r="S11" s="173">
        <f>(O11-Q11)/O11</f>
        <v>-6.2985304768357366</v>
      </c>
      <c r="T11" s="148"/>
      <c r="U11" s="171"/>
      <c r="V11" s="169"/>
      <c r="Z11" s="6">
        <v>100</v>
      </c>
      <c r="AA11" s="119">
        <v>1425.9261309999999</v>
      </c>
      <c r="AB11" s="119">
        <v>89.234611000000001</v>
      </c>
      <c r="AC11" s="18">
        <v>0.93741989219496247</v>
      </c>
      <c r="AD11" s="73">
        <v>567.14028900000005</v>
      </c>
      <c r="AE11" s="18">
        <v>0.60226530907160991</v>
      </c>
      <c r="AF11" s="22">
        <v>-5.3556089127793705</v>
      </c>
    </row>
    <row r="12" spans="2:40" ht="19" x14ac:dyDescent="0.25">
      <c r="B12" s="67">
        <v>1000</v>
      </c>
      <c r="C12" s="73">
        <v>7339.83</v>
      </c>
      <c r="D12" s="73">
        <v>4223.3370000000004</v>
      </c>
      <c r="E12" s="18">
        <v>0.73792193234875625</v>
      </c>
      <c r="F12" s="73">
        <v>5932.152</v>
      </c>
      <c r="G12" s="22">
        <v>0.2372963470929268</v>
      </c>
      <c r="M12" s="67">
        <v>1000</v>
      </c>
      <c r="N12" s="119">
        <v>6070.9560000000001</v>
      </c>
      <c r="O12" s="119">
        <v>566.98699999999997</v>
      </c>
      <c r="P12" s="18">
        <f t="shared" ref="P12:P15" si="3">(N12-O12)/N12</f>
        <v>0.90660663658244267</v>
      </c>
      <c r="Q12" s="73">
        <v>4491.0990000000002</v>
      </c>
      <c r="R12" s="22">
        <f t="shared" si="1"/>
        <v>0.26023199641045003</v>
      </c>
      <c r="S12" s="173">
        <f t="shared" ref="S12:S15" si="4">(O12-Q12)/O12</f>
        <v>-6.9209911338355203</v>
      </c>
      <c r="T12" s="148"/>
      <c r="U12" s="171"/>
      <c r="V12" s="169"/>
      <c r="Z12" s="6">
        <v>1000</v>
      </c>
      <c r="AA12" s="119">
        <v>17604.730670000001</v>
      </c>
      <c r="AB12" s="119">
        <v>1035.2749670000001</v>
      </c>
      <c r="AC12" s="18">
        <v>0.9411933652149419</v>
      </c>
      <c r="AD12" s="73">
        <v>5476.151914</v>
      </c>
      <c r="AE12" s="18">
        <v>0.68893861447526483</v>
      </c>
      <c r="AF12" s="22">
        <v>-4.2895627621217267</v>
      </c>
    </row>
    <row r="13" spans="2:40" ht="19" x14ac:dyDescent="0.25">
      <c r="B13" s="6">
        <v>10000</v>
      </c>
      <c r="C13" s="73">
        <v>63854.241000000002</v>
      </c>
      <c r="D13" s="73">
        <v>41237.968000000001</v>
      </c>
      <c r="E13" s="18">
        <v>0.54843325451923342</v>
      </c>
      <c r="F13" s="73">
        <v>59323.724999999999</v>
      </c>
      <c r="G13" s="22">
        <v>7.6369378355792827E-2</v>
      </c>
      <c r="M13" s="6">
        <v>10000</v>
      </c>
      <c r="N13" s="119">
        <v>67012.233999999997</v>
      </c>
      <c r="O13" s="119">
        <v>5798.2169999999996</v>
      </c>
      <c r="P13" s="18">
        <f t="shared" si="3"/>
        <v>0.91347524692282311</v>
      </c>
      <c r="Q13" s="73">
        <v>48650.911999999997</v>
      </c>
      <c r="R13" s="22">
        <f t="shared" si="1"/>
        <v>0.27399955058952369</v>
      </c>
      <c r="S13" s="173">
        <f t="shared" si="4"/>
        <v>-7.390667682841122</v>
      </c>
      <c r="T13" s="148"/>
      <c r="U13" s="171"/>
      <c r="V13" s="169"/>
      <c r="Z13" s="6">
        <v>10000</v>
      </c>
      <c r="AA13" s="119">
        <v>155973.34830099999</v>
      </c>
      <c r="AB13" s="119">
        <v>10593.468414999999</v>
      </c>
      <c r="AC13" s="18">
        <v>0.93208154771059637</v>
      </c>
      <c r="AD13" s="73">
        <v>59865.088612</v>
      </c>
      <c r="AE13" s="18">
        <v>0.61618385920348817</v>
      </c>
      <c r="AF13" s="22">
        <v>-4.6511320246382217</v>
      </c>
    </row>
    <row r="14" spans="2:40" ht="19" x14ac:dyDescent="0.25">
      <c r="B14" s="6">
        <v>50000</v>
      </c>
      <c r="C14" s="73">
        <v>315454.35100000002</v>
      </c>
      <c r="D14" s="73">
        <v>199267.27799999999</v>
      </c>
      <c r="E14" s="18">
        <v>0.58307151162068882</v>
      </c>
      <c r="F14" s="73">
        <v>470664.63199999998</v>
      </c>
      <c r="G14" s="22">
        <v>-0.32976831154799824</v>
      </c>
      <c r="M14" s="6">
        <v>50000</v>
      </c>
      <c r="N14" s="119">
        <v>332155.19300000003</v>
      </c>
      <c r="O14" s="119">
        <v>37243.964999999997</v>
      </c>
      <c r="P14" s="18">
        <f t="shared" si="3"/>
        <v>0.88787179672364769</v>
      </c>
      <c r="Q14" s="73">
        <v>202499.93400000001</v>
      </c>
      <c r="R14" s="22">
        <f t="shared" si="1"/>
        <v>0.39034542205697204</v>
      </c>
      <c r="S14" s="173">
        <f t="shared" si="4"/>
        <v>-4.4371207254651868</v>
      </c>
      <c r="T14" s="148"/>
      <c r="U14" s="171"/>
      <c r="V14" s="169"/>
      <c r="Z14" s="6">
        <v>50000</v>
      </c>
      <c r="AA14" s="119">
        <v>865922.20172500005</v>
      </c>
      <c r="AB14" s="119">
        <v>55516.137091999997</v>
      </c>
      <c r="AC14" s="18">
        <v>0.93588784652777524</v>
      </c>
      <c r="AD14" s="73">
        <v>288035.98804999999</v>
      </c>
      <c r="AE14" s="18">
        <v>0.66736505025947512</v>
      </c>
      <c r="AF14" s="22">
        <v>-4.1883290721880329</v>
      </c>
    </row>
    <row r="15" spans="2:40" ht="20" thickBot="1" x14ac:dyDescent="0.3">
      <c r="B15" s="7">
        <v>100000</v>
      </c>
      <c r="C15" s="74">
        <v>640831.97199999995</v>
      </c>
      <c r="D15" s="74">
        <v>401792.88</v>
      </c>
      <c r="E15" s="19">
        <v>0.5949311296905011</v>
      </c>
      <c r="F15" s="74">
        <v>518336.13199999998</v>
      </c>
      <c r="G15" s="23">
        <v>0.23632510341764101</v>
      </c>
      <c r="M15" s="7">
        <v>100000</v>
      </c>
      <c r="N15" s="120">
        <v>839147.87300000002</v>
      </c>
      <c r="O15" s="120">
        <v>105174.63099999999</v>
      </c>
      <c r="P15" s="19">
        <f t="shared" si="3"/>
        <v>0.87466496146383022</v>
      </c>
      <c r="Q15" s="74">
        <v>432917.65600000002</v>
      </c>
      <c r="R15" s="23">
        <f t="shared" si="1"/>
        <v>0.48409848856281373</v>
      </c>
      <c r="S15" s="173">
        <f t="shared" si="4"/>
        <v>-3.1161794615661647</v>
      </c>
      <c r="T15" s="148"/>
      <c r="U15" s="171"/>
      <c r="V15" s="169"/>
      <c r="Z15" s="7">
        <v>100000</v>
      </c>
      <c r="AA15" s="120">
        <v>2153384.2204530002</v>
      </c>
      <c r="AB15" s="120">
        <v>117974.26260099999</v>
      </c>
      <c r="AC15" s="19">
        <v>0.9452144854223079</v>
      </c>
      <c r="AD15" s="162">
        <v>656285.33930200001</v>
      </c>
      <c r="AE15" s="19">
        <v>0.69523072888314397</v>
      </c>
      <c r="AF15" s="23">
        <v>-4.5629535191215265</v>
      </c>
    </row>
    <row r="16" spans="2:40" ht="20" thickBot="1" x14ac:dyDescent="0.3">
      <c r="C16" s="1"/>
      <c r="F16" s="1"/>
      <c r="P16" s="16"/>
      <c r="R16" s="16"/>
      <c r="S16" s="16"/>
      <c r="T16" s="148"/>
      <c r="U16" s="169"/>
      <c r="V16" s="169"/>
    </row>
    <row r="17" spans="2:32" ht="19" x14ac:dyDescent="0.25">
      <c r="B17" s="5" t="s">
        <v>165</v>
      </c>
      <c r="C17" s="72" t="s">
        <v>340</v>
      </c>
      <c r="D17" s="72" t="s">
        <v>341</v>
      </c>
      <c r="E17" s="17" t="s">
        <v>162</v>
      </c>
      <c r="F17" s="72" t="s">
        <v>342</v>
      </c>
      <c r="G17" s="21" t="s">
        <v>162</v>
      </c>
      <c r="M17" s="105" t="s">
        <v>165</v>
      </c>
      <c r="N17" s="72" t="s">
        <v>340</v>
      </c>
      <c r="O17" s="72" t="s">
        <v>341</v>
      </c>
      <c r="P17" s="17" t="s">
        <v>162</v>
      </c>
      <c r="Q17" s="72" t="s">
        <v>342</v>
      </c>
      <c r="R17" s="21" t="s">
        <v>162</v>
      </c>
      <c r="S17" s="172" t="s">
        <v>1245</v>
      </c>
      <c r="T17" s="145"/>
      <c r="U17" s="169"/>
      <c r="V17" s="169"/>
      <c r="Z17" s="5" t="s">
        <v>165</v>
      </c>
      <c r="AA17" s="72" t="s">
        <v>340</v>
      </c>
      <c r="AB17" s="72" t="s">
        <v>341</v>
      </c>
      <c r="AC17" s="17" t="s">
        <v>162</v>
      </c>
      <c r="AD17" s="72" t="s">
        <v>342</v>
      </c>
      <c r="AE17" s="17" t="s">
        <v>162</v>
      </c>
      <c r="AF17" s="87" t="s">
        <v>1245</v>
      </c>
    </row>
    <row r="18" spans="2:32" ht="19" x14ac:dyDescent="0.25">
      <c r="B18" s="67">
        <v>100</v>
      </c>
      <c r="C18" s="73">
        <v>965.07500000000005</v>
      </c>
      <c r="D18" s="73">
        <v>626.92100000000005</v>
      </c>
      <c r="E18" s="18">
        <v>0.53938853539760179</v>
      </c>
      <c r="F18" s="73">
        <v>1131.876</v>
      </c>
      <c r="G18" s="22">
        <v>-0.14736684937219269</v>
      </c>
      <c r="M18" s="67">
        <v>100</v>
      </c>
      <c r="N18" s="119">
        <v>690.60799999999995</v>
      </c>
      <c r="O18" s="119">
        <v>374.57900000000001</v>
      </c>
      <c r="P18" s="18">
        <f>(N18-O18)/N18</f>
        <v>0.45760981627783048</v>
      </c>
      <c r="Q18" s="73">
        <v>459.70100000000002</v>
      </c>
      <c r="R18" s="22">
        <f t="shared" si="1"/>
        <v>0.33435320760836817</v>
      </c>
      <c r="S18" s="173">
        <f>(O18-Q18)/O18</f>
        <v>-0.22724712276982964</v>
      </c>
      <c r="T18" s="148"/>
      <c r="U18" s="171"/>
      <c r="V18" s="169"/>
      <c r="Z18" s="6">
        <v>100</v>
      </c>
      <c r="AA18" s="163">
        <v>1321.318487</v>
      </c>
      <c r="AB18" s="119">
        <v>665.98268499999995</v>
      </c>
      <c r="AC18" s="18">
        <v>0.49597111404072869</v>
      </c>
      <c r="AD18" s="73">
        <v>828.69000700000004</v>
      </c>
      <c r="AE18" s="18">
        <v>0.37283099029250166</v>
      </c>
      <c r="AF18" s="22">
        <v>-0.24431164002409478</v>
      </c>
    </row>
    <row r="19" spans="2:32" ht="19" x14ac:dyDescent="0.25">
      <c r="B19" s="67">
        <v>1000</v>
      </c>
      <c r="C19" s="73">
        <v>12430.752</v>
      </c>
      <c r="D19" s="73">
        <v>7727.7240000000002</v>
      </c>
      <c r="E19" s="18">
        <v>0.60859161119108296</v>
      </c>
      <c r="F19" s="73">
        <v>8880.73</v>
      </c>
      <c r="G19" s="22">
        <v>0.39974439038232235</v>
      </c>
      <c r="M19" s="67">
        <v>1000</v>
      </c>
      <c r="N19" s="119">
        <v>9484.9840000000004</v>
      </c>
      <c r="O19" s="119">
        <v>4421.1229999999996</v>
      </c>
      <c r="P19" s="18">
        <f t="shared" ref="P19:P22" si="5">(N19-O19)/N19</f>
        <v>0.53388187054400937</v>
      </c>
      <c r="Q19" s="73">
        <v>6466.6540000000005</v>
      </c>
      <c r="R19" s="22">
        <f t="shared" si="1"/>
        <v>0.31822193901434098</v>
      </c>
      <c r="S19" s="173">
        <f t="shared" ref="S19:S22" si="6">(O19-Q19)/O19</f>
        <v>-0.46267226675213541</v>
      </c>
      <c r="T19" s="148"/>
      <c r="U19" s="171"/>
      <c r="V19" s="169"/>
      <c r="Z19" s="6">
        <v>1000</v>
      </c>
      <c r="AA19" s="163">
        <v>14055.63111</v>
      </c>
      <c r="AB19" s="119">
        <v>7383.8546640000004</v>
      </c>
      <c r="AC19" s="18">
        <v>0.47466929046347173</v>
      </c>
      <c r="AD19" s="73">
        <v>11717.387891</v>
      </c>
      <c r="AE19" s="18">
        <v>0.16635633083287427</v>
      </c>
      <c r="AF19" s="22">
        <v>-0.58689308284034225</v>
      </c>
    </row>
    <row r="20" spans="2:32" ht="19" x14ac:dyDescent="0.25">
      <c r="B20" s="6">
        <v>10000</v>
      </c>
      <c r="C20" s="73">
        <v>98200.721000000005</v>
      </c>
      <c r="D20" s="73">
        <v>68766.883000000002</v>
      </c>
      <c r="E20" s="18">
        <v>0.42802344262135605</v>
      </c>
      <c r="F20" s="73">
        <v>77397.751000000004</v>
      </c>
      <c r="G20" s="22">
        <v>0.26878003212263879</v>
      </c>
      <c r="M20" s="6">
        <v>10000</v>
      </c>
      <c r="N20" s="119">
        <v>91757.72</v>
      </c>
      <c r="O20" s="119">
        <v>45364.411999999997</v>
      </c>
      <c r="P20" s="18">
        <f t="shared" si="5"/>
        <v>0.5056065909222679</v>
      </c>
      <c r="Q20" s="73">
        <v>68637.827000000005</v>
      </c>
      <c r="R20" s="22">
        <f t="shared" si="1"/>
        <v>0.25196673369826533</v>
      </c>
      <c r="S20" s="173">
        <f t="shared" si="6"/>
        <v>-0.51303244049542651</v>
      </c>
      <c r="T20" s="148"/>
      <c r="U20" s="171"/>
      <c r="V20" s="169"/>
      <c r="Z20" s="6">
        <v>10000</v>
      </c>
      <c r="AA20" s="163">
        <v>140482.187882</v>
      </c>
      <c r="AB20" s="119">
        <v>65976.551344000007</v>
      </c>
      <c r="AC20" s="18">
        <v>0.53035646483938625</v>
      </c>
      <c r="AD20" s="73">
        <v>100287.626586</v>
      </c>
      <c r="AE20" s="18">
        <v>0.28611855995410601</v>
      </c>
      <c r="AF20" s="22">
        <v>-0.52004954098165801</v>
      </c>
    </row>
    <row r="21" spans="2:32" ht="19" x14ac:dyDescent="0.25">
      <c r="B21" s="6">
        <v>50000</v>
      </c>
      <c r="C21" s="73">
        <v>478768.20699999999</v>
      </c>
      <c r="D21" s="73">
        <v>336820.21600000001</v>
      </c>
      <c r="E21" s="18">
        <v>0.42143548473943127</v>
      </c>
      <c r="F21" s="73">
        <v>375657.58100000001</v>
      </c>
      <c r="G21" s="22">
        <v>0.27448035449070307</v>
      </c>
      <c r="M21" s="6">
        <v>50000</v>
      </c>
      <c r="N21" s="119">
        <v>466642.95199999999</v>
      </c>
      <c r="O21" s="119">
        <v>210265.61799999999</v>
      </c>
      <c r="P21" s="18">
        <f t="shared" si="5"/>
        <v>0.54940792076936806</v>
      </c>
      <c r="Q21" s="73">
        <v>327062.489</v>
      </c>
      <c r="R21" s="22">
        <f t="shared" si="1"/>
        <v>0.29911619237313586</v>
      </c>
      <c r="S21" s="173">
        <f t="shared" si="6"/>
        <v>-0.55547298750478558</v>
      </c>
      <c r="T21" s="148"/>
      <c r="U21" s="171"/>
      <c r="V21" s="169"/>
      <c r="Z21" s="6">
        <v>50000</v>
      </c>
      <c r="AA21" s="163">
        <v>895976.89073999994</v>
      </c>
      <c r="AB21" s="119">
        <v>351567.90547499998</v>
      </c>
      <c r="AC21" s="18">
        <v>0.6076149852652617</v>
      </c>
      <c r="AD21" s="73">
        <v>592326.42277199996</v>
      </c>
      <c r="AE21" s="18">
        <v>0.33890435245178119</v>
      </c>
      <c r="AF21" s="22">
        <v>-0.68481369757490662</v>
      </c>
    </row>
    <row r="22" spans="2:32" ht="20" thickBot="1" x14ac:dyDescent="0.3">
      <c r="B22" s="7">
        <v>100000</v>
      </c>
      <c r="C22" s="74">
        <v>965056.978</v>
      </c>
      <c r="D22" s="74">
        <v>710467.53</v>
      </c>
      <c r="E22" s="19">
        <v>0.35834072248171567</v>
      </c>
      <c r="F22" s="74">
        <v>748714.29500000004</v>
      </c>
      <c r="G22" s="23">
        <v>0.28895225380997958</v>
      </c>
      <c r="M22" s="7">
        <v>100000</v>
      </c>
      <c r="N22" s="120">
        <v>1137190.743</v>
      </c>
      <c r="O22" s="120">
        <v>536660.647</v>
      </c>
      <c r="P22" s="19">
        <f t="shared" si="5"/>
        <v>0.52808211788266379</v>
      </c>
      <c r="Q22" s="74">
        <v>741891.09699999995</v>
      </c>
      <c r="R22" s="23">
        <f t="shared" si="1"/>
        <v>0.34761067871267404</v>
      </c>
      <c r="S22" s="173">
        <f t="shared" si="6"/>
        <v>-0.38242127710921936</v>
      </c>
      <c r="T22" s="148"/>
      <c r="U22" s="171"/>
      <c r="V22" s="169"/>
      <c r="Z22" s="7">
        <v>100000</v>
      </c>
      <c r="AA22" s="164">
        <v>1681013.578854</v>
      </c>
      <c r="AB22" s="120">
        <v>792064.89881100005</v>
      </c>
      <c r="AC22" s="19">
        <v>0.52881707276215117</v>
      </c>
      <c r="AD22" s="162">
        <v>1083026.1664120001</v>
      </c>
      <c r="AE22" s="19">
        <v>0.35573026890696907</v>
      </c>
      <c r="AF22" s="23">
        <v>-0.3673452365302054</v>
      </c>
    </row>
    <row r="23" spans="2:32" ht="20" thickBot="1" x14ac:dyDescent="0.3">
      <c r="C23" s="1"/>
      <c r="F23" s="1"/>
      <c r="P23" s="16"/>
      <c r="R23" s="16"/>
      <c r="S23" s="16"/>
      <c r="T23" s="148"/>
      <c r="U23" s="169"/>
      <c r="V23" s="169"/>
    </row>
    <row r="24" spans="2:32" ht="19" x14ac:dyDescent="0.25">
      <c r="B24" s="5" t="s">
        <v>164</v>
      </c>
      <c r="C24" s="72" t="s">
        <v>340</v>
      </c>
      <c r="D24" s="72" t="s">
        <v>341</v>
      </c>
      <c r="E24" s="17" t="s">
        <v>162</v>
      </c>
      <c r="F24" s="72" t="s">
        <v>342</v>
      </c>
      <c r="G24" s="21" t="s">
        <v>162</v>
      </c>
      <c r="M24" s="105" t="s">
        <v>164</v>
      </c>
      <c r="N24" s="72" t="s">
        <v>340</v>
      </c>
      <c r="O24" s="72" t="s">
        <v>341</v>
      </c>
      <c r="P24" s="17" t="s">
        <v>162</v>
      </c>
      <c r="Q24" s="72" t="s">
        <v>342</v>
      </c>
      <c r="R24" s="21" t="s">
        <v>162</v>
      </c>
      <c r="S24" s="172" t="s">
        <v>1245</v>
      </c>
      <c r="T24" s="145"/>
      <c r="U24" s="169"/>
      <c r="V24" s="169"/>
      <c r="Z24" s="5" t="s">
        <v>164</v>
      </c>
      <c r="AA24" s="72" t="s">
        <v>340</v>
      </c>
      <c r="AB24" s="72" t="s">
        <v>341</v>
      </c>
      <c r="AC24" s="17" t="s">
        <v>162</v>
      </c>
      <c r="AD24" s="72" t="s">
        <v>342</v>
      </c>
      <c r="AE24" s="17" t="s">
        <v>162</v>
      </c>
      <c r="AF24" s="87" t="s">
        <v>1245</v>
      </c>
    </row>
    <row r="25" spans="2:32" ht="19" x14ac:dyDescent="0.25">
      <c r="B25" s="67">
        <v>100</v>
      </c>
      <c r="C25" s="73">
        <v>1323.7840000000001</v>
      </c>
      <c r="D25" s="73">
        <v>1300.566</v>
      </c>
      <c r="E25" s="18">
        <v>1.7852227414833388E-2</v>
      </c>
      <c r="F25" s="73">
        <v>1446.47</v>
      </c>
      <c r="G25" s="22">
        <v>-8.4817521275933783E-2</v>
      </c>
      <c r="M25" s="67">
        <v>100</v>
      </c>
      <c r="N25" s="119">
        <v>1085.0650000000001</v>
      </c>
      <c r="O25" s="119">
        <v>1365.568</v>
      </c>
      <c r="P25" s="18">
        <f>(N25-O25)/N25</f>
        <v>-0.25851262366770644</v>
      </c>
      <c r="Q25" s="73">
        <v>1894.7919999999999</v>
      </c>
      <c r="R25" s="22">
        <f t="shared" si="1"/>
        <v>-0.74624745982959528</v>
      </c>
      <c r="S25" s="173">
        <f>(O25-Q25)/O25</f>
        <v>-0.38754862445517174</v>
      </c>
      <c r="T25" s="148"/>
      <c r="U25" s="169"/>
      <c r="V25" s="169"/>
      <c r="Z25" s="6">
        <v>100</v>
      </c>
      <c r="AA25" s="119">
        <v>1751.003052</v>
      </c>
      <c r="AB25" s="119">
        <v>2429.5840750000002</v>
      </c>
      <c r="AC25" s="18">
        <v>-0.38753845815683946</v>
      </c>
      <c r="AD25" s="73">
        <v>3166.5465020000001</v>
      </c>
      <c r="AE25" s="18">
        <v>-0.80841860805620125</v>
      </c>
      <c r="AF25" s="22">
        <v>-0.30332863743354915</v>
      </c>
    </row>
    <row r="26" spans="2:32" ht="19" x14ac:dyDescent="0.25">
      <c r="B26" s="67">
        <v>1000</v>
      </c>
      <c r="C26" s="73">
        <v>17338.062000000002</v>
      </c>
      <c r="D26" s="73">
        <v>15219.365</v>
      </c>
      <c r="E26" s="18">
        <v>0.13921060438461152</v>
      </c>
      <c r="F26" s="73">
        <v>16028.921</v>
      </c>
      <c r="G26" s="22">
        <v>8.1673682214791654E-2</v>
      </c>
      <c r="M26" s="67">
        <v>1000</v>
      </c>
      <c r="N26" s="119">
        <v>14042.548000000001</v>
      </c>
      <c r="O26" s="119">
        <v>13738.271000000001</v>
      </c>
      <c r="P26" s="18">
        <f t="shared" ref="P26:P29" si="7">(N26-O26)/N26</f>
        <v>2.1668218616735371E-2</v>
      </c>
      <c r="Q26" s="73">
        <v>18620.281999999999</v>
      </c>
      <c r="R26" s="22">
        <f t="shared" si="1"/>
        <v>-0.32599026900246297</v>
      </c>
      <c r="S26" s="173">
        <f t="shared" ref="S26:S29" si="8">(O26-Q26)/O26</f>
        <v>-0.35535847269281545</v>
      </c>
      <c r="T26" s="148"/>
      <c r="U26" s="169"/>
      <c r="V26" s="169"/>
      <c r="Z26" s="6">
        <v>1000</v>
      </c>
      <c r="AA26" s="119">
        <v>21963.053548</v>
      </c>
      <c r="AB26" s="119">
        <v>25027.395864999999</v>
      </c>
      <c r="AC26" s="18">
        <v>-0.13952259918243673</v>
      </c>
      <c r="AD26" s="73">
        <v>33042.861984000003</v>
      </c>
      <c r="AE26" s="18">
        <v>-0.50447486328734803</v>
      </c>
      <c r="AF26" s="22">
        <v>-0.32026768435022734</v>
      </c>
    </row>
    <row r="27" spans="2:32" ht="19" x14ac:dyDescent="0.25">
      <c r="B27" s="6">
        <v>10000</v>
      </c>
      <c r="C27" s="73">
        <v>134780.201</v>
      </c>
      <c r="D27" s="73">
        <v>134823.53400000001</v>
      </c>
      <c r="E27" s="18">
        <v>-3.2140531192437205E-4</v>
      </c>
      <c r="F27" s="73">
        <v>149164.08499999999</v>
      </c>
      <c r="G27" s="22">
        <v>-9.6429941564016519E-2</v>
      </c>
      <c r="M27" s="6">
        <v>10000</v>
      </c>
      <c r="N27" s="119">
        <v>136049.56099999999</v>
      </c>
      <c r="O27" s="119">
        <v>135283.834</v>
      </c>
      <c r="P27" s="18">
        <f t="shared" si="7"/>
        <v>5.6282945301086599E-3</v>
      </c>
      <c r="Q27" s="73">
        <v>147689.78599999999</v>
      </c>
      <c r="R27" s="22">
        <f t="shared" si="1"/>
        <v>-8.555871047610368E-2</v>
      </c>
      <c r="S27" s="173">
        <f t="shared" si="8"/>
        <v>-9.1703137272114793E-2</v>
      </c>
      <c r="T27" s="148"/>
      <c r="U27" s="169"/>
      <c r="V27" s="169"/>
      <c r="Z27" s="6">
        <v>10000</v>
      </c>
      <c r="AA27" s="119">
        <v>204405.345145</v>
      </c>
      <c r="AB27" s="119">
        <v>235032.219163</v>
      </c>
      <c r="AC27" s="18">
        <v>-0.14983401728694556</v>
      </c>
      <c r="AD27" s="73">
        <v>213769.44677899999</v>
      </c>
      <c r="AE27" s="18">
        <v>-4.5811432315320984E-2</v>
      </c>
      <c r="AF27" s="22">
        <v>9.0467479138482756E-2</v>
      </c>
    </row>
    <row r="28" spans="2:32" ht="19" x14ac:dyDescent="0.25">
      <c r="B28" s="6">
        <v>50000</v>
      </c>
      <c r="C28" s="73">
        <v>656265.06700000004</v>
      </c>
      <c r="D28" s="73">
        <v>675858.97199999995</v>
      </c>
      <c r="E28" s="18">
        <v>-2.8991114732142553E-2</v>
      </c>
      <c r="F28" s="73">
        <v>860601.39399999997</v>
      </c>
      <c r="G28" s="22">
        <v>-0.23743434350049397</v>
      </c>
      <c r="M28" s="6">
        <v>50000</v>
      </c>
      <c r="N28" s="119">
        <v>732934.51800000004</v>
      </c>
      <c r="O28" s="119">
        <v>698678.48899999994</v>
      </c>
      <c r="P28" s="18">
        <f t="shared" si="7"/>
        <v>4.6738184870152473E-2</v>
      </c>
      <c r="Q28" s="73">
        <v>784581.375</v>
      </c>
      <c r="R28" s="22">
        <f t="shared" si="1"/>
        <v>-7.0465854358901889E-2</v>
      </c>
      <c r="S28" s="173">
        <f t="shared" si="8"/>
        <v>-0.12295052352756786</v>
      </c>
      <c r="T28" s="148"/>
      <c r="U28" s="169"/>
      <c r="V28" s="169"/>
      <c r="Z28" s="6">
        <v>50000</v>
      </c>
      <c r="AA28" s="119">
        <v>1096220.0983470001</v>
      </c>
      <c r="AB28" s="119">
        <v>1203238.676647</v>
      </c>
      <c r="AC28" s="18">
        <v>-9.7625083193944528E-2</v>
      </c>
      <c r="AD28" s="73">
        <v>1695113.1683439999</v>
      </c>
      <c r="AE28" s="18">
        <v>-0.54632556992895487</v>
      </c>
      <c r="AF28" s="22">
        <v>-0.40879212183212049</v>
      </c>
    </row>
    <row r="29" spans="2:32" ht="20" thickBot="1" x14ac:dyDescent="0.3">
      <c r="B29" s="7">
        <v>100000</v>
      </c>
      <c r="C29" s="74">
        <v>1312468.7279999999</v>
      </c>
      <c r="D29" s="74">
        <v>1355619.0290000001</v>
      </c>
      <c r="E29" s="19">
        <v>-3.1830698800260238E-2</v>
      </c>
      <c r="F29" s="74">
        <v>1657467.308</v>
      </c>
      <c r="G29" s="23">
        <v>-0.2081480451136597</v>
      </c>
      <c r="M29" s="7">
        <v>100000</v>
      </c>
      <c r="N29" s="120">
        <v>1960889.966</v>
      </c>
      <c r="O29" s="120">
        <v>2031620.1129999999</v>
      </c>
      <c r="P29" s="19">
        <f t="shared" si="7"/>
        <v>-3.6070431399208805E-2</v>
      </c>
      <c r="Q29" s="74">
        <v>2370014.071</v>
      </c>
      <c r="R29" s="23">
        <f t="shared" si="1"/>
        <v>-0.20864205136128477</v>
      </c>
      <c r="S29" s="174">
        <f t="shared" si="8"/>
        <v>-0.16656359908758203</v>
      </c>
      <c r="T29" s="148"/>
      <c r="U29" s="169"/>
      <c r="V29" s="169"/>
      <c r="Z29" s="7">
        <v>100000</v>
      </c>
      <c r="AA29" s="120">
        <v>2514695.6077350001</v>
      </c>
      <c r="AB29" s="120">
        <v>2644223.8690490001</v>
      </c>
      <c r="AC29" s="19">
        <v>-5.150852489485469E-2</v>
      </c>
      <c r="AD29" s="162">
        <v>3139258.9000499998</v>
      </c>
      <c r="AE29" s="19">
        <v>-0.2483653649347832</v>
      </c>
      <c r="AF29" s="23">
        <v>-0.18721373662625623</v>
      </c>
    </row>
    <row r="30" spans="2:32" ht="20" thickBot="1" x14ac:dyDescent="0.3">
      <c r="C30" s="1"/>
      <c r="F30" s="1"/>
      <c r="P30" s="16"/>
      <c r="R30" s="16"/>
      <c r="S30" s="16"/>
      <c r="T30" s="148"/>
      <c r="U30" s="169"/>
      <c r="V30" s="169"/>
    </row>
    <row r="31" spans="2:32" ht="19" x14ac:dyDescent="0.25">
      <c r="B31" s="5" t="s">
        <v>163</v>
      </c>
      <c r="C31" s="72" t="s">
        <v>340</v>
      </c>
      <c r="D31" s="72" t="s">
        <v>341</v>
      </c>
      <c r="E31" s="17" t="s">
        <v>162</v>
      </c>
      <c r="F31" s="72" t="s">
        <v>342</v>
      </c>
      <c r="G31" s="21" t="s">
        <v>162</v>
      </c>
      <c r="M31" s="105" t="s">
        <v>163</v>
      </c>
      <c r="N31" s="72" t="s">
        <v>340</v>
      </c>
      <c r="O31" s="72" t="s">
        <v>341</v>
      </c>
      <c r="P31" s="17" t="s">
        <v>162</v>
      </c>
      <c r="Q31" s="72" t="s">
        <v>342</v>
      </c>
      <c r="R31" s="21" t="s">
        <v>162</v>
      </c>
      <c r="S31" s="172" t="s">
        <v>1245</v>
      </c>
      <c r="T31" s="145"/>
      <c r="U31" s="170"/>
      <c r="V31" s="169"/>
      <c r="Z31" s="5" t="s">
        <v>163</v>
      </c>
      <c r="AA31" s="72" t="s">
        <v>340</v>
      </c>
      <c r="AB31" s="72" t="s">
        <v>341</v>
      </c>
      <c r="AC31" s="17" t="s">
        <v>162</v>
      </c>
      <c r="AD31" s="72" t="s">
        <v>342</v>
      </c>
      <c r="AE31" s="17" t="s">
        <v>162</v>
      </c>
      <c r="AF31" s="87" t="s">
        <v>1245</v>
      </c>
    </row>
    <row r="32" spans="2:32" ht="19" x14ac:dyDescent="0.25">
      <c r="B32" s="67">
        <v>100</v>
      </c>
      <c r="C32" s="73">
        <v>2029.9280000000001</v>
      </c>
      <c r="D32" s="73">
        <v>2230.0709999999999</v>
      </c>
      <c r="E32" s="18">
        <v>-8.9747366787873539E-2</v>
      </c>
      <c r="F32" s="73">
        <v>2544.2489999999998</v>
      </c>
      <c r="G32" s="22">
        <v>-0.20215041845353965</v>
      </c>
      <c r="M32" s="67">
        <v>100</v>
      </c>
      <c r="N32" s="119">
        <v>1840.2750000000001</v>
      </c>
      <c r="O32" s="119">
        <v>2439.89</v>
      </c>
      <c r="P32" s="18">
        <f>(N32-O32)/N32</f>
        <v>-0.3258290201192755</v>
      </c>
      <c r="Q32" s="73">
        <v>3061.1590000000001</v>
      </c>
      <c r="R32" s="22">
        <f t="shared" si="1"/>
        <v>-0.66342475988643002</v>
      </c>
      <c r="S32" s="173">
        <f>(O32-Q32)/O32</f>
        <v>-0.25462992184073885</v>
      </c>
      <c r="T32" s="148"/>
      <c r="U32" s="171"/>
      <c r="V32" s="169"/>
      <c r="Z32" s="6">
        <v>100</v>
      </c>
      <c r="AA32" s="119">
        <v>2905.0744930000001</v>
      </c>
      <c r="AB32" s="119">
        <v>3809.6844289999999</v>
      </c>
      <c r="AC32" s="18">
        <v>-0.31138958335826739</v>
      </c>
      <c r="AD32" s="73">
        <v>4709.1243599999998</v>
      </c>
      <c r="AE32" s="18">
        <v>-0.62099952044155715</v>
      </c>
      <c r="AF32" s="22">
        <v>-0.2360930275886638</v>
      </c>
    </row>
    <row r="33" spans="2:32" ht="19" x14ac:dyDescent="0.25">
      <c r="B33" s="67">
        <v>1000</v>
      </c>
      <c r="C33" s="73">
        <v>27064.084999999999</v>
      </c>
      <c r="D33" s="73">
        <v>39690.934999999998</v>
      </c>
      <c r="E33" s="18">
        <v>-0.31812931592566407</v>
      </c>
      <c r="F33" s="73">
        <v>27574.386999999999</v>
      </c>
      <c r="G33" s="22">
        <v>-1.8506376950465E-2</v>
      </c>
      <c r="M33" s="67">
        <v>1000</v>
      </c>
      <c r="N33" s="119">
        <v>24328.855</v>
      </c>
      <c r="O33" s="119">
        <v>26099.258000000002</v>
      </c>
      <c r="P33" s="18">
        <f t="shared" ref="P33:P36" si="9">(N33-O33)/N33</f>
        <v>-7.2769680282939828E-2</v>
      </c>
      <c r="Q33" s="73">
        <v>32122.613000000001</v>
      </c>
      <c r="R33" s="22">
        <f t="shared" si="1"/>
        <v>-0.32035038229296042</v>
      </c>
      <c r="S33" s="173">
        <f t="shared" ref="S33:S36" si="10">(O33-Q33)/O33</f>
        <v>-0.2307864461127592</v>
      </c>
      <c r="T33" s="148"/>
      <c r="U33" s="171"/>
      <c r="V33" s="169"/>
      <c r="Z33" s="6">
        <v>1000</v>
      </c>
      <c r="AA33" s="119">
        <v>34222.919470000001</v>
      </c>
      <c r="AB33" s="119">
        <v>40587.910999</v>
      </c>
      <c r="AC33" s="18">
        <v>-0.18598622290478711</v>
      </c>
      <c r="AD33" s="73">
        <v>49403.410735999998</v>
      </c>
      <c r="AE33" s="18">
        <v>-0.44357674625939786</v>
      </c>
      <c r="AF33" s="22">
        <v>-0.21719520714473808</v>
      </c>
    </row>
    <row r="34" spans="2:32" ht="19" x14ac:dyDescent="0.25">
      <c r="B34" s="6">
        <v>10000</v>
      </c>
      <c r="C34" s="73">
        <v>208903.511</v>
      </c>
      <c r="D34" s="73">
        <v>254268.27299999999</v>
      </c>
      <c r="E34" s="18">
        <v>-0.17841298666467909</v>
      </c>
      <c r="F34" s="73">
        <v>287563.43099999998</v>
      </c>
      <c r="G34" s="22">
        <v>-0.27353937086666624</v>
      </c>
      <c r="M34" s="6">
        <v>10000</v>
      </c>
      <c r="N34" s="119">
        <v>225185.73199999999</v>
      </c>
      <c r="O34" s="119">
        <v>236980.32800000001</v>
      </c>
      <c r="P34" s="18">
        <f t="shared" si="9"/>
        <v>-5.237719057617745E-2</v>
      </c>
      <c r="Q34" s="73">
        <v>322522.56099999999</v>
      </c>
      <c r="R34" s="22">
        <f t="shared" si="1"/>
        <v>-0.43225131599367939</v>
      </c>
      <c r="S34" s="173">
        <f t="shared" si="10"/>
        <v>-0.36096765382145973</v>
      </c>
      <c r="T34" s="148"/>
      <c r="U34" s="171"/>
      <c r="V34" s="169"/>
      <c r="Z34" s="6">
        <v>10000</v>
      </c>
      <c r="AA34" s="119">
        <v>290541.51453500002</v>
      </c>
      <c r="AB34" s="119">
        <v>375164.07777700003</v>
      </c>
      <c r="AC34" s="18">
        <v>-0.29125807847954194</v>
      </c>
      <c r="AD34" s="73">
        <v>534746.13440900005</v>
      </c>
      <c r="AE34" s="18">
        <v>-0.84051540883869791</v>
      </c>
      <c r="AF34" s="22">
        <v>-0.4253660360490501</v>
      </c>
    </row>
    <row r="35" spans="2:32" ht="19" x14ac:dyDescent="0.25">
      <c r="B35" s="6">
        <v>50000</v>
      </c>
      <c r="C35" s="73">
        <v>1018806.447</v>
      </c>
      <c r="D35" s="73">
        <v>1297886.817</v>
      </c>
      <c r="E35" s="18">
        <v>-0.21502673911511039</v>
      </c>
      <c r="F35" s="73">
        <v>1411830.5819999999</v>
      </c>
      <c r="G35" s="22">
        <v>-0.27837910582956893</v>
      </c>
      <c r="M35" s="6">
        <v>50000</v>
      </c>
      <c r="N35" s="119">
        <v>1279419.425</v>
      </c>
      <c r="O35" s="119">
        <v>1312691.814</v>
      </c>
      <c r="P35" s="18">
        <f t="shared" si="9"/>
        <v>-2.6005849489114927E-2</v>
      </c>
      <c r="Q35" s="73">
        <v>1688692.0249999999</v>
      </c>
      <c r="R35" s="22">
        <f t="shared" si="1"/>
        <v>-0.31988931229491052</v>
      </c>
      <c r="S35" s="173">
        <f t="shared" si="10"/>
        <v>-0.28643449055590736</v>
      </c>
      <c r="T35" s="148"/>
      <c r="U35" s="171"/>
      <c r="V35" s="169"/>
      <c r="Z35" s="6">
        <v>50000</v>
      </c>
      <c r="AA35" s="119">
        <v>1819715.418936</v>
      </c>
      <c r="AB35" s="119">
        <v>2103401</v>
      </c>
      <c r="AC35" s="18">
        <v>-0.15589557472116872</v>
      </c>
      <c r="AD35" s="73">
        <v>2499326.5775020001</v>
      </c>
      <c r="AE35" s="18">
        <v>-0.37347112163470786</v>
      </c>
      <c r="AF35" s="22">
        <v>-0.18823114446650932</v>
      </c>
    </row>
    <row r="36" spans="2:32" ht="20" thickBot="1" x14ac:dyDescent="0.3">
      <c r="B36" s="7">
        <v>100000</v>
      </c>
      <c r="C36" s="74">
        <v>2041325.0009999999</v>
      </c>
      <c r="D36" s="74">
        <v>2718860.7779999999</v>
      </c>
      <c r="E36" s="19">
        <v>-0.24919840783403291</v>
      </c>
      <c r="F36" s="74">
        <v>2913118.5279999999</v>
      </c>
      <c r="G36" s="23">
        <v>-0.2992646947319817</v>
      </c>
      <c r="M36" s="7">
        <v>100000</v>
      </c>
      <c r="N36" s="120">
        <v>3532199.267</v>
      </c>
      <c r="O36" s="120">
        <v>3794978.7710000002</v>
      </c>
      <c r="P36" s="19">
        <f t="shared" si="9"/>
        <v>-7.4395435856365627E-2</v>
      </c>
      <c r="Q36" s="74">
        <v>5106339.773</v>
      </c>
      <c r="R36" s="23">
        <f t="shared" si="1"/>
        <v>-0.4456545021982759</v>
      </c>
      <c r="S36" s="174">
        <f t="shared" si="10"/>
        <v>-0.34555160414097608</v>
      </c>
      <c r="T36" s="148"/>
      <c r="U36" s="171"/>
      <c r="V36" s="169"/>
      <c r="Z36" s="7">
        <v>100000</v>
      </c>
      <c r="AA36" s="120">
        <v>3469183.5155270002</v>
      </c>
      <c r="AB36" s="120">
        <v>3952660.065889</v>
      </c>
      <c r="AC36" s="19">
        <v>-0.13936320987290157</v>
      </c>
      <c r="AD36" s="162">
        <v>5135325.574887</v>
      </c>
      <c r="AE36" s="19">
        <v>-0.48026921951602142</v>
      </c>
      <c r="AF36" s="23">
        <v>-0.29920749300054078</v>
      </c>
    </row>
    <row r="37" spans="2:32" ht="20" thickBot="1" x14ac:dyDescent="0.3">
      <c r="B37" s="24"/>
      <c r="C37" s="24"/>
      <c r="D37" s="24"/>
      <c r="E37" s="16"/>
      <c r="F37" s="24"/>
      <c r="G37" s="16"/>
      <c r="P37" s="16"/>
      <c r="R37" s="16"/>
      <c r="S37" s="16"/>
      <c r="T37" s="148"/>
      <c r="U37" s="169"/>
      <c r="V37" s="169"/>
    </row>
    <row r="38" spans="2:32" ht="19" x14ac:dyDescent="0.25">
      <c r="B38" s="5" t="s">
        <v>161</v>
      </c>
      <c r="C38" s="72" t="s">
        <v>340</v>
      </c>
      <c r="D38" s="72" t="s">
        <v>341</v>
      </c>
      <c r="E38" s="17" t="s">
        <v>162</v>
      </c>
      <c r="F38" s="72" t="s">
        <v>342</v>
      </c>
      <c r="G38" s="21" t="s">
        <v>162</v>
      </c>
      <c r="M38" s="105" t="s">
        <v>161</v>
      </c>
      <c r="N38" s="72" t="s">
        <v>340</v>
      </c>
      <c r="O38" s="72" t="s">
        <v>341</v>
      </c>
      <c r="P38" s="17" t="s">
        <v>162</v>
      </c>
      <c r="Q38" s="72" t="s">
        <v>342</v>
      </c>
      <c r="R38" s="21" t="s">
        <v>162</v>
      </c>
      <c r="S38" s="172" t="s">
        <v>1245</v>
      </c>
      <c r="T38" s="145"/>
      <c r="U38" s="170"/>
      <c r="V38" s="169"/>
      <c r="Z38" s="5" t="s">
        <v>161</v>
      </c>
      <c r="AA38" s="72" t="s">
        <v>340</v>
      </c>
      <c r="AB38" s="72" t="s">
        <v>341</v>
      </c>
      <c r="AC38" s="17" t="s">
        <v>162</v>
      </c>
      <c r="AD38" s="72" t="s">
        <v>342</v>
      </c>
      <c r="AE38" s="17" t="s">
        <v>162</v>
      </c>
      <c r="AF38" s="87" t="s">
        <v>1245</v>
      </c>
    </row>
    <row r="39" spans="2:32" ht="19" x14ac:dyDescent="0.25">
      <c r="B39" s="67">
        <v>100</v>
      </c>
      <c r="C39" s="73">
        <v>3772.5169999999998</v>
      </c>
      <c r="D39" s="73">
        <v>5675.8770000000004</v>
      </c>
      <c r="E39" s="18">
        <v>-0.33534200970176076</v>
      </c>
      <c r="F39" s="73">
        <v>5576.4059999999999</v>
      </c>
      <c r="G39" s="22">
        <v>-0.32348595134572344</v>
      </c>
      <c r="M39" s="67">
        <v>100</v>
      </c>
      <c r="N39" s="119">
        <v>3871.2779999999998</v>
      </c>
      <c r="O39" s="119">
        <v>5599.0069999999996</v>
      </c>
      <c r="P39" s="18">
        <f>(N39-O39)/N39</f>
        <v>-0.44629422118483869</v>
      </c>
      <c r="Q39" s="73">
        <v>6772.6710000000003</v>
      </c>
      <c r="R39" s="22">
        <f>(N39-Q39)/N39</f>
        <v>-0.74946645526361078</v>
      </c>
      <c r="S39" s="173">
        <f>(O39-Q39)/O39</f>
        <v>-0.20962002726554918</v>
      </c>
      <c r="T39" s="148"/>
      <c r="U39" s="171"/>
      <c r="V39" s="169"/>
      <c r="Z39" s="6">
        <v>100</v>
      </c>
      <c r="AA39" s="119">
        <v>6192.0283840000002</v>
      </c>
      <c r="AB39" s="119">
        <v>8480.1689139999999</v>
      </c>
      <c r="AC39" s="18">
        <v>-0.36953004542299583</v>
      </c>
      <c r="AD39" s="73">
        <v>11011.357156</v>
      </c>
      <c r="AE39" s="18">
        <v>-0.77831180238982567</v>
      </c>
      <c r="AF39" s="22">
        <v>-0.29848323396262011</v>
      </c>
    </row>
    <row r="40" spans="2:32" ht="19" x14ac:dyDescent="0.25">
      <c r="B40" s="67">
        <v>1000</v>
      </c>
      <c r="C40" s="73">
        <v>52713.432999999997</v>
      </c>
      <c r="D40" s="73">
        <v>93004.27</v>
      </c>
      <c r="E40" s="18">
        <v>-0.43321491583128391</v>
      </c>
      <c r="F40" s="73">
        <v>57893.173000000003</v>
      </c>
      <c r="G40" s="22">
        <v>-8.9470653128651323E-2</v>
      </c>
      <c r="M40" s="67">
        <v>1000</v>
      </c>
      <c r="N40" s="119">
        <v>52232.016000000003</v>
      </c>
      <c r="O40" s="119">
        <v>57588.15</v>
      </c>
      <c r="P40" s="18">
        <f t="shared" ref="P40:P43" si="11">(N40-O40)/N40</f>
        <v>-0.10254503674527894</v>
      </c>
      <c r="Q40" s="73">
        <v>70972.357999999993</v>
      </c>
      <c r="R40" s="22">
        <f t="shared" si="1"/>
        <v>-0.35879032507571579</v>
      </c>
      <c r="S40" s="173">
        <f t="shared" ref="S40:S43" si="12">(O40-Q40)/O40</f>
        <v>-0.23241253625962965</v>
      </c>
      <c r="T40" s="148"/>
      <c r="U40" s="171"/>
      <c r="V40" s="169"/>
      <c r="Z40" s="6">
        <v>1000</v>
      </c>
      <c r="AA40" s="119">
        <v>75301.622749999995</v>
      </c>
      <c r="AB40" s="119">
        <v>91473.917398000005</v>
      </c>
      <c r="AC40" s="18">
        <v>-0.2147668809434789</v>
      </c>
      <c r="AD40" s="73">
        <v>107022.039983</v>
      </c>
      <c r="AE40" s="18">
        <v>-0.42124480289503458</v>
      </c>
      <c r="AF40" s="22">
        <v>-0.16997328885949664</v>
      </c>
    </row>
    <row r="41" spans="2:32" ht="19" x14ac:dyDescent="0.25">
      <c r="B41" s="6">
        <v>10000</v>
      </c>
      <c r="C41" s="73">
        <v>381917.12900000002</v>
      </c>
      <c r="D41" s="73">
        <v>840184.17200000002</v>
      </c>
      <c r="E41" s="18">
        <v>-0.54543641533870746</v>
      </c>
      <c r="F41" s="73">
        <v>564293.06700000004</v>
      </c>
      <c r="G41" s="22">
        <v>-0.32319365355591023</v>
      </c>
      <c r="M41" s="6">
        <v>10000</v>
      </c>
      <c r="N41" s="119">
        <v>460794.739</v>
      </c>
      <c r="O41" s="119">
        <v>531767.27800000005</v>
      </c>
      <c r="P41" s="18">
        <f t="shared" si="11"/>
        <v>-0.15402202541205673</v>
      </c>
      <c r="Q41" s="73">
        <v>657691.05000000005</v>
      </c>
      <c r="R41" s="22">
        <f t="shared" si="1"/>
        <v>-0.42729722007524928</v>
      </c>
      <c r="S41" s="173">
        <f t="shared" si="12"/>
        <v>-0.23680240813914838</v>
      </c>
      <c r="T41" s="148"/>
      <c r="U41" s="171"/>
      <c r="V41" s="169"/>
      <c r="Z41" s="6">
        <v>10000</v>
      </c>
      <c r="AA41" s="119">
        <v>614537.97322199994</v>
      </c>
      <c r="AB41" s="119">
        <v>843245.79326399998</v>
      </c>
      <c r="AC41" s="18">
        <v>-0.37216222594495402</v>
      </c>
      <c r="AD41" s="73">
        <v>1151171.2771330001</v>
      </c>
      <c r="AE41" s="18">
        <v>-0.87323050371883693</v>
      </c>
      <c r="AF41" s="22">
        <v>-0.36516693747987194</v>
      </c>
    </row>
    <row r="42" spans="2:32" ht="19" x14ac:dyDescent="0.25">
      <c r="B42" s="6">
        <v>50000</v>
      </c>
      <c r="C42" s="73">
        <v>1856633.243</v>
      </c>
      <c r="D42" s="73">
        <v>4261345.5889999997</v>
      </c>
      <c r="E42" s="18">
        <v>-0.56430822043802087</v>
      </c>
      <c r="F42" s="73">
        <v>2805558.7379999999</v>
      </c>
      <c r="G42" s="22">
        <v>-0.33823048583771975</v>
      </c>
      <c r="M42" s="6">
        <v>50000</v>
      </c>
      <c r="N42" s="119">
        <v>2761061.568</v>
      </c>
      <c r="O42" s="119">
        <v>3006490.5350000001</v>
      </c>
      <c r="P42" s="18">
        <f t="shared" si="11"/>
        <v>-8.8889349605405177E-2</v>
      </c>
      <c r="Q42" s="73">
        <v>3616962.61</v>
      </c>
      <c r="R42" s="22">
        <f t="shared" si="1"/>
        <v>-0.30998984300809329</v>
      </c>
      <c r="S42" s="173">
        <f t="shared" si="12"/>
        <v>-0.2030513876206165</v>
      </c>
      <c r="T42" s="148"/>
      <c r="U42" s="171"/>
      <c r="V42" s="169"/>
      <c r="Z42" s="6">
        <v>50000</v>
      </c>
      <c r="AA42" s="119">
        <v>3427219.0556919998</v>
      </c>
      <c r="AB42" s="119">
        <v>4403514.697811</v>
      </c>
      <c r="AC42" s="18">
        <v>-0.28486525846591193</v>
      </c>
      <c r="AD42" s="73">
        <v>5887389.5657019997</v>
      </c>
      <c r="AE42" s="18">
        <v>-0.71783287558584719</v>
      </c>
      <c r="AF42" s="22">
        <v>-0.33697511413522435</v>
      </c>
    </row>
    <row r="43" spans="2:32" ht="20" thickBot="1" x14ac:dyDescent="0.3">
      <c r="B43" s="7">
        <v>100000</v>
      </c>
      <c r="C43" s="74">
        <v>3708755.6779999998</v>
      </c>
      <c r="D43" s="74">
        <v>8644878.5449999999</v>
      </c>
      <c r="E43" s="19">
        <v>-0.57098811062590815</v>
      </c>
      <c r="F43" s="74">
        <v>5646293.4309999999</v>
      </c>
      <c r="G43" s="23">
        <v>-0.34315215400642896</v>
      </c>
      <c r="M43" s="7">
        <v>100000</v>
      </c>
      <c r="N43" s="120">
        <v>6575782.9539999999</v>
      </c>
      <c r="O43" s="120">
        <v>9004730.4800000004</v>
      </c>
      <c r="P43" s="19">
        <f t="shared" si="11"/>
        <v>-0.36937769129415832</v>
      </c>
      <c r="Q43" s="74">
        <v>10970279.23</v>
      </c>
      <c r="R43" s="23">
        <f t="shared" si="1"/>
        <v>-0.66828487295598182</v>
      </c>
      <c r="S43" s="174">
        <f t="shared" si="12"/>
        <v>-0.21827957587021526</v>
      </c>
      <c r="T43" s="148"/>
      <c r="U43" s="171"/>
      <c r="V43" s="169"/>
      <c r="Z43" s="7">
        <v>100000</v>
      </c>
      <c r="AA43" s="120">
        <v>7465281.105126</v>
      </c>
      <c r="AB43" s="120">
        <v>9815934.9042220004</v>
      </c>
      <c r="AC43" s="19">
        <v>-0.31487813599971942</v>
      </c>
      <c r="AD43" s="162">
        <v>11558141.320506999</v>
      </c>
      <c r="AE43" s="19">
        <v>-0.54825265890800234</v>
      </c>
      <c r="AF43" s="23">
        <v>-0.17748756825349832</v>
      </c>
    </row>
    <row r="44" spans="2:32" x14ac:dyDescent="0.2">
      <c r="T44" s="169"/>
      <c r="U44" s="169"/>
      <c r="V44" s="169"/>
    </row>
    <row r="45" spans="2:32" ht="19" x14ac:dyDescent="0.25">
      <c r="B45" s="3"/>
      <c r="C45" s="24"/>
      <c r="D45" s="24"/>
      <c r="T45" s="169"/>
      <c r="U45" s="169"/>
      <c r="V45" s="169"/>
    </row>
    <row r="46" spans="2:32" ht="20" thickBot="1" x14ac:dyDescent="0.3">
      <c r="B46" s="85">
        <v>10000</v>
      </c>
      <c r="C46" s="80" t="s">
        <v>1202</v>
      </c>
      <c r="D46" s="24"/>
      <c r="M46" s="85">
        <v>10000</v>
      </c>
      <c r="N46" s="80" t="s">
        <v>1202</v>
      </c>
      <c r="O46" s="24"/>
      <c r="T46" s="169"/>
      <c r="U46" s="169"/>
      <c r="V46" s="169"/>
    </row>
    <row r="47" spans="2:32" ht="19" x14ac:dyDescent="0.25">
      <c r="B47" s="5"/>
      <c r="C47" s="72"/>
      <c r="D47" s="87" t="s">
        <v>340</v>
      </c>
      <c r="E47" s="85" t="s">
        <v>1165</v>
      </c>
      <c r="F47" s="102"/>
      <c r="I47" s="108">
        <f>D50</f>
        <v>36067</v>
      </c>
      <c r="M47" s="5"/>
      <c r="N47" s="72"/>
      <c r="O47" s="87" t="s">
        <v>340</v>
      </c>
      <c r="P47" s="85"/>
      <c r="Q47" s="102"/>
      <c r="T47" s="169"/>
      <c r="U47" s="169"/>
      <c r="V47" s="169"/>
    </row>
    <row r="48" spans="2:32" ht="19" x14ac:dyDescent="0.25">
      <c r="B48" s="67"/>
      <c r="C48" s="73" t="s">
        <v>1152</v>
      </c>
      <c r="D48" s="88">
        <v>4816</v>
      </c>
      <c r="E48" s="24"/>
      <c r="M48" s="67"/>
      <c r="N48" s="73" t="s">
        <v>1152</v>
      </c>
      <c r="O48" s="88">
        <v>6233.058</v>
      </c>
      <c r="P48" s="24"/>
      <c r="T48" s="169"/>
      <c r="U48" s="169"/>
      <c r="V48" s="169"/>
    </row>
    <row r="49" spans="2:32" ht="20" thickBot="1" x14ac:dyDescent="0.3">
      <c r="B49" s="6"/>
      <c r="C49" s="73" t="s">
        <v>1151</v>
      </c>
      <c r="D49" s="88">
        <v>28997.777999999998</v>
      </c>
      <c r="E49" s="24"/>
      <c r="M49" s="6"/>
      <c r="N49" s="73" t="s">
        <v>1223</v>
      </c>
      <c r="O49" s="88">
        <v>47306.438999999998</v>
      </c>
      <c r="P49" s="24"/>
      <c r="T49" s="169"/>
      <c r="U49" s="169"/>
      <c r="V49" s="169"/>
    </row>
    <row r="50" spans="2:32" ht="19" x14ac:dyDescent="0.25">
      <c r="B50" s="6"/>
      <c r="C50" s="73" t="s">
        <v>1153</v>
      </c>
      <c r="D50" s="88">
        <v>36067</v>
      </c>
      <c r="E50" s="24"/>
      <c r="M50" s="6"/>
      <c r="N50" s="73" t="s">
        <v>1153</v>
      </c>
      <c r="O50" s="125">
        <v>47189.108</v>
      </c>
      <c r="P50" s="127" t="s">
        <v>1241</v>
      </c>
      <c r="T50" s="169"/>
      <c r="U50" s="169"/>
      <c r="V50" s="169"/>
    </row>
    <row r="51" spans="2:32" ht="19" x14ac:dyDescent="0.25">
      <c r="B51" s="67"/>
      <c r="C51" s="73" t="s">
        <v>1161</v>
      </c>
      <c r="D51" s="88">
        <v>70899</v>
      </c>
      <c r="E51" s="24">
        <f>I47*2</f>
        <v>72134</v>
      </c>
      <c r="F51" t="s">
        <v>1166</v>
      </c>
      <c r="M51" s="67"/>
      <c r="N51" s="73" t="s">
        <v>1161</v>
      </c>
      <c r="O51" s="125">
        <v>98673.544999999998</v>
      </c>
      <c r="P51" s="128">
        <f>O50*2</f>
        <v>94378.216</v>
      </c>
      <c r="T51" s="169"/>
      <c r="U51" s="169"/>
      <c r="V51" s="169"/>
    </row>
    <row r="52" spans="2:32" ht="19" x14ac:dyDescent="0.25">
      <c r="B52" s="67"/>
      <c r="C52" s="73" t="s">
        <v>1163</v>
      </c>
      <c r="D52" s="88">
        <v>108358</v>
      </c>
      <c r="E52" s="24">
        <f>I47*3</f>
        <v>108201</v>
      </c>
      <c r="F52" t="s">
        <v>1167</v>
      </c>
      <c r="M52" s="67"/>
      <c r="N52" s="73" t="s">
        <v>1163</v>
      </c>
      <c r="O52" s="125">
        <v>140027.057</v>
      </c>
      <c r="P52" s="128">
        <f>O50*3</f>
        <v>141567.32399999999</v>
      </c>
      <c r="T52" s="169"/>
      <c r="U52" s="169"/>
      <c r="V52" s="169"/>
    </row>
    <row r="53" spans="2:32" ht="19" x14ac:dyDescent="0.25">
      <c r="B53" s="67"/>
      <c r="C53" s="73" t="s">
        <v>1162</v>
      </c>
      <c r="D53" s="88">
        <v>178445</v>
      </c>
      <c r="E53" s="24">
        <f>I47*5</f>
        <v>180335</v>
      </c>
      <c r="F53" t="s">
        <v>1168</v>
      </c>
      <c r="M53" s="67"/>
      <c r="N53" s="73" t="s">
        <v>1162</v>
      </c>
      <c r="O53" s="125">
        <v>237744.30900000001</v>
      </c>
      <c r="P53" s="128">
        <f>O50*5</f>
        <v>235945.54</v>
      </c>
      <c r="T53" s="169"/>
      <c r="U53" s="169"/>
      <c r="V53" s="169"/>
    </row>
    <row r="54" spans="2:32" ht="20" thickBot="1" x14ac:dyDescent="0.3">
      <c r="B54" s="68"/>
      <c r="C54" s="74" t="s">
        <v>1164</v>
      </c>
      <c r="D54" s="90">
        <v>356667</v>
      </c>
      <c r="E54" s="24">
        <f>I47*10</f>
        <v>360670</v>
      </c>
      <c r="F54" t="s">
        <v>1169</v>
      </c>
      <c r="M54" s="68"/>
      <c r="N54" s="74" t="s">
        <v>1164</v>
      </c>
      <c r="O54" s="126">
        <v>462895.16800000001</v>
      </c>
      <c r="P54" s="129">
        <f>O50*10</f>
        <v>471891.08</v>
      </c>
      <c r="T54" s="169"/>
      <c r="U54" s="169"/>
      <c r="V54" s="169"/>
    </row>
    <row r="55" spans="2:32" x14ac:dyDescent="0.2">
      <c r="T55" s="169"/>
      <c r="U55" s="169"/>
      <c r="V55" s="169"/>
    </row>
    <row r="56" spans="2:32" ht="17" thickBot="1" x14ac:dyDescent="0.25">
      <c r="M56" s="108">
        <v>10000</v>
      </c>
      <c r="T56" s="169"/>
      <c r="U56" s="169"/>
      <c r="V56" s="169"/>
    </row>
    <row r="57" spans="2:32" ht="19" x14ac:dyDescent="0.25">
      <c r="B57" s="5" t="s">
        <v>627</v>
      </c>
      <c r="C57" s="72" t="s">
        <v>340</v>
      </c>
      <c r="D57" s="72" t="s">
        <v>341</v>
      </c>
      <c r="E57" s="21" t="s">
        <v>162</v>
      </c>
      <c r="F57" s="72" t="s">
        <v>342</v>
      </c>
      <c r="G57" s="21" t="s">
        <v>162</v>
      </c>
      <c r="M57" s="5" t="s">
        <v>627</v>
      </c>
      <c r="N57" s="72" t="s">
        <v>340</v>
      </c>
      <c r="O57" s="72" t="s">
        <v>341</v>
      </c>
      <c r="P57" s="17" t="s">
        <v>162</v>
      </c>
      <c r="Q57" s="72" t="s">
        <v>342</v>
      </c>
      <c r="R57" s="17" t="s">
        <v>162</v>
      </c>
      <c r="S57" s="177" t="s">
        <v>1245</v>
      </c>
      <c r="T57" s="145"/>
      <c r="U57" s="170"/>
      <c r="V57" s="144"/>
      <c r="W57" s="145"/>
      <c r="Z57" s="5" t="s">
        <v>627</v>
      </c>
      <c r="AA57" s="72" t="s">
        <v>340</v>
      </c>
      <c r="AB57" s="72" t="s">
        <v>341</v>
      </c>
      <c r="AC57" s="17" t="s">
        <v>162</v>
      </c>
      <c r="AD57" s="72" t="s">
        <v>342</v>
      </c>
      <c r="AE57" s="21" t="s">
        <v>162</v>
      </c>
      <c r="AF57" s="150" t="s">
        <v>1245</v>
      </c>
    </row>
    <row r="58" spans="2:32" ht="19" x14ac:dyDescent="0.25">
      <c r="B58" s="6">
        <v>1</v>
      </c>
      <c r="C58" s="73">
        <v>62487.462</v>
      </c>
      <c r="D58" s="73">
        <v>29117.712</v>
      </c>
      <c r="E58" s="18">
        <v>1.1460292621892818</v>
      </c>
      <c r="F58" s="73">
        <v>77425.620999999999</v>
      </c>
      <c r="G58" s="22">
        <v>-0.19293560461077863</v>
      </c>
      <c r="M58" s="6">
        <v>1</v>
      </c>
      <c r="N58" s="119">
        <v>85481.015786999997</v>
      </c>
      <c r="O58" s="119">
        <v>20222.616265000001</v>
      </c>
      <c r="P58" s="18">
        <v>0.76342564394192103</v>
      </c>
      <c r="Q58" s="73">
        <v>12366.17073</v>
      </c>
      <c r="R58" s="18">
        <v>0.85533430298940538</v>
      </c>
      <c r="S58" s="178">
        <f>(O58-Q58)/O58</f>
        <v>0.38849797830547916</v>
      </c>
      <c r="T58" s="148"/>
      <c r="U58" s="171"/>
      <c r="V58" s="146"/>
      <c r="W58" s="148"/>
      <c r="Z58" s="6">
        <v>1</v>
      </c>
      <c r="AA58" s="119">
        <v>100908.727447</v>
      </c>
      <c r="AB58" s="119">
        <v>23115.282655999999</v>
      </c>
      <c r="AC58" s="18">
        <v>0.77092880625076987</v>
      </c>
      <c r="AD58" s="73">
        <v>12788.527934</v>
      </c>
      <c r="AE58" s="22">
        <v>0.87326638381485011</v>
      </c>
      <c r="AF58" s="151">
        <v>0.44675009497751045</v>
      </c>
    </row>
    <row r="59" spans="2:32" ht="19" x14ac:dyDescent="0.25">
      <c r="B59" s="6">
        <v>2</v>
      </c>
      <c r="C59" s="73">
        <v>89917.422000000006</v>
      </c>
      <c r="D59" s="73">
        <v>115740.77899999999</v>
      </c>
      <c r="E59" s="18">
        <v>-0.22311373072752505</v>
      </c>
      <c r="F59" s="73">
        <v>65369.065999999999</v>
      </c>
      <c r="G59" s="22">
        <v>0.37553475217161592</v>
      </c>
      <c r="M59" s="6">
        <v>2</v>
      </c>
      <c r="N59" s="119">
        <v>152011.66307800001</v>
      </c>
      <c r="O59" s="119">
        <v>153331.068348</v>
      </c>
      <c r="P59" s="18">
        <v>-8.679631834058529E-3</v>
      </c>
      <c r="Q59" s="73">
        <v>67609.776241</v>
      </c>
      <c r="R59" s="18">
        <v>0.55523296783939424</v>
      </c>
      <c r="S59" s="178">
        <f t="shared" ref="S59:S66" si="13">(O59-Q59)/O59</f>
        <v>0.55906016328306707</v>
      </c>
      <c r="T59" s="148"/>
      <c r="U59" s="171"/>
      <c r="V59" s="146"/>
      <c r="W59" s="148"/>
      <c r="Z59" s="6">
        <v>2</v>
      </c>
      <c r="AA59" s="119">
        <v>175267.402673</v>
      </c>
      <c r="AB59" s="119">
        <v>196165.329214</v>
      </c>
      <c r="AC59" s="18">
        <v>-0.11923453090698037</v>
      </c>
      <c r="AD59" s="73">
        <v>79589.171715000004</v>
      </c>
      <c r="AE59" s="22">
        <v>0.54589860692184067</v>
      </c>
      <c r="AF59" s="151">
        <v>0.59427503303514528</v>
      </c>
    </row>
    <row r="60" spans="2:32" ht="19" x14ac:dyDescent="0.25">
      <c r="B60" s="67">
        <v>3</v>
      </c>
      <c r="C60" s="73">
        <v>118395.27099999999</v>
      </c>
      <c r="D60" s="73">
        <v>219521.587</v>
      </c>
      <c r="E60" s="18">
        <v>-0.46066684093350696</v>
      </c>
      <c r="F60" s="73">
        <v>134733.103</v>
      </c>
      <c r="G60" s="22">
        <v>-0.1212607120018605</v>
      </c>
      <c r="M60" s="67">
        <v>3</v>
      </c>
      <c r="N60" s="119">
        <v>216557.25807099999</v>
      </c>
      <c r="O60" s="119">
        <v>331460.72143999999</v>
      </c>
      <c r="P60" s="18">
        <v>-0.53059160608381917</v>
      </c>
      <c r="Q60" s="73">
        <v>199389.67267199999</v>
      </c>
      <c r="R60" s="18">
        <v>7.9275040476230435E-2</v>
      </c>
      <c r="S60" s="178">
        <f t="shared" si="13"/>
        <v>0.39845158181708451</v>
      </c>
      <c r="T60" s="148"/>
      <c r="U60" s="171"/>
      <c r="V60" s="146"/>
      <c r="W60" s="148"/>
      <c r="Z60" s="67">
        <v>3</v>
      </c>
      <c r="AA60" s="119">
        <v>243992.252125</v>
      </c>
      <c r="AB60" s="119">
        <v>396358.796439</v>
      </c>
      <c r="AC60" s="18">
        <v>-0.62447287972054488</v>
      </c>
      <c r="AD60" s="73">
        <v>218262.83951200001</v>
      </c>
      <c r="AE60" s="22">
        <v>0.10545176081992359</v>
      </c>
      <c r="AF60" s="151">
        <v>0.44933014866092202</v>
      </c>
    </row>
    <row r="61" spans="2:32" ht="19" x14ac:dyDescent="0.25">
      <c r="B61" s="67">
        <v>5</v>
      </c>
      <c r="C61" s="73">
        <v>173046.478</v>
      </c>
      <c r="D61" s="73">
        <v>355852.234</v>
      </c>
      <c r="E61" s="18">
        <v>-0.51371254283034795</v>
      </c>
      <c r="F61" s="73">
        <v>209967.89600000001</v>
      </c>
      <c r="G61" s="22">
        <v>-0.17584315842265719</v>
      </c>
      <c r="M61" s="67">
        <v>5</v>
      </c>
      <c r="N61" s="119">
        <v>351418.25994600001</v>
      </c>
      <c r="O61" s="119">
        <v>559437.98248999997</v>
      </c>
      <c r="P61" s="18">
        <v>-0.59194340833616588</v>
      </c>
      <c r="Q61" s="73">
        <v>312950.51773600001</v>
      </c>
      <c r="R61" s="18">
        <v>0.10946426692770907</v>
      </c>
      <c r="S61" s="178">
        <f t="shared" si="13"/>
        <v>0.44059837277567393</v>
      </c>
      <c r="T61" s="148"/>
      <c r="U61" s="171"/>
      <c r="V61" s="146"/>
      <c r="W61" s="148"/>
      <c r="Z61" s="67">
        <v>5</v>
      </c>
      <c r="AA61" s="119">
        <v>430436.276664</v>
      </c>
      <c r="AB61" s="119">
        <v>663841.06513100001</v>
      </c>
      <c r="AC61" s="18">
        <v>-0.54225166678782644</v>
      </c>
      <c r="AD61" s="73">
        <v>387406.67086800002</v>
      </c>
      <c r="AE61" s="22">
        <v>9.996742405052686E-2</v>
      </c>
      <c r="AF61" s="151">
        <v>0.41641653218372293</v>
      </c>
    </row>
    <row r="62" spans="2:32" ht="20" thickBot="1" x14ac:dyDescent="0.3">
      <c r="B62" s="7">
        <v>10</v>
      </c>
      <c r="C62" s="74">
        <v>292926.64600000001</v>
      </c>
      <c r="D62" s="74">
        <v>514403.7</v>
      </c>
      <c r="E62" s="19">
        <v>-0.4305510516351263</v>
      </c>
      <c r="F62" s="74">
        <v>337575.51899999997</v>
      </c>
      <c r="G62" s="23">
        <v>-0.13226336178720344</v>
      </c>
      <c r="M62" s="6">
        <v>10</v>
      </c>
      <c r="N62" s="119">
        <v>740275.93739700003</v>
      </c>
      <c r="O62" s="119">
        <v>1169438.818954</v>
      </c>
      <c r="P62" s="18">
        <v>-0.57973366399838244</v>
      </c>
      <c r="Q62" s="73">
        <v>645673.14057499997</v>
      </c>
      <c r="R62" s="18">
        <v>0.12779396444337734</v>
      </c>
      <c r="S62" s="178">
        <f t="shared" si="13"/>
        <v>0.44787779393836114</v>
      </c>
      <c r="T62" s="148"/>
      <c r="U62" s="171"/>
      <c r="V62" s="146"/>
      <c r="W62" s="148"/>
      <c r="Z62" s="6">
        <v>10</v>
      </c>
      <c r="AA62" s="119">
        <v>824413.67684800003</v>
      </c>
      <c r="AB62" s="119">
        <v>1310796.8150760001</v>
      </c>
      <c r="AC62" s="18">
        <v>-0.58997461091087178</v>
      </c>
      <c r="AD62" s="73">
        <v>645864.14057499997</v>
      </c>
      <c r="AE62" s="18">
        <v>0.12779396444337734</v>
      </c>
      <c r="AF62" s="151">
        <v>0.45</v>
      </c>
    </row>
    <row r="63" spans="2:32" ht="19" x14ac:dyDescent="0.25">
      <c r="B63" s="146"/>
      <c r="C63" s="146"/>
      <c r="D63" s="146"/>
      <c r="E63" s="148"/>
      <c r="F63" s="146"/>
      <c r="G63" s="148"/>
      <c r="M63" s="67">
        <v>20</v>
      </c>
      <c r="N63" s="149">
        <v>2348716.0122400001</v>
      </c>
      <c r="O63" s="119">
        <v>2183374.4343650001</v>
      </c>
      <c r="P63" s="18">
        <v>7.0396581371841377E-2</v>
      </c>
      <c r="Q63" s="73">
        <v>1278406.3109009999</v>
      </c>
      <c r="R63" s="18">
        <v>0.45569992104674772</v>
      </c>
      <c r="S63" s="178">
        <f t="shared" si="13"/>
        <v>0.4144814142825648</v>
      </c>
      <c r="T63" s="148"/>
      <c r="U63" s="171"/>
      <c r="V63" s="146"/>
      <c r="W63" s="148"/>
      <c r="Z63" s="67">
        <v>20</v>
      </c>
      <c r="AA63" s="149">
        <v>2601809.524466</v>
      </c>
      <c r="AB63" s="119">
        <v>2811449.8762849998</v>
      </c>
      <c r="AC63" s="18">
        <v>-8.0574826807134042E-2</v>
      </c>
      <c r="AD63" s="73">
        <v>1483218.223738</v>
      </c>
      <c r="AE63" s="22">
        <v>0.42992820581575114</v>
      </c>
      <c r="AF63" s="151">
        <v>0.47243654021749859</v>
      </c>
    </row>
    <row r="64" spans="2:32" ht="19" x14ac:dyDescent="0.25">
      <c r="B64" s="146"/>
      <c r="C64" s="146"/>
      <c r="D64" s="146"/>
      <c r="E64" s="148"/>
      <c r="F64" s="146"/>
      <c r="G64" s="148"/>
      <c r="M64" s="67">
        <v>30</v>
      </c>
      <c r="N64" s="119">
        <v>4322071.282315</v>
      </c>
      <c r="O64" s="119">
        <v>2937308.837634</v>
      </c>
      <c r="P64" s="18">
        <v>0.3203932453282653</v>
      </c>
      <c r="Q64" s="73">
        <v>1826101.9735059999</v>
      </c>
      <c r="R64" s="18">
        <v>0.57749378614415214</v>
      </c>
      <c r="S64" s="178">
        <f t="shared" si="13"/>
        <v>0.37830780675520537</v>
      </c>
      <c r="T64" s="148"/>
      <c r="U64" s="171"/>
      <c r="V64" s="146"/>
      <c r="W64" s="148"/>
      <c r="Z64" s="67">
        <v>30</v>
      </c>
      <c r="AA64" s="119">
        <v>5130262.2180380002</v>
      </c>
      <c r="AB64" s="119">
        <v>3694294.2495129998</v>
      </c>
      <c r="AC64" s="18">
        <v>0.27990147627856865</v>
      </c>
      <c r="AD64" s="73">
        <v>2071302.509291</v>
      </c>
      <c r="AE64" s="22">
        <v>0.59625796474724024</v>
      </c>
      <c r="AF64" s="151">
        <v>0.43932389533831817</v>
      </c>
    </row>
    <row r="65" spans="2:32" ht="19" x14ac:dyDescent="0.25">
      <c r="B65" s="146"/>
      <c r="C65" s="146"/>
      <c r="D65" s="146"/>
      <c r="E65" s="148"/>
      <c r="F65" s="146"/>
      <c r="G65" s="148"/>
      <c r="M65" s="67">
        <v>50</v>
      </c>
      <c r="N65" s="119">
        <v>7861175.7955059996</v>
      </c>
      <c r="O65" s="119">
        <v>4649120.6751359999</v>
      </c>
      <c r="P65" s="18">
        <v>0.40859728925108585</v>
      </c>
      <c r="Q65" s="73">
        <v>3224154.0567740002</v>
      </c>
      <c r="R65" s="18">
        <v>0.58986363609663151</v>
      </c>
      <c r="S65" s="178">
        <f t="shared" si="13"/>
        <v>0.3065023943092885</v>
      </c>
      <c r="T65" s="148"/>
      <c r="U65" s="171"/>
      <c r="V65" s="146"/>
      <c r="W65" s="148"/>
      <c r="Z65" s="67">
        <v>50</v>
      </c>
      <c r="AA65" s="119">
        <v>9297884.5174180008</v>
      </c>
      <c r="AB65" s="119">
        <v>6235820.8476679996</v>
      </c>
      <c r="AC65" s="18">
        <v>0.32932907093153796</v>
      </c>
      <c r="AD65" s="73">
        <v>3762281.3883170001</v>
      </c>
      <c r="AE65" s="22">
        <v>0.59536157055198868</v>
      </c>
      <c r="AF65" s="151">
        <v>0.3966662160084386</v>
      </c>
    </row>
    <row r="66" spans="2:32" ht="20" thickBot="1" x14ac:dyDescent="0.3">
      <c r="B66" s="146"/>
      <c r="C66" s="146"/>
      <c r="D66" s="146"/>
      <c r="E66" s="148"/>
      <c r="F66" s="146"/>
      <c r="G66" s="148"/>
      <c r="M66" s="68">
        <v>80</v>
      </c>
      <c r="N66" s="120">
        <v>90813135.827489004</v>
      </c>
      <c r="O66" s="120">
        <v>7211308.6830209997</v>
      </c>
      <c r="P66" s="19">
        <v>0.92059178865137103</v>
      </c>
      <c r="Q66" s="74">
        <v>4954636.7436830001</v>
      </c>
      <c r="R66" s="19">
        <v>0.9454414089048202</v>
      </c>
      <c r="S66" s="179">
        <f t="shared" si="13"/>
        <v>0.31293514652220139</v>
      </c>
      <c r="T66" s="148"/>
      <c r="U66" s="171"/>
      <c r="V66" s="146"/>
      <c r="W66" s="148"/>
      <c r="Z66" s="68">
        <v>80</v>
      </c>
      <c r="AA66" s="120">
        <v>110337404.422267</v>
      </c>
      <c r="AB66" s="120">
        <v>9389510.9492349997</v>
      </c>
      <c r="AC66" s="19">
        <v>0.91490183226260369</v>
      </c>
      <c r="AD66" s="74">
        <v>6213363.8306329995</v>
      </c>
      <c r="AE66" s="23">
        <v>0.94368760201341939</v>
      </c>
      <c r="AF66" s="152">
        <v>0.3382654470263729</v>
      </c>
    </row>
    <row r="67" spans="2:32" x14ac:dyDescent="0.2">
      <c r="T67" s="169"/>
      <c r="U67" s="169"/>
      <c r="V67" s="169"/>
    </row>
    <row r="68" spans="2:32" ht="17" thickBot="1" x14ac:dyDescent="0.25">
      <c r="M68" s="108">
        <v>10000</v>
      </c>
      <c r="T68" s="169"/>
      <c r="U68" s="169"/>
      <c r="V68" s="169"/>
    </row>
    <row r="69" spans="2:32" ht="19" x14ac:dyDescent="0.25">
      <c r="M69" s="5" t="s">
        <v>1276</v>
      </c>
      <c r="N69" s="72" t="s">
        <v>340</v>
      </c>
      <c r="O69" s="72" t="s">
        <v>341</v>
      </c>
      <c r="P69" s="17" t="s">
        <v>162</v>
      </c>
      <c r="Q69" s="72" t="s">
        <v>342</v>
      </c>
      <c r="R69" s="21" t="s">
        <v>162</v>
      </c>
      <c r="S69" s="177" t="s">
        <v>1245</v>
      </c>
      <c r="T69" s="145"/>
      <c r="U69" s="170"/>
      <c r="V69" s="169"/>
      <c r="Z69" s="5" t="s">
        <v>1276</v>
      </c>
      <c r="AA69" s="72" t="s">
        <v>340</v>
      </c>
      <c r="AB69" s="72" t="s">
        <v>341</v>
      </c>
      <c r="AC69" s="17" t="s">
        <v>162</v>
      </c>
      <c r="AD69" s="72" t="s">
        <v>342</v>
      </c>
      <c r="AE69" s="17" t="s">
        <v>162</v>
      </c>
      <c r="AF69" s="87" t="s">
        <v>1245</v>
      </c>
    </row>
    <row r="70" spans="2:32" ht="19" x14ac:dyDescent="0.25">
      <c r="M70" s="6">
        <v>1</v>
      </c>
      <c r="N70" s="119">
        <v>128274.17103100001</v>
      </c>
      <c r="O70" s="119">
        <v>8351.4269199999999</v>
      </c>
      <c r="P70" s="18">
        <v>0.93489393185802228</v>
      </c>
      <c r="Q70" s="73">
        <v>47377.497035</v>
      </c>
      <c r="R70" s="22">
        <v>0.63065442829055363</v>
      </c>
      <c r="S70" s="178">
        <f>(O70-Q70)/O70</f>
        <v>-4.6729822925876725</v>
      </c>
      <c r="T70" s="148"/>
      <c r="U70" s="171"/>
      <c r="V70" s="169"/>
      <c r="Z70" s="6">
        <v>1</v>
      </c>
      <c r="AA70" s="119">
        <v>162624.18749499999</v>
      </c>
      <c r="AB70" s="119">
        <v>11705.516651</v>
      </c>
      <c r="AC70" s="18">
        <v>0.92802105989701</v>
      </c>
      <c r="AD70" s="73">
        <v>63043.833171999999</v>
      </c>
      <c r="AE70" s="18">
        <v>0.61233421581928993</v>
      </c>
      <c r="AF70" s="22">
        <v>-4.3858223478426455</v>
      </c>
    </row>
    <row r="71" spans="2:32" ht="19" x14ac:dyDescent="0.25">
      <c r="M71" s="6">
        <v>2</v>
      </c>
      <c r="N71" s="119">
        <v>124526.03648900001</v>
      </c>
      <c r="O71" s="119">
        <v>67511.994145999997</v>
      </c>
      <c r="P71" s="18">
        <v>0.4578483660968069</v>
      </c>
      <c r="Q71" s="73">
        <v>103490.64502700001</v>
      </c>
      <c r="R71" s="22">
        <v>0.16892364083119404</v>
      </c>
      <c r="S71" s="178">
        <f t="shared" ref="S71:S78" si="14">(O71-Q71)/O71</f>
        <v>-0.5329223545551528</v>
      </c>
      <c r="T71" s="148"/>
      <c r="U71" s="171"/>
      <c r="V71" s="169"/>
      <c r="Z71" s="6">
        <v>2</v>
      </c>
      <c r="AA71" s="119">
        <v>149984.195806</v>
      </c>
      <c r="AB71" s="119">
        <v>82560.280801000001</v>
      </c>
      <c r="AC71" s="18">
        <v>0.44954013082958943</v>
      </c>
      <c r="AD71" s="73">
        <v>114011.493267</v>
      </c>
      <c r="AE71" s="18">
        <v>0.23984328712559558</v>
      </c>
      <c r="AF71" s="22">
        <v>-0.38094846772394997</v>
      </c>
    </row>
    <row r="72" spans="2:32" ht="19" x14ac:dyDescent="0.25">
      <c r="M72" s="67">
        <v>3</v>
      </c>
      <c r="N72" s="119">
        <v>178160.93530400001</v>
      </c>
      <c r="O72" s="119">
        <v>211916.081588</v>
      </c>
      <c r="P72" s="18">
        <v>-0.18946435270112846</v>
      </c>
      <c r="Q72" s="73">
        <v>303802.17407000001</v>
      </c>
      <c r="R72" s="22">
        <v>-0.70521205196647363</v>
      </c>
      <c r="S72" s="178">
        <f t="shared" si="14"/>
        <v>-0.43359660009494611</v>
      </c>
      <c r="T72" s="148"/>
      <c r="U72" s="171"/>
      <c r="V72" s="169"/>
      <c r="Z72" s="67">
        <v>3</v>
      </c>
      <c r="AA72" s="119">
        <v>218174.987119</v>
      </c>
      <c r="AB72" s="119">
        <v>271297.60645299999</v>
      </c>
      <c r="AC72" s="18">
        <v>-0.24348629526915072</v>
      </c>
      <c r="AD72" s="73">
        <v>343095.45588999998</v>
      </c>
      <c r="AE72" s="18">
        <v>-0.5725700751519428</v>
      </c>
      <c r="AF72" s="22">
        <v>-0.26464608507129739</v>
      </c>
    </row>
    <row r="73" spans="2:32" ht="19" x14ac:dyDescent="0.25">
      <c r="M73" s="67">
        <v>5</v>
      </c>
      <c r="N73" s="119">
        <v>307456.20387899998</v>
      </c>
      <c r="O73" s="119">
        <v>366771.29330600001</v>
      </c>
      <c r="P73" s="18">
        <v>-0.19292207696138602</v>
      </c>
      <c r="Q73" s="73">
        <v>484656.96153999999</v>
      </c>
      <c r="R73" s="22">
        <v>-0.5763447132481273</v>
      </c>
      <c r="S73" s="178">
        <f t="shared" si="14"/>
        <v>-0.32141465372440448</v>
      </c>
      <c r="T73" s="148"/>
      <c r="U73" s="171"/>
      <c r="V73" s="169"/>
      <c r="Z73" s="67">
        <v>5</v>
      </c>
      <c r="AA73" s="119">
        <v>358397.66694000002</v>
      </c>
      <c r="AB73" s="119">
        <v>445692.413887</v>
      </c>
      <c r="AC73" s="18">
        <v>-0.24356951788308975</v>
      </c>
      <c r="AD73" s="73">
        <v>564398.22887400002</v>
      </c>
      <c r="AE73" s="18">
        <v>-0.57478209524306667</v>
      </c>
      <c r="AF73" s="22">
        <v>-0.26634021869866614</v>
      </c>
    </row>
    <row r="74" spans="2:32" ht="19" x14ac:dyDescent="0.25">
      <c r="M74" s="6">
        <v>10</v>
      </c>
      <c r="N74" s="119">
        <v>545665.10587299999</v>
      </c>
      <c r="O74" s="119">
        <v>831001.78071199998</v>
      </c>
      <c r="P74" s="18">
        <v>-0.5229153775235359</v>
      </c>
      <c r="Q74" s="73">
        <v>955999.774553</v>
      </c>
      <c r="R74" s="22">
        <v>-0.75198993716762008</v>
      </c>
      <c r="S74" s="178">
        <f t="shared" si="14"/>
        <v>-0.15041844282680367</v>
      </c>
      <c r="T74" s="148"/>
      <c r="U74" s="171"/>
      <c r="V74" s="169"/>
      <c r="Z74" s="6">
        <v>10</v>
      </c>
      <c r="AA74" s="119">
        <v>693575.28395900002</v>
      </c>
      <c r="AB74" s="119">
        <v>1017492.931506</v>
      </c>
      <c r="AC74" s="18">
        <v>-0.46702593797466985</v>
      </c>
      <c r="AD74" s="73">
        <v>1225843.550575</v>
      </c>
      <c r="AE74" s="18">
        <v>-0.76742680848971034</v>
      </c>
      <c r="AF74" s="22">
        <v>-0.20476861569998178</v>
      </c>
    </row>
    <row r="75" spans="2:32" ht="19" x14ac:dyDescent="0.25">
      <c r="M75" s="67">
        <v>20</v>
      </c>
      <c r="N75" s="149">
        <v>1539786.2002890001</v>
      </c>
      <c r="O75" s="119">
        <v>1723340.2215539999</v>
      </c>
      <c r="P75" s="18">
        <v>-0.11920747258973285</v>
      </c>
      <c r="Q75" s="73">
        <v>1436884.556782</v>
      </c>
      <c r="R75" s="22">
        <v>6.6828526900479177E-2</v>
      </c>
      <c r="S75" s="178">
        <f t="shared" si="14"/>
        <v>0.16622119137548605</v>
      </c>
      <c r="T75" s="148"/>
      <c r="U75" s="171"/>
      <c r="V75" s="169"/>
      <c r="Z75" s="67">
        <v>20</v>
      </c>
      <c r="AA75" s="149">
        <v>1854997.5349570001</v>
      </c>
      <c r="AB75" s="119">
        <v>2100678.2710810001</v>
      </c>
      <c r="AC75" s="18">
        <v>-0.13244262134811682</v>
      </c>
      <c r="AD75" s="73">
        <v>1683471.9864660001</v>
      </c>
      <c r="AE75" s="18">
        <v>9.2466725835824909E-2</v>
      </c>
      <c r="AF75" s="22">
        <v>0.19860551249492739</v>
      </c>
    </row>
    <row r="76" spans="2:32" ht="19" x14ac:dyDescent="0.25">
      <c r="M76" s="67">
        <v>30</v>
      </c>
      <c r="N76" s="119">
        <v>3143925.2262889999</v>
      </c>
      <c r="O76" s="119">
        <v>2654564.1023630002</v>
      </c>
      <c r="P76" s="18">
        <v>0.15565291433588824</v>
      </c>
      <c r="Q76" s="73">
        <v>2302206.2693210002</v>
      </c>
      <c r="R76" s="22">
        <v>0.26772868194500316</v>
      </c>
      <c r="S76" s="178">
        <f t="shared" si="14"/>
        <v>0.13273660738813703</v>
      </c>
      <c r="T76" s="148"/>
      <c r="U76" s="171"/>
      <c r="V76" s="169"/>
      <c r="Z76" s="67">
        <v>30</v>
      </c>
      <c r="AA76" s="119">
        <v>3820332.4349580002</v>
      </c>
      <c r="AB76" s="119">
        <v>3347209.9517339999</v>
      </c>
      <c r="AC76" s="18">
        <v>0.12384327575649885</v>
      </c>
      <c r="AD76" s="73">
        <v>2688720.8166120001</v>
      </c>
      <c r="AE76" s="18">
        <v>0.2962076305169607</v>
      </c>
      <c r="AF76" s="22">
        <v>0.19672776569658376</v>
      </c>
    </row>
    <row r="77" spans="2:32" ht="19" x14ac:dyDescent="0.25">
      <c r="M77" s="67">
        <v>50</v>
      </c>
      <c r="N77" s="119">
        <v>6612544.5717970002</v>
      </c>
      <c r="O77" s="119">
        <v>6191566.6490420001</v>
      </c>
      <c r="P77" s="18">
        <v>6.3663528946255071E-2</v>
      </c>
      <c r="Q77" s="73">
        <v>4230016.9474170003</v>
      </c>
      <c r="R77" s="22">
        <v>0.36030420642329725</v>
      </c>
      <c r="S77" s="178">
        <f t="shared" si="14"/>
        <v>0.31680991464874297</v>
      </c>
      <c r="T77" s="148"/>
      <c r="U77" s="171"/>
      <c r="V77" s="169"/>
      <c r="Z77" s="67">
        <v>40</v>
      </c>
      <c r="AA77" s="119">
        <v>5693118.588672</v>
      </c>
      <c r="AB77" s="119">
        <v>5009280.9909260003</v>
      </c>
      <c r="AC77" s="18">
        <v>0.12011652086550237</v>
      </c>
      <c r="AD77" s="73">
        <v>4007397.5293040001</v>
      </c>
      <c r="AE77" s="18">
        <v>0.29609800553288984</v>
      </c>
      <c r="AF77" s="22">
        <v>0.20000544258484393</v>
      </c>
    </row>
    <row r="78" spans="2:32" ht="20" thickBot="1" x14ac:dyDescent="0.3">
      <c r="M78" s="68">
        <v>80</v>
      </c>
      <c r="N78" s="120">
        <v>101984470.91482601</v>
      </c>
      <c r="O78" s="120">
        <v>10442050.853436001</v>
      </c>
      <c r="P78" s="19">
        <v>0.89761136416389464</v>
      </c>
      <c r="Q78" s="74">
        <v>8385925.0038000001</v>
      </c>
      <c r="R78" s="23">
        <v>0.91777253018448612</v>
      </c>
      <c r="S78" s="179">
        <f t="shared" si="14"/>
        <v>0.19690823943453825</v>
      </c>
      <c r="T78" s="148"/>
      <c r="U78" s="171"/>
      <c r="V78" s="169"/>
      <c r="Z78" s="67">
        <v>50</v>
      </c>
      <c r="AA78" s="119">
        <v>7386983.2976430003</v>
      </c>
      <c r="AB78" s="119">
        <v>6020056</v>
      </c>
      <c r="AC78" s="18">
        <v>0.18504540250945906</v>
      </c>
      <c r="AD78" s="73">
        <v>5120006.3350579999</v>
      </c>
      <c r="AE78" s="18">
        <v>0.30688805852699508</v>
      </c>
      <c r="AF78" s="22">
        <v>0.14950852034300013</v>
      </c>
    </row>
    <row r="79" spans="2:32" ht="20" thickBot="1" x14ac:dyDescent="0.3">
      <c r="T79" s="169"/>
      <c r="U79" s="169"/>
      <c r="V79" s="169"/>
      <c r="Z79" s="68">
        <v>80</v>
      </c>
      <c r="AA79" s="120">
        <v>122083038.45154899</v>
      </c>
      <c r="AB79" s="120">
        <v>14142643.967401</v>
      </c>
      <c r="AC79" s="19">
        <v>0.88415553751954024</v>
      </c>
      <c r="AD79" s="74">
        <v>10047733.723540001</v>
      </c>
      <c r="AE79" s="19">
        <v>0.9176975454495454</v>
      </c>
      <c r="AF79" s="23">
        <v>0.28954347244403711</v>
      </c>
    </row>
    <row r="80" spans="2:32" ht="17" thickBot="1" x14ac:dyDescent="0.25">
      <c r="T80" s="169"/>
      <c r="U80" s="169"/>
      <c r="V80" s="169"/>
    </row>
    <row r="81" spans="13:32" ht="19" x14ac:dyDescent="0.25">
      <c r="M81" s="105" t="s">
        <v>724</v>
      </c>
      <c r="N81" s="72" t="s">
        <v>340</v>
      </c>
      <c r="O81" s="72" t="s">
        <v>341</v>
      </c>
      <c r="P81" s="21" t="s">
        <v>162</v>
      </c>
      <c r="Q81" s="72" t="s">
        <v>342</v>
      </c>
      <c r="R81" s="21" t="s">
        <v>162</v>
      </c>
      <c r="S81" s="172" t="s">
        <v>1245</v>
      </c>
      <c r="T81" s="145"/>
      <c r="U81" s="170"/>
      <c r="V81" s="169"/>
    </row>
    <row r="82" spans="13:32" ht="19" x14ac:dyDescent="0.25">
      <c r="M82" s="67">
        <v>100</v>
      </c>
      <c r="N82" s="119">
        <v>205.64500000000001</v>
      </c>
      <c r="O82" s="119">
        <v>79.043000000000006</v>
      </c>
      <c r="P82" s="18">
        <f>(N82-O82)/N82</f>
        <v>0.61563373775195118</v>
      </c>
      <c r="Q82" s="73">
        <v>667.45699999999999</v>
      </c>
      <c r="R82" s="22">
        <f>(N82-Q82)/N82</f>
        <v>-2.2456758005300395</v>
      </c>
      <c r="S82" s="173">
        <f>(O82-Q82)/O82</f>
        <v>-7.4442265602267117</v>
      </c>
      <c r="T82" s="148"/>
      <c r="U82" s="171"/>
      <c r="V82" s="169"/>
    </row>
    <row r="83" spans="13:32" ht="19" x14ac:dyDescent="0.25">
      <c r="M83" s="67">
        <v>1000</v>
      </c>
      <c r="N83" s="119">
        <v>1701.501</v>
      </c>
      <c r="O83" s="119">
        <v>765.45899999999995</v>
      </c>
      <c r="P83" s="18">
        <f t="shared" ref="P83:P86" si="15">(N83-O83)/N83</f>
        <v>0.55012721120939689</v>
      </c>
      <c r="Q83" s="73">
        <v>6075.4080000000004</v>
      </c>
      <c r="R83" s="22">
        <f t="shared" ref="R83:R86" si="16">(N83-Q83)/N83</f>
        <v>-2.5706167671955527</v>
      </c>
      <c r="S83" s="173">
        <f t="shared" ref="S83:S86" si="17">(O83-Q83)/O83</f>
        <v>-6.9369476353403652</v>
      </c>
      <c r="T83" s="148"/>
      <c r="U83" s="171"/>
      <c r="V83" s="169"/>
    </row>
    <row r="84" spans="13:32" ht="19" x14ac:dyDescent="0.25">
      <c r="M84" s="6">
        <v>10000</v>
      </c>
      <c r="N84" s="119">
        <v>32882.082999999999</v>
      </c>
      <c r="O84" s="119">
        <v>8231.1020000000008</v>
      </c>
      <c r="P84" s="18">
        <f t="shared" si="15"/>
        <v>0.74967820621339598</v>
      </c>
      <c r="Q84" s="73">
        <v>71515.706000000006</v>
      </c>
      <c r="R84" s="22">
        <f t="shared" si="16"/>
        <v>-1.1749141013968005</v>
      </c>
      <c r="S84" s="173">
        <f t="shared" si="17"/>
        <v>-7.6884728193138656</v>
      </c>
      <c r="T84" s="148"/>
      <c r="U84" s="171"/>
      <c r="V84" s="169"/>
    </row>
    <row r="85" spans="13:32" ht="19" x14ac:dyDescent="0.25">
      <c r="M85" s="6">
        <v>50000</v>
      </c>
      <c r="N85" s="119">
        <v>221271.663</v>
      </c>
      <c r="O85" s="119">
        <v>49906.853000000003</v>
      </c>
      <c r="P85" s="18">
        <f t="shared" si="15"/>
        <v>0.77445438641639353</v>
      </c>
      <c r="Q85" s="73">
        <v>382512.924</v>
      </c>
      <c r="R85" s="22">
        <f t="shared" si="16"/>
        <v>-0.7287027123757821</v>
      </c>
      <c r="S85" s="173">
        <f t="shared" si="17"/>
        <v>-6.6645370526568763</v>
      </c>
      <c r="T85" s="148"/>
      <c r="U85" s="171"/>
      <c r="V85" s="169"/>
    </row>
    <row r="86" spans="13:32" ht="20" thickBot="1" x14ac:dyDescent="0.3">
      <c r="M86" s="7">
        <v>100000</v>
      </c>
      <c r="N86" s="120">
        <v>223383.40299999999</v>
      </c>
      <c r="O86" s="120">
        <v>136031.89499999999</v>
      </c>
      <c r="P86" s="18">
        <f t="shared" si="15"/>
        <v>0.39103848731322266</v>
      </c>
      <c r="Q86" s="74">
        <v>110057.788</v>
      </c>
      <c r="R86" s="22">
        <f t="shared" si="16"/>
        <v>0.50731439076519036</v>
      </c>
      <c r="S86" s="174">
        <f t="shared" si="17"/>
        <v>0.19094130093534309</v>
      </c>
      <c r="T86" s="148"/>
      <c r="U86" s="171"/>
      <c r="V86" s="169"/>
    </row>
    <row r="87" spans="13:32" ht="20" thickBot="1" x14ac:dyDescent="0.3">
      <c r="M87" s="3"/>
      <c r="N87" s="118"/>
      <c r="O87" s="118"/>
      <c r="P87" s="16"/>
      <c r="Q87" s="24"/>
      <c r="R87" s="16"/>
      <c r="S87" s="16"/>
      <c r="T87" s="148"/>
      <c r="U87" s="169"/>
      <c r="V87" s="169"/>
    </row>
    <row r="88" spans="13:32" ht="19" x14ac:dyDescent="0.25">
      <c r="M88" s="105" t="s">
        <v>740</v>
      </c>
      <c r="N88" s="72" t="s">
        <v>340</v>
      </c>
      <c r="O88" s="72" t="s">
        <v>341</v>
      </c>
      <c r="P88" s="17" t="s">
        <v>162</v>
      </c>
      <c r="Q88" s="72" t="s">
        <v>342</v>
      </c>
      <c r="R88" s="21" t="s">
        <v>162</v>
      </c>
      <c r="S88" s="172" t="s">
        <v>1245</v>
      </c>
      <c r="T88" s="145"/>
      <c r="U88" s="170"/>
      <c r="V88" s="169"/>
      <c r="Z88" s="5" t="s">
        <v>740</v>
      </c>
      <c r="AA88" s="72" t="s">
        <v>340</v>
      </c>
      <c r="AB88" s="72" t="s">
        <v>341</v>
      </c>
      <c r="AC88" s="17" t="s">
        <v>162</v>
      </c>
      <c r="AD88" s="72" t="s">
        <v>342</v>
      </c>
      <c r="AE88" s="21" t="s">
        <v>162</v>
      </c>
      <c r="AF88" s="150" t="s">
        <v>1245</v>
      </c>
    </row>
    <row r="89" spans="13:32" ht="19" x14ac:dyDescent="0.25">
      <c r="M89" s="67">
        <v>100</v>
      </c>
      <c r="N89" s="119">
        <v>414.01799999999997</v>
      </c>
      <c r="O89" s="119">
        <v>109.297</v>
      </c>
      <c r="P89" s="18">
        <f>(N89-O89)/N89</f>
        <v>0.73600906240791464</v>
      </c>
      <c r="Q89" s="73">
        <v>690.83699999999999</v>
      </c>
      <c r="R89" s="22">
        <f>(N89-Q89)/N89</f>
        <v>-0.66861585728156758</v>
      </c>
      <c r="S89" s="173">
        <f>(O89-Q89)/O89</f>
        <v>-5.3207315845814609</v>
      </c>
      <c r="T89" s="148"/>
      <c r="U89" s="171"/>
      <c r="V89" s="169"/>
      <c r="Z89" s="6">
        <v>100</v>
      </c>
      <c r="AA89" s="119">
        <v>823.05060700000001</v>
      </c>
      <c r="AB89" s="119">
        <v>265.43099599999999</v>
      </c>
      <c r="AC89" s="18">
        <v>0.67750343205809704</v>
      </c>
      <c r="AD89" s="73">
        <v>200.54138800000001</v>
      </c>
      <c r="AE89" s="22">
        <v>0.75634379430085275</v>
      </c>
      <c r="AF89" s="151">
        <v>0.24446884115975659</v>
      </c>
    </row>
    <row r="90" spans="13:32" ht="19" x14ac:dyDescent="0.25">
      <c r="M90" s="67">
        <v>1000</v>
      </c>
      <c r="N90" s="119">
        <v>4691.6109999999999</v>
      </c>
      <c r="O90" s="119">
        <v>1040.789</v>
      </c>
      <c r="P90" s="18">
        <f t="shared" ref="P90:P93" si="18">(N90-O90)/N90</f>
        <v>0.77815957034801053</v>
      </c>
      <c r="Q90" s="73">
        <v>6705.17</v>
      </c>
      <c r="R90" s="22">
        <f t="shared" ref="R90:R93" si="19">(N90-Q90)/N90</f>
        <v>-0.42918285424772007</v>
      </c>
      <c r="S90" s="173">
        <f t="shared" ref="S90:S93" si="20">(O90-Q90)/O90</f>
        <v>-5.4423913012147516</v>
      </c>
      <c r="T90" s="148"/>
      <c r="U90" s="171"/>
      <c r="V90" s="169"/>
      <c r="Z90" s="6">
        <v>1000</v>
      </c>
      <c r="AA90" s="119">
        <v>7627.6982079999998</v>
      </c>
      <c r="AB90" s="119">
        <v>2360.1149839999998</v>
      </c>
      <c r="AC90" s="18">
        <v>0.69058621360704997</v>
      </c>
      <c r="AD90" s="73">
        <v>1602.7364809999999</v>
      </c>
      <c r="AE90" s="22">
        <v>0.7898794056483468</v>
      </c>
      <c r="AF90" s="151">
        <v>0.3209074592274187</v>
      </c>
    </row>
    <row r="91" spans="13:32" ht="19" x14ac:dyDescent="0.25">
      <c r="M91" s="6">
        <v>10000</v>
      </c>
      <c r="N91" s="119">
        <v>60653.906999999999</v>
      </c>
      <c r="O91" s="119">
        <v>12404.655000000001</v>
      </c>
      <c r="P91" s="18">
        <f t="shared" si="18"/>
        <v>0.79548465031279847</v>
      </c>
      <c r="Q91" s="73">
        <v>74355.297000000006</v>
      </c>
      <c r="R91" s="22">
        <f t="shared" si="19"/>
        <v>-0.22589459900744741</v>
      </c>
      <c r="S91" s="173">
        <f t="shared" si="20"/>
        <v>-4.9941446980992223</v>
      </c>
      <c r="T91" s="148"/>
      <c r="U91" s="171"/>
      <c r="V91" s="169"/>
      <c r="Z91" s="6">
        <v>10000</v>
      </c>
      <c r="AA91" s="119">
        <v>117983.01317599999</v>
      </c>
      <c r="AB91" s="119">
        <v>28954.299891999999</v>
      </c>
      <c r="AC91" s="18">
        <v>0.75458924880306533</v>
      </c>
      <c r="AD91" s="73">
        <v>15645.82481</v>
      </c>
      <c r="AE91" s="22">
        <v>0.86738917418001094</v>
      </c>
      <c r="AF91" s="151">
        <v>0.4596372604981237</v>
      </c>
    </row>
    <row r="92" spans="13:32" ht="19" x14ac:dyDescent="0.25">
      <c r="M92" s="6">
        <v>50000</v>
      </c>
      <c r="N92" s="119">
        <v>321323.565</v>
      </c>
      <c r="O92" s="119">
        <v>76745.45</v>
      </c>
      <c r="P92" s="18">
        <f t="shared" si="18"/>
        <v>0.76115835139573407</v>
      </c>
      <c r="Q92" s="73">
        <v>40192.048999999999</v>
      </c>
      <c r="R92" s="22">
        <f t="shared" si="19"/>
        <v>0.87491720689704167</v>
      </c>
      <c r="S92" s="173">
        <f t="shared" si="20"/>
        <v>0.47629404739955267</v>
      </c>
      <c r="T92" s="148"/>
      <c r="U92" s="171"/>
      <c r="V92" s="169"/>
      <c r="Z92" s="6">
        <v>50000</v>
      </c>
      <c r="AA92" s="119">
        <v>613271.27706200001</v>
      </c>
      <c r="AB92" s="119">
        <v>172110.33684900001</v>
      </c>
      <c r="AC92" s="18">
        <v>0.71935692525250916</v>
      </c>
      <c r="AD92" s="73">
        <v>117460.3766</v>
      </c>
      <c r="AE92" s="22">
        <v>0.80846913756874828</v>
      </c>
      <c r="AF92" s="151">
        <v>0.31752863453487301</v>
      </c>
    </row>
    <row r="93" spans="13:32" ht="20" thickBot="1" x14ac:dyDescent="0.3">
      <c r="M93" s="7">
        <v>100000</v>
      </c>
      <c r="N93" s="120">
        <v>771338.09900000005</v>
      </c>
      <c r="O93" s="120">
        <v>199911.63800000001</v>
      </c>
      <c r="P93" s="19">
        <f t="shared" si="18"/>
        <v>0.74082488825694581</v>
      </c>
      <c r="Q93" s="74">
        <v>129927.893</v>
      </c>
      <c r="R93" s="23">
        <f t="shared" si="19"/>
        <v>0.83155519846816228</v>
      </c>
      <c r="S93" s="174">
        <f t="shared" si="20"/>
        <v>0.35007339092484452</v>
      </c>
      <c r="T93" s="148"/>
      <c r="U93" s="171"/>
      <c r="V93" s="169"/>
      <c r="Z93" s="7">
        <v>100000</v>
      </c>
      <c r="AA93" s="120">
        <v>1310672.8295239999</v>
      </c>
      <c r="AB93" s="120">
        <v>457444.25385500002</v>
      </c>
      <c r="AC93" s="19">
        <v>0.65098517070722284</v>
      </c>
      <c r="AD93" s="162">
        <v>212784.43001400001</v>
      </c>
      <c r="AE93" s="23">
        <v>0.83765252073526431</v>
      </c>
      <c r="AF93" s="152">
        <v>0.53484074131260573</v>
      </c>
    </row>
    <row r="94" spans="13:32" ht="19" x14ac:dyDescent="0.25">
      <c r="M94" s="3"/>
      <c r="N94" s="118"/>
      <c r="O94" s="118"/>
      <c r="Q94" s="24"/>
      <c r="T94" s="169"/>
      <c r="U94" s="169"/>
      <c r="V94" s="169"/>
    </row>
    <row r="95" spans="13:32" ht="20" thickBot="1" x14ac:dyDescent="0.3">
      <c r="Q95" s="24"/>
      <c r="T95" s="169"/>
      <c r="U95" s="169"/>
      <c r="V95" s="169"/>
      <c r="Z95" s="169"/>
      <c r="AA95" s="169"/>
      <c r="AB95" s="169"/>
    </row>
    <row r="96" spans="13:32" ht="19" x14ac:dyDescent="0.25">
      <c r="M96" s="106" t="s">
        <v>786</v>
      </c>
      <c r="N96" s="72" t="s">
        <v>344</v>
      </c>
      <c r="O96" s="72" t="s">
        <v>341</v>
      </c>
      <c r="P96" s="21" t="s">
        <v>162</v>
      </c>
      <c r="Q96" s="72" t="s">
        <v>343</v>
      </c>
      <c r="R96" s="21" t="s">
        <v>162</v>
      </c>
      <c r="S96" s="155" t="s">
        <v>1685</v>
      </c>
      <c r="T96" s="166" t="s">
        <v>162</v>
      </c>
      <c r="U96" s="166" t="s">
        <v>1245</v>
      </c>
      <c r="V96" s="167" t="s">
        <v>1684</v>
      </c>
      <c r="W96" s="145"/>
      <c r="Z96" s="169"/>
      <c r="AA96" s="169"/>
      <c r="AB96" s="169"/>
    </row>
    <row r="97" spans="13:35" ht="19" x14ac:dyDescent="0.25">
      <c r="M97" s="67">
        <v>100</v>
      </c>
      <c r="N97" s="119">
        <v>448.72199999999998</v>
      </c>
      <c r="O97" s="119">
        <v>794.78300000000002</v>
      </c>
      <c r="P97" s="18">
        <f>(N97-O97)/N97</f>
        <v>-0.77121469417590416</v>
      </c>
      <c r="Q97" s="73">
        <v>656.61699999999996</v>
      </c>
      <c r="R97" s="18">
        <f>(N97-Q97)/N97</f>
        <v>-0.46330467416351323</v>
      </c>
      <c r="S97" s="125">
        <v>861.49400000000003</v>
      </c>
      <c r="T97" s="18">
        <f>(N97-S97)/N97</f>
        <v>-0.91988358047967356</v>
      </c>
      <c r="U97" s="18">
        <f>(O97-S97)/O97</f>
        <v>-8.3936118412195546E-2</v>
      </c>
      <c r="V97" s="22">
        <f>(Q97-S97)/Q97</f>
        <v>-0.31201903088101601</v>
      </c>
      <c r="W97" s="148"/>
      <c r="Z97" s="169"/>
      <c r="AA97" s="146"/>
      <c r="AB97" s="169"/>
    </row>
    <row r="98" spans="13:35" ht="19" x14ac:dyDescent="0.25">
      <c r="M98" s="67">
        <v>1000</v>
      </c>
      <c r="N98" s="119">
        <v>8562.848</v>
      </c>
      <c r="O98" s="119">
        <v>7478.0020000000004</v>
      </c>
      <c r="P98" s="18">
        <f t="shared" ref="P98:P101" si="21">(N98-O98)/N98</f>
        <v>0.12669219399900589</v>
      </c>
      <c r="Q98" s="73">
        <v>6954.57</v>
      </c>
      <c r="R98" s="18">
        <f t="shared" ref="R98:R101" si="22">(N98-Q98)/N98</f>
        <v>0.18782045412928039</v>
      </c>
      <c r="S98" s="125">
        <v>9308.4470000000001</v>
      </c>
      <c r="T98" s="18">
        <f t="shared" ref="T98:T101" si="23">(N98-S98)/N98</f>
        <v>-8.707371659522628E-2</v>
      </c>
      <c r="U98" s="18">
        <f t="shared" ref="U98:U101" si="24">(O98-S98)/O98</f>
        <v>-0.24477728141821833</v>
      </c>
      <c r="V98" s="22">
        <f t="shared" ref="V98:V101" si="25">(Q98-S98)/Q98</f>
        <v>-0.33846477927463531</v>
      </c>
      <c r="W98" s="148"/>
      <c r="Z98" s="169"/>
      <c r="AA98" s="146"/>
      <c r="AB98" s="169"/>
    </row>
    <row r="99" spans="13:35" ht="19" x14ac:dyDescent="0.25">
      <c r="M99" s="6">
        <v>10000</v>
      </c>
      <c r="N99" s="119">
        <v>122070.649</v>
      </c>
      <c r="O99" s="119">
        <v>94907.523000000001</v>
      </c>
      <c r="P99" s="18">
        <f t="shared" si="21"/>
        <v>0.22251971479237406</v>
      </c>
      <c r="Q99" s="73">
        <v>92541.313999999998</v>
      </c>
      <c r="R99" s="18">
        <f t="shared" si="22"/>
        <v>0.24190364548647567</v>
      </c>
      <c r="S99" s="125">
        <v>113572.67</v>
      </c>
      <c r="T99" s="18">
        <f t="shared" si="23"/>
        <v>6.9615252066039288E-2</v>
      </c>
      <c r="U99" s="18">
        <f t="shared" si="24"/>
        <v>-0.19666667520129039</v>
      </c>
      <c r="V99" s="22">
        <f t="shared" si="25"/>
        <v>-0.22726450588328581</v>
      </c>
      <c r="W99" s="148"/>
      <c r="Z99" s="169"/>
      <c r="AA99" s="146"/>
      <c r="AB99" s="169"/>
    </row>
    <row r="100" spans="13:35" ht="19" x14ac:dyDescent="0.25">
      <c r="M100" s="6">
        <v>50000</v>
      </c>
      <c r="N100" s="119">
        <v>674168.61300000001</v>
      </c>
      <c r="O100" s="119">
        <v>663993.71900000004</v>
      </c>
      <c r="P100" s="18">
        <f t="shared" si="21"/>
        <v>1.5092506242203197E-2</v>
      </c>
      <c r="Q100" s="73">
        <v>570093.853</v>
      </c>
      <c r="R100" s="18">
        <f t="shared" si="22"/>
        <v>0.15437497087987395</v>
      </c>
      <c r="S100" s="125">
        <v>631569.02300000004</v>
      </c>
      <c r="T100" s="18">
        <f t="shared" si="23"/>
        <v>6.3188331789038613E-2</v>
      </c>
      <c r="U100" s="18">
        <f t="shared" si="24"/>
        <v>4.8832835420239862E-2</v>
      </c>
      <c r="V100" s="22">
        <f t="shared" si="25"/>
        <v>-0.10783342019300819</v>
      </c>
      <c r="W100" s="148"/>
      <c r="Z100" s="169"/>
      <c r="AA100" s="146"/>
      <c r="AB100" s="169"/>
    </row>
    <row r="101" spans="13:35" ht="20" thickBot="1" x14ac:dyDescent="0.3">
      <c r="M101" s="7">
        <v>100000</v>
      </c>
      <c r="N101" s="120">
        <v>1903464.601</v>
      </c>
      <c r="O101" s="120">
        <v>2036880.6640000001</v>
      </c>
      <c r="P101" s="19">
        <f t="shared" si="21"/>
        <v>-7.0091171083459552E-2</v>
      </c>
      <c r="Q101" s="74">
        <v>1779496.6980000001</v>
      </c>
      <c r="R101" s="19">
        <f t="shared" si="22"/>
        <v>6.5127506408510269E-2</v>
      </c>
      <c r="S101" s="126">
        <v>2247821.1680000001</v>
      </c>
      <c r="T101" s="19">
        <f t="shared" si="23"/>
        <v>-0.18091041294862517</v>
      </c>
      <c r="U101" s="19">
        <f t="shared" si="24"/>
        <v>-0.10356056087535227</v>
      </c>
      <c r="V101" s="23">
        <f t="shared" si="25"/>
        <v>-0.2631780494599153</v>
      </c>
      <c r="W101" s="148"/>
      <c r="Z101" s="169"/>
      <c r="AA101" s="146"/>
      <c r="AB101" s="169"/>
    </row>
    <row r="102" spans="13:35" ht="20" thickBot="1" x14ac:dyDescent="0.3">
      <c r="M102" s="3"/>
      <c r="N102" s="118"/>
      <c r="O102" s="118"/>
      <c r="P102" s="16"/>
      <c r="Q102" s="24"/>
      <c r="R102" s="16"/>
      <c r="S102" s="16"/>
      <c r="T102" s="148"/>
      <c r="U102" s="169"/>
      <c r="V102" s="169"/>
      <c r="Z102" s="169"/>
      <c r="AA102" s="169"/>
      <c r="AB102" s="169"/>
    </row>
    <row r="103" spans="13:35" ht="19" x14ac:dyDescent="0.25">
      <c r="M103" s="106" t="s">
        <v>807</v>
      </c>
      <c r="N103" s="72" t="s">
        <v>344</v>
      </c>
      <c r="O103" s="72" t="s">
        <v>341</v>
      </c>
      <c r="P103" s="17" t="s">
        <v>162</v>
      </c>
      <c r="Q103" s="72" t="s">
        <v>343</v>
      </c>
      <c r="R103" s="17" t="s">
        <v>162</v>
      </c>
      <c r="S103" s="155" t="s">
        <v>1685</v>
      </c>
      <c r="T103" s="166" t="s">
        <v>162</v>
      </c>
      <c r="U103" s="166" t="s">
        <v>1245</v>
      </c>
      <c r="V103" s="167" t="s">
        <v>1684</v>
      </c>
      <c r="W103" s="145"/>
      <c r="Z103" s="106" t="s">
        <v>807</v>
      </c>
      <c r="AA103" s="72" t="s">
        <v>344</v>
      </c>
      <c r="AB103" s="72" t="s">
        <v>341</v>
      </c>
      <c r="AC103" s="17" t="s">
        <v>162</v>
      </c>
      <c r="AD103" s="72" t="s">
        <v>343</v>
      </c>
      <c r="AE103" s="17" t="s">
        <v>162</v>
      </c>
      <c r="AF103" s="72" t="s">
        <v>342</v>
      </c>
      <c r="AG103" s="17" t="s">
        <v>162</v>
      </c>
      <c r="AH103" s="180" t="s">
        <v>1245</v>
      </c>
      <c r="AI103" s="182" t="s">
        <v>1684</v>
      </c>
    </row>
    <row r="104" spans="13:35" ht="19" x14ac:dyDescent="0.25">
      <c r="M104" s="67">
        <v>100</v>
      </c>
      <c r="N104" s="119">
        <v>1379.5160000000001</v>
      </c>
      <c r="O104" s="119">
        <v>1511.0650000000001</v>
      </c>
      <c r="P104" s="18">
        <f>(N104-O104)/N104</f>
        <v>-9.5358807001876003E-2</v>
      </c>
      <c r="Q104" s="73">
        <v>1139.154</v>
      </c>
      <c r="R104" s="53">
        <f>(N104-Q104)/N104</f>
        <v>0.17423647134212294</v>
      </c>
      <c r="S104" s="175">
        <v>1398.7940000000001</v>
      </c>
      <c r="T104" s="18">
        <f>(N104-S104)/N104</f>
        <v>-1.3974466407058721E-2</v>
      </c>
      <c r="U104" s="18">
        <f>(O104-S104)/O104</f>
        <v>7.4299252513955361E-2</v>
      </c>
      <c r="V104" s="22">
        <f>(Q104-S104)/Q104</f>
        <v>-0.22792352921554074</v>
      </c>
      <c r="W104" s="148"/>
      <c r="Z104" s="6">
        <v>100</v>
      </c>
      <c r="AA104" s="119">
        <v>2298.714485</v>
      </c>
      <c r="AB104" s="119">
        <v>2941.4423299999999</v>
      </c>
      <c r="AC104" s="18">
        <v>-0.27960316480974362</v>
      </c>
      <c r="AD104" s="73">
        <v>1883.233604</v>
      </c>
      <c r="AE104" s="18">
        <v>0.18074488315585654</v>
      </c>
      <c r="AF104" s="73">
        <v>2376.3783210000001</v>
      </c>
      <c r="AG104" s="18">
        <v>-3.378576874456863E-2</v>
      </c>
      <c r="AH104" s="18">
        <v>0.19210439832080603</v>
      </c>
      <c r="AI104" s="181">
        <f>(AD104-AF104)/AD104</f>
        <v>-0.26186061885926293</v>
      </c>
    </row>
    <row r="105" spans="13:35" ht="19" x14ac:dyDescent="0.25">
      <c r="M105" s="67">
        <v>1000</v>
      </c>
      <c r="N105" s="119">
        <v>17078.451000000001</v>
      </c>
      <c r="O105" s="119">
        <v>20810.183000000001</v>
      </c>
      <c r="P105" s="18">
        <f t="shared" ref="P105:P107" si="26">(N105-O105)/N105</f>
        <v>-0.2185052965283561</v>
      </c>
      <c r="Q105" s="73">
        <v>16820.022000000001</v>
      </c>
      <c r="R105" s="53">
        <f t="shared" ref="R105:R107" si="27">(N105-Q105)/N105</f>
        <v>1.5131875835812046E-2</v>
      </c>
      <c r="S105" s="175">
        <v>16532.035</v>
      </c>
      <c r="T105" s="18">
        <f t="shared" ref="T105:T108" si="28">(N105-S105)/N105</f>
        <v>3.19944706929218E-2</v>
      </c>
      <c r="U105" s="18">
        <f t="shared" ref="U105:U108" si="29">(O105-S105)/O105</f>
        <v>0.20557954728221278</v>
      </c>
      <c r="V105" s="22">
        <f t="shared" ref="V105:V108" si="30">(Q105-S105)/Q105</f>
        <v>1.7121677962133521E-2</v>
      </c>
      <c r="W105" s="148"/>
      <c r="Z105" s="6">
        <v>1000</v>
      </c>
      <c r="AA105" s="119">
        <v>28368.574508999998</v>
      </c>
      <c r="AB105" s="119">
        <v>35777.868220999997</v>
      </c>
      <c r="AC105" s="18">
        <v>-0.2611796271134238</v>
      </c>
      <c r="AD105" s="73">
        <v>22528.526137000001</v>
      </c>
      <c r="AE105" s="18">
        <v>0.20586330025667057</v>
      </c>
      <c r="AF105" s="73">
        <v>28582.360616000002</v>
      </c>
      <c r="AG105" s="18">
        <v>-7.5360186650259564E-3</v>
      </c>
      <c r="AH105" s="18">
        <v>0.20111616378464262</v>
      </c>
      <c r="AI105" s="181">
        <f t="shared" ref="AI105:AI108" si="31">(AD105-AF105)/AD105</f>
        <v>-0.26871862110222167</v>
      </c>
    </row>
    <row r="106" spans="13:35" ht="19" x14ac:dyDescent="0.25">
      <c r="M106" s="6">
        <v>10000</v>
      </c>
      <c r="N106" s="119">
        <v>249207.96299999999</v>
      </c>
      <c r="O106" s="119">
        <v>230799.71299999999</v>
      </c>
      <c r="P106" s="18">
        <f t="shared" si="26"/>
        <v>7.3867021656928364E-2</v>
      </c>
      <c r="Q106" s="73">
        <v>199196.06099999999</v>
      </c>
      <c r="R106" s="53">
        <f t="shared" si="27"/>
        <v>0.20068340272096363</v>
      </c>
      <c r="S106" s="175">
        <v>200915.34400000001</v>
      </c>
      <c r="T106" s="18">
        <f t="shared" si="28"/>
        <v>0.1937844137027033</v>
      </c>
      <c r="U106" s="18">
        <f t="shared" si="29"/>
        <v>0.12948182912168515</v>
      </c>
      <c r="V106" s="22">
        <f t="shared" si="30"/>
        <v>-8.631109427409937E-3</v>
      </c>
      <c r="W106" s="148"/>
      <c r="Z106" s="6">
        <v>10000</v>
      </c>
      <c r="AA106" s="119">
        <v>411707.90653799998</v>
      </c>
      <c r="AB106" s="119">
        <v>444347.951757</v>
      </c>
      <c r="AC106" s="18">
        <v>-7.9279617176813671E-2</v>
      </c>
      <c r="AD106" s="73">
        <v>397247.83571100002</v>
      </c>
      <c r="AE106" s="18">
        <v>3.5122159660699447E-2</v>
      </c>
      <c r="AF106" s="73">
        <v>439875.78599900001</v>
      </c>
      <c r="AG106" s="18">
        <v>-6.8417144809921657E-2</v>
      </c>
      <c r="AH106" s="18">
        <v>1.0064558057073425E-2</v>
      </c>
      <c r="AI106" s="181">
        <f t="shared" si="31"/>
        <v>-0.10730820021134629</v>
      </c>
    </row>
    <row r="107" spans="13:35" ht="20" thickBot="1" x14ac:dyDescent="0.3">
      <c r="M107" s="6">
        <v>50000</v>
      </c>
      <c r="N107" s="119">
        <v>1552096.5460000001</v>
      </c>
      <c r="O107" s="119">
        <v>1600528.652</v>
      </c>
      <c r="P107" s="18">
        <f t="shared" si="26"/>
        <v>-3.120431272449975E-2</v>
      </c>
      <c r="Q107" s="73">
        <v>1446699.831</v>
      </c>
      <c r="R107" s="18">
        <f t="shared" si="27"/>
        <v>6.7906030247682853E-2</v>
      </c>
      <c r="S107" s="176">
        <v>1439354.656</v>
      </c>
      <c r="T107" s="18">
        <f t="shared" si="28"/>
        <v>7.2638451706212429E-2</v>
      </c>
      <c r="U107" s="18">
        <f t="shared" si="29"/>
        <v>0.10070047530770479</v>
      </c>
      <c r="V107" s="22">
        <f t="shared" si="30"/>
        <v>5.0771935149275943E-3</v>
      </c>
      <c r="W107" s="148"/>
      <c r="Z107" s="6">
        <v>50000</v>
      </c>
      <c r="AA107" s="119">
        <v>2699057.2975989999</v>
      </c>
      <c r="AB107" s="119">
        <v>3202342.7447879999</v>
      </c>
      <c r="AC107" s="18">
        <v>-0.18646712229366436</v>
      </c>
      <c r="AD107" s="73">
        <v>2786636.6792020001</v>
      </c>
      <c r="AE107" s="18">
        <v>-3.2448137236993156E-2</v>
      </c>
      <c r="AF107" s="73">
        <v>3143350.41481</v>
      </c>
      <c r="AG107" s="18">
        <v>-0.16461047996507144</v>
      </c>
      <c r="AH107" s="18">
        <v>1.8421616509979567E-2</v>
      </c>
      <c r="AI107" s="181">
        <f t="shared" si="31"/>
        <v>-0.12800869889868483</v>
      </c>
    </row>
    <row r="108" spans="13:35" ht="20" thickBot="1" x14ac:dyDescent="0.3">
      <c r="M108" s="7">
        <v>100000</v>
      </c>
      <c r="N108" s="120">
        <v>8603660.4810000006</v>
      </c>
      <c r="O108" s="120">
        <v>9392896.1079999991</v>
      </c>
      <c r="P108" s="19">
        <f>(N108-O108)/N108</f>
        <v>-9.1732539741998964E-2</v>
      </c>
      <c r="Q108" s="74">
        <v>7774933.9369999999</v>
      </c>
      <c r="R108" s="19">
        <f>(N108-Q108)/N108</f>
        <v>9.632255315398941E-2</v>
      </c>
      <c r="S108" s="176">
        <v>8948828.8910000008</v>
      </c>
      <c r="T108" s="19">
        <f t="shared" si="28"/>
        <v>-4.0118785575309145E-2</v>
      </c>
      <c r="U108" s="19">
        <f t="shared" si="29"/>
        <v>4.7276922037047017E-2</v>
      </c>
      <c r="V108" s="23">
        <f t="shared" si="30"/>
        <v>-0.15098455671932751</v>
      </c>
      <c r="W108" s="148"/>
      <c r="Z108" s="7">
        <v>100000</v>
      </c>
      <c r="AA108" s="120">
        <v>11359292.188517001</v>
      </c>
      <c r="AB108" s="120">
        <v>9025369.3103989996</v>
      </c>
      <c r="AC108" s="19">
        <v>0.20546375948294923</v>
      </c>
      <c r="AD108" s="74">
        <v>6507303.2920890003</v>
      </c>
      <c r="AE108" s="19">
        <v>0.42713831248507095</v>
      </c>
      <c r="AF108" s="74">
        <v>7134283.8866280001</v>
      </c>
      <c r="AG108" s="19">
        <v>0.37194291966184484</v>
      </c>
      <c r="AH108" s="19">
        <v>0.20952997697192263</v>
      </c>
      <c r="AI108" s="181">
        <f t="shared" si="31"/>
        <v>-9.635029541365113E-2</v>
      </c>
    </row>
    <row r="109" spans="13:35" ht="19" x14ac:dyDescent="0.25">
      <c r="M109" s="3"/>
      <c r="N109" s="118"/>
      <c r="O109" s="118"/>
      <c r="Q109" s="24"/>
      <c r="T109" s="169"/>
      <c r="U109" s="169"/>
      <c r="V109" s="169"/>
    </row>
    <row r="110" spans="13:35" ht="17" thickBot="1" x14ac:dyDescent="0.25">
      <c r="T110" s="169"/>
      <c r="U110" s="169"/>
      <c r="V110" s="169"/>
    </row>
    <row r="111" spans="13:35" ht="19" x14ac:dyDescent="0.25">
      <c r="M111" s="105" t="s">
        <v>1012</v>
      </c>
      <c r="N111" s="72" t="s">
        <v>340</v>
      </c>
      <c r="O111" s="72" t="s">
        <v>341</v>
      </c>
      <c r="P111" s="21" t="s">
        <v>162</v>
      </c>
      <c r="Q111" s="72" t="s">
        <v>342</v>
      </c>
      <c r="R111" s="21" t="s">
        <v>162</v>
      </c>
      <c r="S111" s="172" t="s">
        <v>1245</v>
      </c>
      <c r="T111" s="145"/>
      <c r="U111" s="170"/>
      <c r="V111" s="169"/>
    </row>
    <row r="112" spans="13:35" ht="19" x14ac:dyDescent="0.25">
      <c r="M112" s="67">
        <v>100</v>
      </c>
      <c r="N112" s="119">
        <v>767.39300000000003</v>
      </c>
      <c r="O112" s="119">
        <v>607.15099999999995</v>
      </c>
      <c r="P112" s="18">
        <f>(N112-O112)/N112</f>
        <v>0.2088134762761715</v>
      </c>
      <c r="Q112" s="73">
        <v>522.73900000000003</v>
      </c>
      <c r="R112" s="22">
        <f>(N112-Q112)/N112</f>
        <v>0.31881187344685186</v>
      </c>
      <c r="S112" s="173">
        <f>(O112-Q112)/O112</f>
        <v>0.13902966477861345</v>
      </c>
      <c r="T112" s="148"/>
      <c r="U112" s="171"/>
      <c r="V112" s="169"/>
    </row>
    <row r="113" spans="13:32" ht="19" x14ac:dyDescent="0.25">
      <c r="M113" s="67">
        <v>1000</v>
      </c>
      <c r="N113" s="119">
        <v>8334.9459999999999</v>
      </c>
      <c r="O113" s="119">
        <v>7119.7619999999997</v>
      </c>
      <c r="P113" s="18">
        <f t="shared" ref="P113:P116" si="32">(N113-O113)/N113</f>
        <v>0.14579386597105731</v>
      </c>
      <c r="Q113" s="73">
        <v>2982.7719999999999</v>
      </c>
      <c r="R113" s="22">
        <f t="shared" ref="R113:R176" si="33">(N113-Q113)/N113</f>
        <v>0.64213661372251241</v>
      </c>
      <c r="S113" s="173">
        <f t="shared" ref="S113:S116" si="34">(O113-Q113)/O113</f>
        <v>0.58105734433257739</v>
      </c>
      <c r="T113" s="148"/>
      <c r="U113" s="171"/>
      <c r="V113" s="169"/>
    </row>
    <row r="114" spans="13:32" ht="19" x14ac:dyDescent="0.25">
      <c r="M114" s="6">
        <v>10000</v>
      </c>
      <c r="N114" s="119">
        <v>114639.395</v>
      </c>
      <c r="O114" s="119">
        <v>85308.403000000006</v>
      </c>
      <c r="P114" s="18">
        <f t="shared" si="32"/>
        <v>0.25585438583307246</v>
      </c>
      <c r="Q114" s="73">
        <v>32017.357</v>
      </c>
      <c r="R114" s="22">
        <f t="shared" si="33"/>
        <v>0.72071243920992423</v>
      </c>
      <c r="S114" s="173">
        <f t="shared" si="34"/>
        <v>0.62468694906878042</v>
      </c>
      <c r="T114" s="148"/>
      <c r="U114" s="171"/>
      <c r="V114" s="169"/>
    </row>
    <row r="115" spans="13:32" ht="19" x14ac:dyDescent="0.25">
      <c r="M115" s="6">
        <v>50000</v>
      </c>
      <c r="N115" s="119">
        <v>690880.79500000004</v>
      </c>
      <c r="O115" s="119">
        <v>653048.56200000003</v>
      </c>
      <c r="P115" s="18">
        <f t="shared" si="32"/>
        <v>5.4759421992617414E-2</v>
      </c>
      <c r="Q115" s="73">
        <v>206852.136</v>
      </c>
      <c r="R115" s="22">
        <f t="shared" si="33"/>
        <v>0.70059648857369095</v>
      </c>
      <c r="S115" s="173">
        <f t="shared" si="34"/>
        <v>0.68325152517524423</v>
      </c>
      <c r="T115" s="148"/>
      <c r="U115" s="171"/>
      <c r="V115" s="169"/>
    </row>
    <row r="116" spans="13:32" ht="20" thickBot="1" x14ac:dyDescent="0.3">
      <c r="M116" s="7">
        <v>100000</v>
      </c>
      <c r="N116" s="120">
        <v>1424006.818</v>
      </c>
      <c r="O116" s="120">
        <v>1444902.3629999999</v>
      </c>
      <c r="P116" s="19">
        <f t="shared" si="32"/>
        <v>-1.4673767524054035E-2</v>
      </c>
      <c r="Q116" s="74">
        <v>927696.70200000005</v>
      </c>
      <c r="R116" s="23">
        <f t="shared" si="33"/>
        <v>0.34853071609380448</v>
      </c>
      <c r="S116" s="174">
        <f t="shared" si="34"/>
        <v>0.35795197948610447</v>
      </c>
      <c r="T116" s="148"/>
      <c r="U116" s="171"/>
      <c r="V116" s="169"/>
    </row>
    <row r="117" spans="13:32" ht="20" thickBot="1" x14ac:dyDescent="0.3">
      <c r="M117" s="3"/>
      <c r="N117" s="118"/>
      <c r="O117" s="118"/>
      <c r="P117" s="16"/>
      <c r="Q117" s="24"/>
      <c r="R117" s="16"/>
      <c r="S117" s="16"/>
      <c r="T117" s="148"/>
      <c r="U117" s="169"/>
      <c r="V117" s="169"/>
    </row>
    <row r="118" spans="13:32" ht="19" x14ac:dyDescent="0.25">
      <c r="M118" s="105" t="s">
        <v>1013</v>
      </c>
      <c r="N118" s="72" t="s">
        <v>340</v>
      </c>
      <c r="O118" s="72" t="s">
        <v>341</v>
      </c>
      <c r="P118" s="17" t="s">
        <v>162</v>
      </c>
      <c r="Q118" s="72" t="s">
        <v>342</v>
      </c>
      <c r="R118" s="21" t="s">
        <v>162</v>
      </c>
      <c r="S118" s="172" t="s">
        <v>1245</v>
      </c>
      <c r="T118" s="145"/>
      <c r="U118" s="170"/>
      <c r="V118" s="169"/>
    </row>
    <row r="119" spans="13:32" ht="19" x14ac:dyDescent="0.25">
      <c r="M119" s="67">
        <v>100</v>
      </c>
      <c r="N119" s="119">
        <v>590.06399999999996</v>
      </c>
      <c r="O119" s="119">
        <v>593.65599999999995</v>
      </c>
      <c r="P119" s="18">
        <f>(N119-O119)/N119</f>
        <v>-6.087475256921257E-3</v>
      </c>
      <c r="Q119" s="73">
        <v>298.36900000000003</v>
      </c>
      <c r="R119" s="22">
        <f t="shared" si="33"/>
        <v>0.49434468125491465</v>
      </c>
      <c r="S119" s="173">
        <f>(O119-Q119)/O119</f>
        <v>0.49740422062608641</v>
      </c>
      <c r="T119" s="148"/>
      <c r="U119" s="171"/>
      <c r="V119" s="169"/>
    </row>
    <row r="120" spans="13:32" ht="19" x14ac:dyDescent="0.25">
      <c r="M120" s="67">
        <v>1000</v>
      </c>
      <c r="N120" s="119">
        <v>5866.8760000000002</v>
      </c>
      <c r="O120" s="119">
        <v>7391.1859999999997</v>
      </c>
      <c r="P120" s="18">
        <f t="shared" ref="P120:P183" si="35">(N120-O120)/N120</f>
        <v>-0.25981629746393131</v>
      </c>
      <c r="Q120" s="73">
        <v>3258.9459999999999</v>
      </c>
      <c r="R120" s="22">
        <f t="shared" si="33"/>
        <v>0.44451766152889549</v>
      </c>
      <c r="S120" s="173">
        <f t="shared" ref="S120:S123" si="36">(O120-Q120)/O120</f>
        <v>0.55907671651071966</v>
      </c>
      <c r="T120" s="148"/>
      <c r="U120" s="171"/>
      <c r="V120" s="169"/>
    </row>
    <row r="121" spans="13:32" ht="19" x14ac:dyDescent="0.25">
      <c r="M121" s="6">
        <v>10000</v>
      </c>
      <c r="N121" s="119">
        <v>79471.566000000006</v>
      </c>
      <c r="O121" s="119">
        <v>93999.808000000005</v>
      </c>
      <c r="P121" s="18">
        <f t="shared" si="35"/>
        <v>-0.18281056648613161</v>
      </c>
      <c r="Q121" s="73">
        <v>67746.406000000003</v>
      </c>
      <c r="R121" s="22">
        <f t="shared" si="33"/>
        <v>0.14753905818340113</v>
      </c>
      <c r="S121" s="173">
        <f t="shared" si="36"/>
        <v>0.27929208110722953</v>
      </c>
      <c r="T121" s="148"/>
      <c r="U121" s="171"/>
      <c r="V121" s="169"/>
    </row>
    <row r="122" spans="13:32" ht="19" x14ac:dyDescent="0.25">
      <c r="M122" s="6">
        <v>50000</v>
      </c>
      <c r="N122" s="119">
        <v>553022.78899999999</v>
      </c>
      <c r="O122" s="119">
        <v>677531.84499999997</v>
      </c>
      <c r="P122" s="18">
        <f t="shared" si="35"/>
        <v>-0.22514272192135645</v>
      </c>
      <c r="Q122" s="73">
        <v>339265.94099999999</v>
      </c>
      <c r="R122" s="22">
        <f t="shared" si="33"/>
        <v>0.38652448371345505</v>
      </c>
      <c r="S122" s="173">
        <f t="shared" si="36"/>
        <v>0.49926200000237625</v>
      </c>
      <c r="T122" s="148"/>
      <c r="U122" s="171"/>
      <c r="V122" s="169"/>
    </row>
    <row r="123" spans="13:32" ht="20" thickBot="1" x14ac:dyDescent="0.3">
      <c r="M123" s="7">
        <v>100000</v>
      </c>
      <c r="N123" s="120">
        <v>2624267.8659999999</v>
      </c>
      <c r="O123" s="120">
        <v>5508718.9709999999</v>
      </c>
      <c r="P123" s="19">
        <f t="shared" si="35"/>
        <v>-1.0991450767549047</v>
      </c>
      <c r="Q123" s="74">
        <v>1559412.3970000001</v>
      </c>
      <c r="R123" s="23">
        <f t="shared" si="33"/>
        <v>0.4057723995314127</v>
      </c>
      <c r="S123" s="174">
        <f t="shared" si="36"/>
        <v>0.71691923200124341</v>
      </c>
      <c r="T123" s="148"/>
      <c r="U123" s="171"/>
      <c r="V123" s="169"/>
    </row>
    <row r="124" spans="13:32" ht="19" x14ac:dyDescent="0.25">
      <c r="M124" s="3"/>
      <c r="N124" s="118"/>
      <c r="O124" s="118"/>
      <c r="Q124" s="24"/>
      <c r="T124" s="169"/>
      <c r="U124" s="169"/>
      <c r="V124" s="169"/>
    </row>
    <row r="125" spans="13:32" ht="20" thickBot="1" x14ac:dyDescent="0.3">
      <c r="Q125" s="24"/>
      <c r="T125" s="169"/>
      <c r="U125" s="169"/>
      <c r="V125" s="169"/>
    </row>
    <row r="126" spans="13:32" ht="19" x14ac:dyDescent="0.25">
      <c r="M126" s="105" t="s">
        <v>964</v>
      </c>
      <c r="N126" s="72" t="s">
        <v>340</v>
      </c>
      <c r="O126" s="72" t="s">
        <v>341</v>
      </c>
      <c r="P126" s="21" t="s">
        <v>162</v>
      </c>
      <c r="Q126" s="72" t="s">
        <v>342</v>
      </c>
      <c r="R126" s="21" t="s">
        <v>162</v>
      </c>
      <c r="S126" s="172" t="s">
        <v>1245</v>
      </c>
      <c r="T126" s="145"/>
      <c r="U126" s="170"/>
      <c r="V126" s="169"/>
      <c r="Z126" s="5" t="s">
        <v>964</v>
      </c>
      <c r="AA126" s="72" t="s">
        <v>340</v>
      </c>
      <c r="AB126" s="72" t="s">
        <v>341</v>
      </c>
      <c r="AC126" s="17" t="s">
        <v>162</v>
      </c>
      <c r="AD126" s="72" t="s">
        <v>342</v>
      </c>
      <c r="AE126" s="21" t="s">
        <v>162</v>
      </c>
      <c r="AF126" s="150" t="s">
        <v>1245</v>
      </c>
    </row>
    <row r="127" spans="13:32" ht="19" x14ac:dyDescent="0.25">
      <c r="M127" s="67">
        <v>100</v>
      </c>
      <c r="N127" s="119">
        <v>2093.52</v>
      </c>
      <c r="O127" s="119">
        <v>2214.5749999999998</v>
      </c>
      <c r="P127" s="18">
        <f t="shared" si="35"/>
        <v>-5.7823665405632538E-2</v>
      </c>
      <c r="Q127" s="73">
        <v>2110.0540000000001</v>
      </c>
      <c r="R127" s="22">
        <f t="shared" si="33"/>
        <v>-7.8977033895067193E-3</v>
      </c>
      <c r="S127" s="173">
        <f>(O127-Q127)/O127</f>
        <v>4.7196866215865226E-2</v>
      </c>
      <c r="T127" s="148"/>
      <c r="U127" s="171"/>
      <c r="V127" s="169"/>
      <c r="Z127" s="6">
        <v>100</v>
      </c>
      <c r="AA127" s="119">
        <v>3587.3546299999998</v>
      </c>
      <c r="AB127" s="119">
        <v>4435.8320439999998</v>
      </c>
      <c r="AC127" s="18">
        <v>-0.2365189677386314</v>
      </c>
      <c r="AD127" s="73">
        <v>4192.9931420000003</v>
      </c>
      <c r="AE127" s="22">
        <v>-0.16882593846039706</v>
      </c>
      <c r="AF127" s="151">
        <v>5.4744836953073674E-2</v>
      </c>
    </row>
    <row r="128" spans="13:32" ht="19" x14ac:dyDescent="0.25">
      <c r="M128" s="67">
        <v>1000</v>
      </c>
      <c r="N128" s="119">
        <v>33074.964999999997</v>
      </c>
      <c r="O128" s="119">
        <v>36415.771999999997</v>
      </c>
      <c r="P128" s="18">
        <f t="shared" si="35"/>
        <v>-0.1010071212471427</v>
      </c>
      <c r="Q128" s="73">
        <v>33553.152999999998</v>
      </c>
      <c r="R128" s="22">
        <f t="shared" si="33"/>
        <v>-1.4457702373985942E-2</v>
      </c>
      <c r="S128" s="173">
        <f t="shared" ref="S128:S131" si="37">(O128-Q128)/O128</f>
        <v>7.8609317962557518E-2</v>
      </c>
      <c r="T128" s="148"/>
      <c r="U128" s="171"/>
      <c r="V128" s="169"/>
      <c r="Z128" s="6">
        <v>1000</v>
      </c>
      <c r="AA128" s="119">
        <v>99869.503502000007</v>
      </c>
      <c r="AB128" s="119">
        <v>107220.26710899999</v>
      </c>
      <c r="AC128" s="18">
        <v>-7.3603686303024204E-2</v>
      </c>
      <c r="AD128" s="73">
        <v>105528.140273</v>
      </c>
      <c r="AE128" s="22">
        <v>-5.6660307426948102E-2</v>
      </c>
      <c r="AF128" s="151">
        <v>1.5781781575677122E-2</v>
      </c>
    </row>
    <row r="129" spans="13:32" ht="19" x14ac:dyDescent="0.25">
      <c r="M129" s="6">
        <v>10000</v>
      </c>
      <c r="N129" s="119">
        <v>843796.74899999995</v>
      </c>
      <c r="O129" s="119">
        <v>893082.17799999996</v>
      </c>
      <c r="P129" s="18">
        <f t="shared" si="35"/>
        <v>-5.8409124067388421E-2</v>
      </c>
      <c r="Q129" s="73">
        <v>876849.06900000002</v>
      </c>
      <c r="R129" s="22">
        <f t="shared" si="33"/>
        <v>-3.9170949685657139E-2</v>
      </c>
      <c r="S129" s="173">
        <f t="shared" si="37"/>
        <v>1.8176500886349495E-2</v>
      </c>
      <c r="T129" s="148"/>
      <c r="U129" s="171"/>
      <c r="V129" s="169"/>
      <c r="Z129" s="6">
        <v>10000</v>
      </c>
      <c r="AA129" s="119">
        <v>1426413.2983880001</v>
      </c>
      <c r="AB129" s="119">
        <v>1475388.6059910001</v>
      </c>
      <c r="AC129" s="18">
        <v>-3.4334584273959946E-2</v>
      </c>
      <c r="AD129" s="73">
        <v>1465024.188445</v>
      </c>
      <c r="AE129" s="22">
        <v>-2.7068515205680085E-2</v>
      </c>
      <c r="AF129" s="151">
        <v>7.0248729751023458E-3</v>
      </c>
    </row>
    <row r="130" spans="13:32" ht="19" x14ac:dyDescent="0.25">
      <c r="M130" s="6">
        <v>50000</v>
      </c>
      <c r="N130" s="119">
        <v>5370418.4620000003</v>
      </c>
      <c r="O130" s="119">
        <v>5493333.7630000003</v>
      </c>
      <c r="P130" s="18">
        <f t="shared" si="35"/>
        <v>-2.2887471780779076E-2</v>
      </c>
      <c r="Q130" s="73">
        <v>5557611.7489999998</v>
      </c>
      <c r="R130" s="22">
        <f t="shared" si="33"/>
        <v>-3.4856368889043109E-2</v>
      </c>
      <c r="S130" s="173">
        <f t="shared" si="37"/>
        <v>-1.1701088769253354E-2</v>
      </c>
      <c r="T130" s="148"/>
      <c r="U130" s="171"/>
      <c r="V130" s="169"/>
      <c r="Z130" s="6">
        <v>50000</v>
      </c>
      <c r="AA130" s="119">
        <v>8930319.4974990003</v>
      </c>
      <c r="AB130" s="119">
        <v>9252358.1879019998</v>
      </c>
      <c r="AC130" s="18">
        <v>-3.6061273114941603E-2</v>
      </c>
      <c r="AD130" s="73">
        <v>9079943.5233009998</v>
      </c>
      <c r="AE130" s="22">
        <v>-1.6754610609833475E-2</v>
      </c>
      <c r="AF130" s="151">
        <v>1.8634672491002598E-2</v>
      </c>
    </row>
    <row r="131" spans="13:32" ht="20" thickBot="1" x14ac:dyDescent="0.3">
      <c r="M131" s="7">
        <v>100000</v>
      </c>
      <c r="N131" s="120">
        <v>12723788.573999999</v>
      </c>
      <c r="O131" s="120">
        <v>13150844.834000001</v>
      </c>
      <c r="P131" s="19">
        <f t="shared" si="35"/>
        <v>-3.3563608630895948E-2</v>
      </c>
      <c r="Q131" s="74">
        <v>12410783.014</v>
      </c>
      <c r="R131" s="23">
        <f t="shared" si="33"/>
        <v>2.4600028378308596E-2</v>
      </c>
      <c r="S131" s="174">
        <f t="shared" si="37"/>
        <v>5.6274849969079957E-2</v>
      </c>
      <c r="T131" s="148"/>
      <c r="U131" s="171"/>
      <c r="V131" s="169"/>
      <c r="Z131" s="6">
        <v>100000</v>
      </c>
      <c r="AA131" s="119">
        <v>19779983.017597999</v>
      </c>
      <c r="AB131" s="119">
        <v>20143320.993795</v>
      </c>
      <c r="AC131" s="18">
        <v>-1.836897311154127E-2</v>
      </c>
      <c r="AD131" s="158">
        <v>21534010.718940999</v>
      </c>
      <c r="AE131" s="22">
        <v>-8.8676906334169442E-2</v>
      </c>
      <c r="AF131" s="151">
        <v>-6.9039744021077307E-2</v>
      </c>
    </row>
    <row r="132" spans="13:32" ht="19" x14ac:dyDescent="0.25">
      <c r="M132" s="3"/>
      <c r="N132" s="118"/>
      <c r="O132" s="118"/>
      <c r="Q132" s="24"/>
      <c r="T132" s="169"/>
      <c r="U132" s="169"/>
      <c r="V132" s="169"/>
    </row>
    <row r="133" spans="13:32" ht="20" thickBot="1" x14ac:dyDescent="0.3">
      <c r="Q133" s="24"/>
      <c r="T133" s="169"/>
      <c r="U133" s="169"/>
      <c r="V133" s="169"/>
    </row>
    <row r="134" spans="13:32" ht="19" x14ac:dyDescent="0.25">
      <c r="M134" s="105" t="s">
        <v>828</v>
      </c>
      <c r="N134" s="72" t="s">
        <v>340</v>
      </c>
      <c r="O134" s="72" t="s">
        <v>341</v>
      </c>
      <c r="P134" s="21" t="s">
        <v>162</v>
      </c>
      <c r="Q134" s="72" t="s">
        <v>342</v>
      </c>
      <c r="R134" s="21" t="s">
        <v>162</v>
      </c>
      <c r="S134" s="172" t="s">
        <v>1245</v>
      </c>
      <c r="T134" s="145"/>
      <c r="U134" s="169"/>
      <c r="V134" s="169"/>
      <c r="Z134" s="5" t="s">
        <v>828</v>
      </c>
      <c r="AA134" s="72" t="s">
        <v>340</v>
      </c>
      <c r="AB134" s="72" t="s">
        <v>341</v>
      </c>
      <c r="AC134" s="17" t="s">
        <v>162</v>
      </c>
      <c r="AD134" s="72" t="s">
        <v>342</v>
      </c>
      <c r="AE134" s="21" t="s">
        <v>162</v>
      </c>
      <c r="AF134" s="150" t="s">
        <v>1245</v>
      </c>
    </row>
    <row r="135" spans="13:32" ht="19" x14ac:dyDescent="0.25">
      <c r="M135" s="67">
        <v>100</v>
      </c>
      <c r="N135" s="119">
        <v>331.04300000000001</v>
      </c>
      <c r="O135" s="119">
        <v>173.27099999999999</v>
      </c>
      <c r="P135" s="18">
        <f t="shared" si="35"/>
        <v>0.47659065438628823</v>
      </c>
      <c r="Q135" s="73">
        <v>106.072</v>
      </c>
      <c r="R135" s="22">
        <f t="shared" si="33"/>
        <v>0.67958241074422354</v>
      </c>
      <c r="S135" s="173">
        <f>(O135-Q135)/O135</f>
        <v>0.38782600666008732</v>
      </c>
      <c r="T135" s="148"/>
      <c r="U135" s="169"/>
      <c r="V135" s="169"/>
      <c r="Z135" s="6">
        <v>100</v>
      </c>
      <c r="AA135" s="119">
        <v>645.82806300000004</v>
      </c>
      <c r="AB135" s="119">
        <v>309.21360299999998</v>
      </c>
      <c r="AC135" s="18">
        <v>0.5212137398247435</v>
      </c>
      <c r="AD135" s="73">
        <v>226.830522</v>
      </c>
      <c r="AE135" s="22">
        <v>0.64877568040892031</v>
      </c>
      <c r="AF135" s="151">
        <v>0.2664277386270098</v>
      </c>
    </row>
    <row r="136" spans="13:32" ht="19" x14ac:dyDescent="0.25">
      <c r="M136" s="67">
        <v>1000</v>
      </c>
      <c r="N136" s="119">
        <v>3314.538</v>
      </c>
      <c r="O136" s="119">
        <v>1619.0229999999999</v>
      </c>
      <c r="P136" s="18">
        <f t="shared" si="35"/>
        <v>0.51153886303309848</v>
      </c>
      <c r="Q136" s="73">
        <v>712.40899999999999</v>
      </c>
      <c r="R136" s="22">
        <f t="shared" si="33"/>
        <v>0.78506536959298701</v>
      </c>
      <c r="S136" s="173">
        <f t="shared" ref="S136:S139" si="38">(O136-Q136)/O136</f>
        <v>0.55997598551719152</v>
      </c>
      <c r="T136" s="148"/>
      <c r="U136" s="169"/>
      <c r="V136" s="169"/>
      <c r="Z136" s="6">
        <v>1000</v>
      </c>
      <c r="AA136" s="119">
        <v>6557.8912529999998</v>
      </c>
      <c r="AB136" s="119">
        <v>3134.3575940000001</v>
      </c>
      <c r="AC136" s="18">
        <v>0.52204794604269411</v>
      </c>
      <c r="AD136" s="73">
        <v>1555.5385160000001</v>
      </c>
      <c r="AE136" s="22">
        <v>0.76279897668501329</v>
      </c>
      <c r="AF136" s="151">
        <v>0.50371376929750533</v>
      </c>
    </row>
    <row r="137" spans="13:32" ht="19" x14ac:dyDescent="0.25">
      <c r="M137" s="6">
        <v>10000</v>
      </c>
      <c r="N137" s="119">
        <v>33467.222999999998</v>
      </c>
      <c r="O137" s="119">
        <v>16607.879000000001</v>
      </c>
      <c r="P137" s="18">
        <f t="shared" si="35"/>
        <v>0.50375688475855906</v>
      </c>
      <c r="Q137" s="73">
        <v>7269.366</v>
      </c>
      <c r="R137" s="22">
        <f t="shared" si="33"/>
        <v>0.78279147929303838</v>
      </c>
      <c r="S137" s="173">
        <f t="shared" si="38"/>
        <v>0.56229413761986102</v>
      </c>
      <c r="T137" s="148"/>
      <c r="U137" s="169"/>
      <c r="V137" s="169"/>
      <c r="Z137" s="6">
        <v>10000</v>
      </c>
      <c r="AA137" s="119">
        <v>66253.070980000004</v>
      </c>
      <c r="AB137" s="119">
        <v>31450.342207000002</v>
      </c>
      <c r="AC137" s="18">
        <v>0.52529985792667633</v>
      </c>
      <c r="AD137" s="73">
        <v>15290.119350999999</v>
      </c>
      <c r="AE137" s="22">
        <v>0.76921644348205875</v>
      </c>
      <c r="AF137" s="151">
        <v>0.51383297356946311</v>
      </c>
    </row>
    <row r="138" spans="13:32" ht="19" x14ac:dyDescent="0.25">
      <c r="M138" s="6">
        <v>50000</v>
      </c>
      <c r="N138" s="119">
        <v>140623.59899999999</v>
      </c>
      <c r="O138" s="119">
        <v>96210.512000000002</v>
      </c>
      <c r="P138" s="18">
        <f t="shared" si="35"/>
        <v>0.31582954294890425</v>
      </c>
      <c r="Q138" s="73">
        <v>46680.7</v>
      </c>
      <c r="R138" s="22">
        <f t="shared" si="33"/>
        <v>0.66804504839902434</v>
      </c>
      <c r="S138" s="173">
        <f t="shared" si="38"/>
        <v>0.51480665647013713</v>
      </c>
      <c r="T138" s="148"/>
      <c r="U138" s="169"/>
      <c r="V138" s="169"/>
      <c r="Z138" s="6">
        <v>50000</v>
      </c>
      <c r="AA138" s="119">
        <v>262110.30815900001</v>
      </c>
      <c r="AB138" s="119">
        <v>169187.06169599999</v>
      </c>
      <c r="AC138" s="18">
        <v>0.35451961853644992</v>
      </c>
      <c r="AD138" s="73">
        <v>81523.041767999995</v>
      </c>
      <c r="AE138" s="22">
        <v>0.68897430116122371</v>
      </c>
      <c r="AF138" s="151">
        <v>0.51814848635126209</v>
      </c>
    </row>
    <row r="139" spans="13:32" ht="20" thickBot="1" x14ac:dyDescent="0.3">
      <c r="M139" s="7">
        <v>100000</v>
      </c>
      <c r="N139" s="120">
        <v>285629.13900000002</v>
      </c>
      <c r="O139" s="120">
        <v>161470.84899999999</v>
      </c>
      <c r="P139" s="19">
        <f t="shared" si="35"/>
        <v>0.43468355656808538</v>
      </c>
      <c r="Q139" s="74">
        <v>129401.70299999999</v>
      </c>
      <c r="R139" s="23">
        <f t="shared" si="33"/>
        <v>0.54695902717404488</v>
      </c>
      <c r="S139" s="174">
        <f t="shared" si="38"/>
        <v>0.19860641223234043</v>
      </c>
      <c r="T139" s="148"/>
      <c r="U139" s="169"/>
      <c r="V139" s="169"/>
      <c r="Z139" s="6">
        <v>100000</v>
      </c>
      <c r="AA139" s="119">
        <v>650945.93012599996</v>
      </c>
      <c r="AB139" s="119">
        <v>390282.002767</v>
      </c>
      <c r="AC139" s="18">
        <v>0.40043867746211226</v>
      </c>
      <c r="AD139" s="73">
        <v>184737.27409399999</v>
      </c>
      <c r="AE139" s="22">
        <v>0.71620181409193018</v>
      </c>
      <c r="AF139" s="151">
        <v>0.52665694860572665</v>
      </c>
    </row>
    <row r="140" spans="13:32" ht="20" thickBot="1" x14ac:dyDescent="0.3">
      <c r="M140" s="3"/>
      <c r="N140" s="118"/>
      <c r="O140" s="118"/>
      <c r="P140" s="16"/>
      <c r="Q140" s="24"/>
      <c r="R140" s="16"/>
      <c r="S140" s="16"/>
      <c r="T140" s="148"/>
      <c r="U140" s="169"/>
      <c r="V140" s="169"/>
    </row>
    <row r="141" spans="13:32" ht="19" x14ac:dyDescent="0.25">
      <c r="M141" s="105" t="s">
        <v>844</v>
      </c>
      <c r="N141" s="72" t="s">
        <v>340</v>
      </c>
      <c r="O141" s="72" t="s">
        <v>341</v>
      </c>
      <c r="P141" s="17" t="s">
        <v>162</v>
      </c>
      <c r="Q141" s="72" t="s">
        <v>342</v>
      </c>
      <c r="R141" s="21" t="s">
        <v>162</v>
      </c>
      <c r="S141" s="172" t="s">
        <v>1245</v>
      </c>
      <c r="T141" s="145"/>
      <c r="U141" s="170"/>
      <c r="V141" s="169"/>
    </row>
    <row r="142" spans="13:32" ht="19" x14ac:dyDescent="0.25">
      <c r="M142" s="67">
        <v>100</v>
      </c>
      <c r="N142" s="119">
        <v>48.841999999999999</v>
      </c>
      <c r="O142" s="119">
        <v>42.716000000000001</v>
      </c>
      <c r="P142" s="18">
        <f t="shared" si="35"/>
        <v>0.12542483927767081</v>
      </c>
      <c r="Q142" s="73">
        <v>79.674999999999997</v>
      </c>
      <c r="R142" s="22">
        <f t="shared" si="33"/>
        <v>-0.6312804553458089</v>
      </c>
      <c r="S142" s="173">
        <f>(O142-Q142)/O142</f>
        <v>-0.8652261447701094</v>
      </c>
      <c r="T142" s="148"/>
      <c r="U142" s="171"/>
      <c r="V142" s="169"/>
    </row>
    <row r="143" spans="13:32" ht="19" x14ac:dyDescent="0.25">
      <c r="M143" s="67">
        <v>1000</v>
      </c>
      <c r="N143" s="119">
        <v>372.66</v>
      </c>
      <c r="O143" s="119">
        <v>329.26</v>
      </c>
      <c r="P143" s="18">
        <f t="shared" si="35"/>
        <v>0.11646004400794298</v>
      </c>
      <c r="Q143" s="73">
        <v>420.78</v>
      </c>
      <c r="R143" s="22">
        <f t="shared" si="33"/>
        <v>-0.1291257446465946</v>
      </c>
      <c r="S143" s="173">
        <f t="shared" ref="S143:S146" si="39">(O143-Q143)/O143</f>
        <v>-0.27795663001883003</v>
      </c>
      <c r="T143" s="148"/>
      <c r="U143" s="171"/>
      <c r="V143" s="169"/>
    </row>
    <row r="144" spans="13:32" ht="19" x14ac:dyDescent="0.25">
      <c r="M144" s="6">
        <v>10000</v>
      </c>
      <c r="N144" s="119">
        <v>3627.74</v>
      </c>
      <c r="O144" s="119">
        <v>6038.1040000000003</v>
      </c>
      <c r="P144" s="18">
        <f t="shared" si="35"/>
        <v>-0.66442578575090849</v>
      </c>
      <c r="Q144" s="73">
        <v>7746.8860000000004</v>
      </c>
      <c r="R144" s="22">
        <f t="shared" si="33"/>
        <v>-1.1354578883822988</v>
      </c>
      <c r="S144" s="173">
        <f t="shared" si="39"/>
        <v>-0.28299976283946088</v>
      </c>
      <c r="T144" s="148"/>
      <c r="U144" s="171"/>
      <c r="V144" s="169"/>
    </row>
    <row r="145" spans="13:32" ht="19" x14ac:dyDescent="0.25">
      <c r="M145" s="6">
        <v>50000</v>
      </c>
      <c r="N145" s="119">
        <v>18853.847000000002</v>
      </c>
      <c r="O145" s="119">
        <v>31396.73</v>
      </c>
      <c r="P145" s="18">
        <f t="shared" si="35"/>
        <v>-0.66526916230942135</v>
      </c>
      <c r="Q145" s="73">
        <v>21454.663</v>
      </c>
      <c r="R145" s="22">
        <f t="shared" si="33"/>
        <v>-0.13794617087960875</v>
      </c>
      <c r="S145" s="173">
        <f t="shared" si="39"/>
        <v>0.31665931452097079</v>
      </c>
      <c r="T145" s="148"/>
      <c r="U145" s="171"/>
      <c r="V145" s="169"/>
    </row>
    <row r="146" spans="13:32" ht="20" thickBot="1" x14ac:dyDescent="0.3">
      <c r="M146" s="7">
        <v>100000</v>
      </c>
      <c r="N146" s="120">
        <v>38051.078999999998</v>
      </c>
      <c r="O146" s="120">
        <v>48514.580999999998</v>
      </c>
      <c r="P146" s="19">
        <f t="shared" si="35"/>
        <v>-0.27498568437441684</v>
      </c>
      <c r="Q146" s="74">
        <v>42075.042000000001</v>
      </c>
      <c r="R146" s="23">
        <f t="shared" si="33"/>
        <v>-0.10575161350877865</v>
      </c>
      <c r="S146" s="174">
        <f t="shared" si="39"/>
        <v>0.13273409493117125</v>
      </c>
      <c r="T146" s="148"/>
      <c r="U146" s="171"/>
      <c r="V146" s="169"/>
    </row>
    <row r="147" spans="13:32" ht="19" x14ac:dyDescent="0.25">
      <c r="M147" s="3"/>
      <c r="N147" s="118"/>
      <c r="O147" s="118"/>
      <c r="Q147" s="24"/>
      <c r="T147" s="169"/>
      <c r="U147" s="169"/>
      <c r="V147" s="169"/>
    </row>
    <row r="148" spans="13:32" ht="20" thickBot="1" x14ac:dyDescent="0.3">
      <c r="Q148" s="24"/>
      <c r="T148" s="169"/>
      <c r="U148" s="169"/>
      <c r="V148" s="169"/>
    </row>
    <row r="149" spans="13:32" ht="19" x14ac:dyDescent="0.25">
      <c r="M149" s="105" t="s">
        <v>980</v>
      </c>
      <c r="N149" s="72" t="s">
        <v>340</v>
      </c>
      <c r="O149" s="72" t="s">
        <v>341</v>
      </c>
      <c r="P149" s="21" t="s">
        <v>162</v>
      </c>
      <c r="Q149" s="72" t="s">
        <v>342</v>
      </c>
      <c r="R149" s="21" t="s">
        <v>162</v>
      </c>
      <c r="S149" s="172" t="s">
        <v>1245</v>
      </c>
      <c r="T149" s="145"/>
      <c r="U149" s="170"/>
      <c r="V149" s="169"/>
      <c r="Z149" s="5" t="s">
        <v>980</v>
      </c>
      <c r="AA149" s="72" t="s">
        <v>340</v>
      </c>
      <c r="AB149" s="72" t="s">
        <v>341</v>
      </c>
      <c r="AC149" s="17" t="s">
        <v>162</v>
      </c>
      <c r="AD149" s="72" t="s">
        <v>342</v>
      </c>
      <c r="AE149" s="21" t="s">
        <v>162</v>
      </c>
      <c r="AF149" s="150" t="s">
        <v>1245</v>
      </c>
    </row>
    <row r="150" spans="13:32" ht="19" x14ac:dyDescent="0.25">
      <c r="M150" s="67">
        <v>100</v>
      </c>
      <c r="N150" s="119">
        <v>64.965000000000003</v>
      </c>
      <c r="O150" s="119">
        <v>17.242000000000001</v>
      </c>
      <c r="P150" s="18">
        <f t="shared" si="35"/>
        <v>0.73459555145078115</v>
      </c>
      <c r="Q150" s="73">
        <v>51.313000000000002</v>
      </c>
      <c r="R150" s="22">
        <f t="shared" si="33"/>
        <v>0.2101439236511968</v>
      </c>
      <c r="S150" s="173">
        <f>(O150-Q150)/O150</f>
        <v>-1.9760468623129566</v>
      </c>
      <c r="T150" s="148"/>
      <c r="U150" s="171"/>
      <c r="V150" s="169"/>
      <c r="Z150" s="6">
        <v>100</v>
      </c>
      <c r="AA150" s="119">
        <v>94.691739999999996</v>
      </c>
      <c r="AB150" s="119">
        <v>26.39415</v>
      </c>
      <c r="AC150" s="18">
        <v>0.7212623825478337</v>
      </c>
      <c r="AD150" s="73">
        <v>78.557895000000002</v>
      </c>
      <c r="AE150" s="22">
        <v>0.1703828126930606</v>
      </c>
      <c r="AF150" s="151">
        <v>-1.9763373702127178</v>
      </c>
    </row>
    <row r="151" spans="13:32" ht="19" x14ac:dyDescent="0.25">
      <c r="M151" s="67">
        <v>1000</v>
      </c>
      <c r="N151" s="119">
        <v>541.66800000000001</v>
      </c>
      <c r="O151" s="119">
        <v>77.588999999999999</v>
      </c>
      <c r="P151" s="18">
        <f t="shared" si="35"/>
        <v>0.85675912182370018</v>
      </c>
      <c r="Q151" s="73">
        <v>231.482</v>
      </c>
      <c r="R151" s="22">
        <f t="shared" si="33"/>
        <v>0.57264966732389588</v>
      </c>
      <c r="S151" s="173">
        <f t="shared" ref="S151:S154" si="40">(O151-Q151)/O151</f>
        <v>-1.983438373996314</v>
      </c>
      <c r="T151" s="148"/>
      <c r="U151" s="171"/>
      <c r="V151" s="169"/>
      <c r="Z151" s="6">
        <v>1000</v>
      </c>
      <c r="AA151" s="119">
        <v>750.27970400000004</v>
      </c>
      <c r="AB151" s="119">
        <v>120.90795300000001</v>
      </c>
      <c r="AC151" s="18">
        <v>0.83884949525437247</v>
      </c>
      <c r="AD151" s="73">
        <v>299.57829099999998</v>
      </c>
      <c r="AE151" s="22">
        <v>0.60071118890349195</v>
      </c>
      <c r="AF151" s="151">
        <v>-1.477738507408193</v>
      </c>
    </row>
    <row r="152" spans="13:32" ht="19" x14ac:dyDescent="0.25">
      <c r="M152" s="6">
        <v>10000</v>
      </c>
      <c r="N152" s="119">
        <v>5617.2049999999999</v>
      </c>
      <c r="O152" s="119">
        <v>1060.2080000000001</v>
      </c>
      <c r="P152" s="18">
        <f t="shared" si="35"/>
        <v>0.81125702195308869</v>
      </c>
      <c r="Q152" s="73">
        <v>1586.7149999999999</v>
      </c>
      <c r="R152" s="22">
        <f t="shared" si="33"/>
        <v>0.7175258869847192</v>
      </c>
      <c r="S152" s="173">
        <f t="shared" si="40"/>
        <v>-0.4966072695169248</v>
      </c>
      <c r="T152" s="148"/>
      <c r="U152" s="171"/>
      <c r="V152" s="169"/>
      <c r="Z152" s="6">
        <v>10000</v>
      </c>
      <c r="AA152" s="119">
        <v>8014.1822279999997</v>
      </c>
      <c r="AB152" s="119">
        <v>1822.9973199999999</v>
      </c>
      <c r="AC152" s="18">
        <v>0.77252859142249086</v>
      </c>
      <c r="AD152" s="73">
        <v>2847.8743030000001</v>
      </c>
      <c r="AE152" s="22">
        <v>0.64464567662935346</v>
      </c>
      <c r="AF152" s="151">
        <v>-0.56219335692715122</v>
      </c>
    </row>
    <row r="153" spans="13:32" ht="19" x14ac:dyDescent="0.25">
      <c r="M153" s="6">
        <v>50000</v>
      </c>
      <c r="N153" s="119">
        <v>27085.108</v>
      </c>
      <c r="O153" s="119">
        <v>5065.9009999999998</v>
      </c>
      <c r="P153" s="18">
        <f t="shared" si="35"/>
        <v>0.81296360346800178</v>
      </c>
      <c r="Q153" s="73">
        <v>7602.6570000000002</v>
      </c>
      <c r="R153" s="22">
        <f t="shared" si="33"/>
        <v>0.71930490363929878</v>
      </c>
      <c r="S153" s="173">
        <f t="shared" si="40"/>
        <v>-0.5007511990463297</v>
      </c>
      <c r="T153" s="148"/>
      <c r="U153" s="171"/>
      <c r="V153" s="169"/>
      <c r="Z153" s="6">
        <v>50000</v>
      </c>
      <c r="AA153" s="119">
        <v>40953.883496000002</v>
      </c>
      <c r="AB153" s="119">
        <v>9518.1816579999995</v>
      </c>
      <c r="AC153" s="18">
        <v>0.76758781230283935</v>
      </c>
      <c r="AD153" s="73">
        <v>13470.414881999999</v>
      </c>
      <c r="AE153" s="22">
        <v>0.67108333246795349</v>
      </c>
      <c r="AF153" s="151">
        <v>-0.41522985860205358</v>
      </c>
    </row>
    <row r="154" spans="13:32" ht="20" thickBot="1" x14ac:dyDescent="0.3">
      <c r="M154" s="7">
        <v>100000</v>
      </c>
      <c r="N154" s="120">
        <v>57560.752999999997</v>
      </c>
      <c r="O154" s="120">
        <v>13425.014999999999</v>
      </c>
      <c r="P154" s="19">
        <f t="shared" si="35"/>
        <v>0.76676790520791138</v>
      </c>
      <c r="Q154" s="74">
        <v>18673.748</v>
      </c>
      <c r="R154" s="23">
        <f t="shared" si="33"/>
        <v>0.67558193687980417</v>
      </c>
      <c r="S154" s="174">
        <f t="shared" si="40"/>
        <v>-0.39096663951585903</v>
      </c>
      <c r="T154" s="148"/>
      <c r="U154" s="171"/>
      <c r="V154" s="169"/>
      <c r="Z154" s="6">
        <v>100000</v>
      </c>
      <c r="AA154" s="119">
        <v>72697.060511999996</v>
      </c>
      <c r="AB154" s="119">
        <v>20985.081290999999</v>
      </c>
      <c r="AC154" s="18">
        <v>0.71133521571293767</v>
      </c>
      <c r="AD154" s="158">
        <v>26486.835672000001</v>
      </c>
      <c r="AE154" s="22">
        <v>0.63565465390959164</v>
      </c>
      <c r="AF154" s="151">
        <v>-0.26217455651980598</v>
      </c>
    </row>
    <row r="155" spans="13:32" ht="20" thickBot="1" x14ac:dyDescent="0.3">
      <c r="M155" s="3"/>
      <c r="N155" s="118"/>
      <c r="O155" s="118"/>
      <c r="P155" s="16"/>
      <c r="Q155" s="24"/>
      <c r="R155" s="16"/>
      <c r="S155" s="16"/>
      <c r="T155" s="148"/>
      <c r="U155" s="169"/>
      <c r="V155" s="169"/>
    </row>
    <row r="156" spans="13:32" ht="19" x14ac:dyDescent="0.25">
      <c r="M156" s="105" t="s">
        <v>996</v>
      </c>
      <c r="N156" s="72" t="s">
        <v>340</v>
      </c>
      <c r="O156" s="72" t="s">
        <v>341</v>
      </c>
      <c r="P156" s="17" t="s">
        <v>162</v>
      </c>
      <c r="Q156" s="72" t="s">
        <v>342</v>
      </c>
      <c r="R156" s="21" t="s">
        <v>162</v>
      </c>
      <c r="S156" s="172" t="s">
        <v>1245</v>
      </c>
      <c r="T156" s="145"/>
      <c r="U156" s="170"/>
      <c r="V156" s="169"/>
    </row>
    <row r="157" spans="13:32" ht="19" x14ac:dyDescent="0.25">
      <c r="M157" s="67">
        <v>100</v>
      </c>
      <c r="N157" s="119">
        <v>484.41699999999997</v>
      </c>
      <c r="O157" s="119">
        <v>69.947999999999993</v>
      </c>
      <c r="P157" s="18">
        <f t="shared" si="35"/>
        <v>0.85560374635902547</v>
      </c>
      <c r="Q157" s="73">
        <v>212.08199999999999</v>
      </c>
      <c r="R157" s="22">
        <f t="shared" si="33"/>
        <v>0.56219125257784097</v>
      </c>
      <c r="S157" s="173">
        <f>(O157-Q157)/O157</f>
        <v>-2.0319951964316352</v>
      </c>
      <c r="T157" s="148"/>
      <c r="U157" s="171"/>
      <c r="V157" s="169"/>
    </row>
    <row r="158" spans="13:32" ht="19" x14ac:dyDescent="0.25">
      <c r="M158" s="67">
        <v>1000</v>
      </c>
      <c r="N158" s="119">
        <v>5138.201</v>
      </c>
      <c r="O158" s="119">
        <v>501.36099999999999</v>
      </c>
      <c r="P158" s="18">
        <f t="shared" si="35"/>
        <v>0.90242479809567588</v>
      </c>
      <c r="Q158" s="73">
        <v>1493.9190000000001</v>
      </c>
      <c r="R158" s="22">
        <f t="shared" si="33"/>
        <v>0.70925251853713001</v>
      </c>
      <c r="S158" s="173">
        <f t="shared" ref="S158:S161" si="41">(O158-Q158)/O158</f>
        <v>-1.9797271826089387</v>
      </c>
      <c r="T158" s="148"/>
      <c r="U158" s="171"/>
      <c r="V158" s="169"/>
    </row>
    <row r="159" spans="13:32" ht="19" x14ac:dyDescent="0.25">
      <c r="M159" s="6">
        <v>10000</v>
      </c>
      <c r="N159" s="119">
        <v>51402.004999999997</v>
      </c>
      <c r="O159" s="119">
        <v>9306.4220000000005</v>
      </c>
      <c r="P159" s="18">
        <f t="shared" si="35"/>
        <v>0.81894826865216641</v>
      </c>
      <c r="Q159" s="73">
        <v>14091.263000000001</v>
      </c>
      <c r="R159" s="22">
        <f t="shared" si="33"/>
        <v>0.72586160792755072</v>
      </c>
      <c r="S159" s="173">
        <f t="shared" si="41"/>
        <v>-0.51414399647899056</v>
      </c>
      <c r="T159" s="148"/>
      <c r="U159" s="171"/>
      <c r="V159" s="169"/>
    </row>
    <row r="160" spans="13:32" ht="19" x14ac:dyDescent="0.25">
      <c r="M160" s="6">
        <v>50000</v>
      </c>
      <c r="N160" s="119">
        <v>256629.946</v>
      </c>
      <c r="O160" s="119">
        <v>51911.968000000001</v>
      </c>
      <c r="P160" s="18">
        <f t="shared" si="35"/>
        <v>0.79771663903946743</v>
      </c>
      <c r="Q160" s="73">
        <v>71124.099000000002</v>
      </c>
      <c r="R160" s="22">
        <f t="shared" si="33"/>
        <v>0.72285347010905743</v>
      </c>
      <c r="S160" s="173">
        <f t="shared" si="41"/>
        <v>-0.37009059259706745</v>
      </c>
      <c r="T160" s="148"/>
      <c r="U160" s="171"/>
      <c r="V160" s="169"/>
    </row>
    <row r="161" spans="13:32" ht="20" thickBot="1" x14ac:dyDescent="0.3">
      <c r="M161" s="7">
        <v>100000</v>
      </c>
      <c r="N161" s="120">
        <v>515163.41800000001</v>
      </c>
      <c r="O161" s="120">
        <v>150281.78700000001</v>
      </c>
      <c r="P161" s="19">
        <f t="shared" si="35"/>
        <v>0.7082832713870999</v>
      </c>
      <c r="Q161" s="74">
        <v>196103.29</v>
      </c>
      <c r="R161" s="23">
        <f t="shared" si="33"/>
        <v>0.61933770305095692</v>
      </c>
      <c r="S161" s="174">
        <f t="shared" si="41"/>
        <v>-0.30490390029764547</v>
      </c>
      <c r="T161" s="148"/>
      <c r="U161" s="171"/>
      <c r="V161" s="169"/>
    </row>
    <row r="162" spans="13:32" ht="19" x14ac:dyDescent="0.25">
      <c r="M162" s="3"/>
      <c r="N162" s="118"/>
      <c r="O162" s="118"/>
      <c r="Q162" s="24"/>
      <c r="T162" s="169"/>
      <c r="U162" s="169"/>
      <c r="V162" s="169"/>
    </row>
    <row r="163" spans="13:32" ht="20" thickBot="1" x14ac:dyDescent="0.3">
      <c r="Q163" s="24"/>
      <c r="T163" s="169"/>
      <c r="U163" s="169"/>
      <c r="V163" s="169"/>
    </row>
    <row r="164" spans="13:32" ht="19" x14ac:dyDescent="0.25">
      <c r="M164" s="105" t="s">
        <v>881</v>
      </c>
      <c r="N164" s="72" t="s">
        <v>340</v>
      </c>
      <c r="O164" s="72" t="s">
        <v>341</v>
      </c>
      <c r="P164" s="21" t="s">
        <v>162</v>
      </c>
      <c r="Q164" s="72" t="s">
        <v>342</v>
      </c>
      <c r="R164" s="21" t="s">
        <v>162</v>
      </c>
      <c r="S164" s="172" t="s">
        <v>1245</v>
      </c>
      <c r="T164" s="145"/>
      <c r="U164" s="170"/>
      <c r="V164" s="169"/>
      <c r="Z164" s="5" t="s">
        <v>881</v>
      </c>
      <c r="AA164" s="72" t="s">
        <v>340</v>
      </c>
      <c r="AB164" s="72" t="s">
        <v>341</v>
      </c>
      <c r="AC164" s="17" t="s">
        <v>162</v>
      </c>
      <c r="AD164" s="72" t="s">
        <v>342</v>
      </c>
      <c r="AE164" s="21" t="s">
        <v>162</v>
      </c>
      <c r="AF164" s="150" t="s">
        <v>1245</v>
      </c>
    </row>
    <row r="165" spans="13:32" ht="19" x14ac:dyDescent="0.25">
      <c r="M165" s="67">
        <v>100</v>
      </c>
      <c r="N165" s="119">
        <v>946.81600000000003</v>
      </c>
      <c r="O165" s="119">
        <v>913.774</v>
      </c>
      <c r="P165" s="18">
        <f t="shared" si="35"/>
        <v>3.4898016087603116E-2</v>
      </c>
      <c r="Q165" s="73">
        <v>1723.7629999999999</v>
      </c>
      <c r="R165" s="22">
        <f t="shared" si="33"/>
        <v>-0.82058921691226161</v>
      </c>
      <c r="S165" s="173">
        <f>(O165-Q165)/O165</f>
        <v>-0.88642158783243985</v>
      </c>
      <c r="T165" s="148"/>
      <c r="U165" s="171"/>
      <c r="V165" s="169"/>
      <c r="Z165" s="6">
        <v>100</v>
      </c>
      <c r="AA165" s="119">
        <v>1501.65365</v>
      </c>
      <c r="AB165" s="119">
        <v>1462.9553410000001</v>
      </c>
      <c r="AC165" s="18">
        <v>2.5770462449846463E-2</v>
      </c>
      <c r="AD165" s="73">
        <v>2571.5817200000001</v>
      </c>
      <c r="AE165" s="22">
        <v>-0.71249989636425159</v>
      </c>
      <c r="AF165" s="151">
        <v>-0.75779919450049704</v>
      </c>
    </row>
    <row r="166" spans="13:32" ht="19" x14ac:dyDescent="0.25">
      <c r="M166" s="67">
        <v>1000</v>
      </c>
      <c r="N166" s="119">
        <v>10214.575999999999</v>
      </c>
      <c r="O166" s="119">
        <v>10607.973</v>
      </c>
      <c r="P166" s="18">
        <f t="shared" si="35"/>
        <v>-3.8513297076648204E-2</v>
      </c>
      <c r="Q166" s="73">
        <v>16371.652</v>
      </c>
      <c r="R166" s="22">
        <f t="shared" si="33"/>
        <v>-0.60277352677193863</v>
      </c>
      <c r="S166" s="173">
        <f t="shared" ref="S166:S169" si="42">(O166-Q166)/O166</f>
        <v>-0.54333462198668869</v>
      </c>
      <c r="T166" s="148"/>
      <c r="U166" s="171"/>
      <c r="V166" s="169"/>
      <c r="Z166" s="6">
        <v>1000</v>
      </c>
      <c r="AA166" s="119">
        <v>18745.419453999999</v>
      </c>
      <c r="AB166" s="119">
        <v>17213.344082</v>
      </c>
      <c r="AC166" s="18">
        <v>8.1730652960826475E-2</v>
      </c>
      <c r="AD166" s="73">
        <v>29744.808346999998</v>
      </c>
      <c r="AE166" s="22">
        <v>-0.58677742154512791</v>
      </c>
      <c r="AF166" s="151">
        <v>-0.72800870099983395</v>
      </c>
    </row>
    <row r="167" spans="13:32" ht="19" x14ac:dyDescent="0.25">
      <c r="M167" s="6">
        <v>10000</v>
      </c>
      <c r="N167" s="119">
        <v>152609.39499999999</v>
      </c>
      <c r="O167" s="119">
        <v>148282.55100000001</v>
      </c>
      <c r="P167" s="18">
        <f t="shared" si="35"/>
        <v>2.8352409102991222E-2</v>
      </c>
      <c r="Q167" s="73">
        <v>215706.02499999999</v>
      </c>
      <c r="R167" s="22">
        <f t="shared" si="33"/>
        <v>-0.41345180616173732</v>
      </c>
      <c r="S167" s="173">
        <f t="shared" si="42"/>
        <v>-0.45469594058979995</v>
      </c>
      <c r="T167" s="148"/>
      <c r="U167" s="171"/>
      <c r="V167" s="169"/>
      <c r="Z167" s="6">
        <v>10000</v>
      </c>
      <c r="AA167" s="119">
        <v>258652.879377</v>
      </c>
      <c r="AB167" s="119">
        <v>253632.725041</v>
      </c>
      <c r="AC167" s="18">
        <v>1.940884767295736E-2</v>
      </c>
      <c r="AD167" s="73">
        <v>396422.37014700001</v>
      </c>
      <c r="AE167" s="22">
        <v>-0.53264240128250739</v>
      </c>
      <c r="AF167" s="151">
        <v>-0.56297800326404224</v>
      </c>
    </row>
    <row r="168" spans="13:32" ht="19" x14ac:dyDescent="0.25">
      <c r="M168" s="6">
        <v>50000</v>
      </c>
      <c r="N168" s="119">
        <v>1089985.8810000001</v>
      </c>
      <c r="O168" s="119">
        <v>1066368.1869999999</v>
      </c>
      <c r="P168" s="18">
        <f t="shared" si="35"/>
        <v>2.1667889843061311E-2</v>
      </c>
      <c r="Q168" s="73">
        <v>2391814.8470000001</v>
      </c>
      <c r="R168" s="22">
        <f t="shared" si="33"/>
        <v>-1.1943539716364453</v>
      </c>
      <c r="S168" s="173">
        <f t="shared" si="42"/>
        <v>-1.2429540529794521</v>
      </c>
      <c r="T168" s="148"/>
      <c r="U168" s="171"/>
      <c r="V168" s="169"/>
      <c r="Z168" s="6">
        <v>50000</v>
      </c>
      <c r="AA168" s="119">
        <v>1856687.79431</v>
      </c>
      <c r="AB168" s="119">
        <v>1756024</v>
      </c>
      <c r="AC168" s="18">
        <v>5.4216866518158838E-2</v>
      </c>
      <c r="AD168" s="73">
        <v>3237559.7560939998</v>
      </c>
      <c r="AE168" s="22">
        <v>-0.74372867964975908</v>
      </c>
      <c r="AF168" s="151">
        <v>-0.84368764669161689</v>
      </c>
    </row>
    <row r="169" spans="13:32" ht="20" thickBot="1" x14ac:dyDescent="0.3">
      <c r="M169" s="7">
        <v>100000</v>
      </c>
      <c r="N169" s="120">
        <v>4622183.7470000004</v>
      </c>
      <c r="O169" s="120">
        <v>4016599.963</v>
      </c>
      <c r="P169" s="19">
        <f t="shared" si="35"/>
        <v>0.13101681307954294</v>
      </c>
      <c r="Q169" s="74">
        <v>6323735.4960000003</v>
      </c>
      <c r="R169" s="23">
        <f t="shared" si="33"/>
        <v>-0.36812724074510916</v>
      </c>
      <c r="S169" s="174">
        <f t="shared" si="42"/>
        <v>-0.57440012803186902</v>
      </c>
      <c r="T169" s="148"/>
      <c r="U169" s="171"/>
      <c r="V169" s="169"/>
      <c r="Z169" s="6">
        <v>100000</v>
      </c>
      <c r="AA169" s="119">
        <v>6853927.7024579998</v>
      </c>
      <c r="AB169" s="119">
        <v>5772453.5668959999</v>
      </c>
      <c r="AC169" s="18">
        <v>0.15778896167436296</v>
      </c>
      <c r="AD169" s="158">
        <v>9840582.2259010002</v>
      </c>
      <c r="AE169" s="22">
        <v>-0.43575810150024008</v>
      </c>
      <c r="AF169" s="151">
        <v>-0.70474861544751066</v>
      </c>
    </row>
    <row r="170" spans="13:32" ht="20" thickBot="1" x14ac:dyDescent="0.3">
      <c r="M170" s="3"/>
      <c r="N170" s="118"/>
      <c r="O170" s="118"/>
      <c r="P170" s="16"/>
      <c r="Q170" s="24"/>
      <c r="R170" s="16"/>
      <c r="S170" s="16"/>
      <c r="T170" s="148"/>
      <c r="U170" s="169"/>
      <c r="V170" s="169"/>
    </row>
    <row r="171" spans="13:32" ht="19" x14ac:dyDescent="0.25">
      <c r="M171" s="105" t="s">
        <v>897</v>
      </c>
      <c r="N171" s="72" t="s">
        <v>340</v>
      </c>
      <c r="O171" s="72" t="s">
        <v>341</v>
      </c>
      <c r="P171" s="17" t="s">
        <v>162</v>
      </c>
      <c r="Q171" s="72" t="s">
        <v>342</v>
      </c>
      <c r="R171" s="21" t="s">
        <v>162</v>
      </c>
      <c r="S171" s="172" t="s">
        <v>1245</v>
      </c>
      <c r="T171" s="145"/>
      <c r="U171" s="170"/>
      <c r="V171" s="169"/>
    </row>
    <row r="172" spans="13:32" ht="19" x14ac:dyDescent="0.25">
      <c r="M172" s="67">
        <v>100</v>
      </c>
      <c r="N172" s="119">
        <v>3359.509</v>
      </c>
      <c r="O172" s="119">
        <v>3455.2559999999999</v>
      </c>
      <c r="P172" s="18">
        <f t="shared" si="35"/>
        <v>-2.8500295727738739E-2</v>
      </c>
      <c r="Q172" s="73">
        <v>3022.5360000000001</v>
      </c>
      <c r="R172" s="22">
        <f t="shared" si="33"/>
        <v>0.10030424088758207</v>
      </c>
      <c r="S172" s="173">
        <f>(O172-Q172)/O172</f>
        <v>0.12523529370906231</v>
      </c>
      <c r="T172" s="148"/>
      <c r="U172" s="171"/>
      <c r="V172" s="169"/>
    </row>
    <row r="173" spans="13:32" ht="19" x14ac:dyDescent="0.25">
      <c r="M173" s="67">
        <v>1000</v>
      </c>
      <c r="N173" s="119">
        <v>36936.862999999998</v>
      </c>
      <c r="O173" s="119">
        <v>36251.589</v>
      </c>
      <c r="P173" s="18">
        <f t="shared" si="35"/>
        <v>1.8552577136829344E-2</v>
      </c>
      <c r="Q173" s="73">
        <v>35836.048999999999</v>
      </c>
      <c r="R173" s="22">
        <f t="shared" si="33"/>
        <v>2.9802585021906126E-2</v>
      </c>
      <c r="S173" s="173">
        <f t="shared" ref="S173:S176" si="43">(O173-Q173)/O173</f>
        <v>1.146266995358468E-2</v>
      </c>
      <c r="T173" s="148"/>
      <c r="U173" s="171"/>
      <c r="V173" s="169"/>
    </row>
    <row r="174" spans="13:32" ht="19" x14ac:dyDescent="0.25">
      <c r="M174" s="6">
        <v>10000</v>
      </c>
      <c r="N174" s="119">
        <v>541118.49199999997</v>
      </c>
      <c r="O174" s="119">
        <v>481684.99400000001</v>
      </c>
      <c r="P174" s="18">
        <f t="shared" si="35"/>
        <v>0.10983453509476436</v>
      </c>
      <c r="Q174" s="73">
        <v>496596.16</v>
      </c>
      <c r="R174" s="22">
        <f t="shared" si="33"/>
        <v>8.227834135818074E-2</v>
      </c>
      <c r="S174" s="173">
        <f t="shared" si="43"/>
        <v>-3.0956260181939501E-2</v>
      </c>
      <c r="T174" s="148"/>
      <c r="U174" s="171"/>
      <c r="V174" s="169"/>
    </row>
    <row r="175" spans="13:32" ht="19" x14ac:dyDescent="0.25">
      <c r="M175" s="6">
        <v>50000</v>
      </c>
      <c r="N175" s="119">
        <v>3962473.1919999998</v>
      </c>
      <c r="O175" s="119">
        <v>3565701.645</v>
      </c>
      <c r="P175" s="18">
        <f t="shared" si="35"/>
        <v>0.10013229813164622</v>
      </c>
      <c r="Q175" s="73">
        <v>4355200.4740000004</v>
      </c>
      <c r="R175" s="22">
        <f t="shared" si="33"/>
        <v>-9.9111656526255837E-2</v>
      </c>
      <c r="S175" s="173">
        <f t="shared" si="43"/>
        <v>-0.22141471934621171</v>
      </c>
      <c r="T175" s="148"/>
      <c r="U175" s="171"/>
      <c r="V175" s="169"/>
    </row>
    <row r="176" spans="13:32" ht="20" thickBot="1" x14ac:dyDescent="0.3">
      <c r="M176" s="7">
        <v>100000</v>
      </c>
      <c r="N176" s="120">
        <v>62870715.314000003</v>
      </c>
      <c r="O176" s="120">
        <v>33824607.571000002</v>
      </c>
      <c r="P176" s="19">
        <f t="shared" si="35"/>
        <v>0.46199741163962921</v>
      </c>
      <c r="Q176" s="74">
        <v>51504929.881999999</v>
      </c>
      <c r="R176" s="23">
        <f t="shared" si="33"/>
        <v>0.18078027862789528</v>
      </c>
      <c r="S176" s="174">
        <f t="shared" si="43"/>
        <v>-0.5227059108930644</v>
      </c>
      <c r="T176" s="148"/>
      <c r="U176" s="171"/>
      <c r="V176" s="169"/>
    </row>
    <row r="177" spans="13:35" ht="19" x14ac:dyDescent="0.25">
      <c r="M177" s="3"/>
      <c r="N177" s="118"/>
      <c r="O177" s="118"/>
      <c r="Q177" s="24"/>
    </row>
    <row r="178" spans="13:35" ht="20" thickBot="1" x14ac:dyDescent="0.3">
      <c r="Q178" s="24"/>
    </row>
    <row r="179" spans="13:35" ht="19" x14ac:dyDescent="0.25">
      <c r="M179" s="106" t="s">
        <v>860</v>
      </c>
      <c r="N179" s="72" t="s">
        <v>344</v>
      </c>
      <c r="O179" s="72" t="s">
        <v>341</v>
      </c>
      <c r="P179" s="21" t="s">
        <v>162</v>
      </c>
      <c r="Q179" s="72" t="s">
        <v>343</v>
      </c>
      <c r="R179" s="21" t="s">
        <v>162</v>
      </c>
      <c r="S179" s="155" t="s">
        <v>1685</v>
      </c>
      <c r="T179" s="166" t="s">
        <v>162</v>
      </c>
      <c r="U179" s="166" t="s">
        <v>1245</v>
      </c>
      <c r="V179" s="167" t="s">
        <v>1684</v>
      </c>
      <c r="W179" s="145"/>
      <c r="Z179" s="106" t="s">
        <v>168</v>
      </c>
      <c r="AA179" s="72" t="s">
        <v>344</v>
      </c>
      <c r="AB179" s="72" t="s">
        <v>341</v>
      </c>
      <c r="AC179" s="17" t="s">
        <v>162</v>
      </c>
      <c r="AD179" s="72" t="s">
        <v>343</v>
      </c>
      <c r="AE179" s="17" t="s">
        <v>162</v>
      </c>
      <c r="AF179" s="72" t="s">
        <v>342</v>
      </c>
      <c r="AG179" s="155" t="s">
        <v>162</v>
      </c>
      <c r="AH179" s="156" t="s">
        <v>1245</v>
      </c>
      <c r="AI179" s="156" t="s">
        <v>1684</v>
      </c>
    </row>
    <row r="180" spans="13:35" ht="19" x14ac:dyDescent="0.25">
      <c r="M180" s="67">
        <v>100</v>
      </c>
      <c r="N180" s="119">
        <v>4220.3990000000003</v>
      </c>
      <c r="O180" s="119">
        <v>3126.4140000000002</v>
      </c>
      <c r="P180" s="18">
        <f t="shared" si="35"/>
        <v>0.25921364307024053</v>
      </c>
      <c r="Q180" s="73">
        <v>2292.0610000000001</v>
      </c>
      <c r="R180" s="22">
        <f t="shared" ref="R180:R216" si="44">(N180-Q180)/N180</f>
        <v>0.45690893207016681</v>
      </c>
      <c r="S180" s="73">
        <v>7388.39</v>
      </c>
      <c r="T180" s="18">
        <f>(N180-S180)/N180</f>
        <v>-0.75063779514685691</v>
      </c>
      <c r="U180" s="18">
        <f>(O180-S180)/O180</f>
        <v>-1.3632154922540649</v>
      </c>
      <c r="V180" s="22">
        <f>(Q180-S180)/Q180</f>
        <v>-2.2234700559889111</v>
      </c>
      <c r="W180" s="148"/>
      <c r="Z180" s="6">
        <v>100</v>
      </c>
      <c r="AA180" s="119">
        <v>6528.8187879999996</v>
      </c>
      <c r="AB180" s="119">
        <v>5017.2520690000001</v>
      </c>
      <c r="AC180" s="18">
        <v>0.23152223519792989</v>
      </c>
      <c r="AD180" s="73">
        <v>3476.5267800000001</v>
      </c>
      <c r="AE180" s="18">
        <v>0.46751060293021562</v>
      </c>
      <c r="AF180" s="73">
        <v>12009.810332999999</v>
      </c>
      <c r="AG180" s="53">
        <v>-0.83950737843637024</v>
      </c>
      <c r="AH180" s="22">
        <v>-1.3937028014208785</v>
      </c>
      <c r="AI180" s="22">
        <v>-2.4545427356092446</v>
      </c>
    </row>
    <row r="181" spans="13:35" ht="19" x14ac:dyDescent="0.25">
      <c r="M181" s="67">
        <v>1000</v>
      </c>
      <c r="N181" s="119">
        <v>39080.870000000003</v>
      </c>
      <c r="O181" s="119">
        <v>29855.31</v>
      </c>
      <c r="P181" s="18">
        <f t="shared" si="35"/>
        <v>0.2360633220294226</v>
      </c>
      <c r="Q181" s="73">
        <v>23565.447</v>
      </c>
      <c r="R181" s="22">
        <f t="shared" si="44"/>
        <v>0.39700812699410226</v>
      </c>
      <c r="S181" s="73">
        <v>67445.682000000001</v>
      </c>
      <c r="T181" s="18">
        <f t="shared" ref="T181:T184" si="45">(N181-S181)/N181</f>
        <v>-0.72579786478653097</v>
      </c>
      <c r="U181" s="18">
        <f t="shared" ref="U181:U184" si="46">(O181-S181)/O181</f>
        <v>-1.2590849667948516</v>
      </c>
      <c r="V181" s="22">
        <f t="shared" ref="V181:V184" si="47">(Q181-S181)/Q181</f>
        <v>-1.8620582499453544</v>
      </c>
      <c r="W181" s="148"/>
      <c r="Z181" s="6">
        <v>1000</v>
      </c>
      <c r="AA181" s="119">
        <v>62408.383985</v>
      </c>
      <c r="AB181" s="119">
        <v>48196.625131000001</v>
      </c>
      <c r="AC181" s="18">
        <v>0.22772194930437278</v>
      </c>
      <c r="AD181" s="73">
        <v>33363.257517999999</v>
      </c>
      <c r="AE181" s="18">
        <v>0.46540423918012469</v>
      </c>
      <c r="AF181" s="73">
        <v>119853.54235</v>
      </c>
      <c r="AG181" s="53">
        <v>-0.92047181319111038</v>
      </c>
      <c r="AH181" s="22">
        <v>-1.486762133743476</v>
      </c>
      <c r="AI181" s="22">
        <v>-2.5923812980593142</v>
      </c>
    </row>
    <row r="182" spans="13:35" ht="19" x14ac:dyDescent="0.25">
      <c r="M182" s="6">
        <v>10000</v>
      </c>
      <c r="N182" s="119">
        <v>679935.31400000001</v>
      </c>
      <c r="O182" s="119">
        <v>306974.56800000003</v>
      </c>
      <c r="P182" s="18">
        <f t="shared" si="35"/>
        <v>0.54852386443337453</v>
      </c>
      <c r="Q182" s="73">
        <v>227561.48300000001</v>
      </c>
      <c r="R182" s="22">
        <f t="shared" si="44"/>
        <v>0.66531892326451514</v>
      </c>
      <c r="S182" s="73">
        <v>764202.23100000003</v>
      </c>
      <c r="T182" s="18">
        <f t="shared" si="45"/>
        <v>-0.1239337261426607</v>
      </c>
      <c r="U182" s="18">
        <f t="shared" si="46"/>
        <v>-1.4894643096297149</v>
      </c>
      <c r="V182" s="22">
        <f t="shared" si="47"/>
        <v>-2.3582231093123962</v>
      </c>
      <c r="W182" s="148"/>
      <c r="Z182" s="6">
        <v>10000</v>
      </c>
      <c r="AA182" s="119">
        <v>862672.72124600003</v>
      </c>
      <c r="AB182" s="119">
        <v>607038.67917400005</v>
      </c>
      <c r="AC182" s="18">
        <v>0.29632795355204389</v>
      </c>
      <c r="AD182" s="73">
        <v>357104.13602999999</v>
      </c>
      <c r="AE182" s="18">
        <v>0.58604911545804161</v>
      </c>
      <c r="AF182" s="73">
        <v>1165281.9151659999</v>
      </c>
      <c r="AG182" s="53">
        <v>-0.35078099314758293</v>
      </c>
      <c r="AH182" s="22">
        <v>-0.91961724210326046</v>
      </c>
      <c r="AI182" s="22">
        <v>-2.2631431495604568</v>
      </c>
    </row>
    <row r="183" spans="13:35" ht="19" x14ac:dyDescent="0.25">
      <c r="M183" s="6">
        <v>50000</v>
      </c>
      <c r="N183" s="119">
        <v>8494149.0500000007</v>
      </c>
      <c r="O183" s="119">
        <v>1905993.706</v>
      </c>
      <c r="P183" s="18">
        <f t="shared" si="35"/>
        <v>0.7756109888370748</v>
      </c>
      <c r="Q183" s="73">
        <v>1426713.3219999999</v>
      </c>
      <c r="R183" s="22">
        <f t="shared" si="44"/>
        <v>0.83203575618913828</v>
      </c>
      <c r="S183" s="73">
        <v>8041834.3119999999</v>
      </c>
      <c r="T183" s="18">
        <f t="shared" si="45"/>
        <v>5.3250153174554997E-2</v>
      </c>
      <c r="U183" s="18">
        <f t="shared" si="46"/>
        <v>-3.2192344532327639</v>
      </c>
      <c r="V183" s="22">
        <f t="shared" si="47"/>
        <v>-4.636615420907944</v>
      </c>
      <c r="W183" s="148"/>
      <c r="Z183" s="6">
        <v>50000</v>
      </c>
      <c r="AA183" s="119">
        <v>12209889.029027</v>
      </c>
      <c r="AB183" s="119">
        <v>5234268.2912860001</v>
      </c>
      <c r="AC183" s="18">
        <v>0.57130910208582653</v>
      </c>
      <c r="AD183" s="73">
        <v>4325584.2510219999</v>
      </c>
      <c r="AE183" s="18">
        <v>0.64573107579121847</v>
      </c>
      <c r="AF183" s="73">
        <v>13980190.019525999</v>
      </c>
      <c r="AG183" s="53">
        <v>-0.1449891138478327</v>
      </c>
      <c r="AH183" s="22">
        <v>-1.6708967216678963</v>
      </c>
      <c r="AI183" s="22">
        <v>-2.2319772794213679</v>
      </c>
    </row>
    <row r="184" spans="13:35" ht="20" thickBot="1" x14ac:dyDescent="0.3">
      <c r="M184" s="7">
        <v>100000</v>
      </c>
      <c r="N184" s="120">
        <v>15061807.088</v>
      </c>
      <c r="O184" s="120">
        <v>8631162.2679999992</v>
      </c>
      <c r="P184" s="19">
        <f t="shared" ref="P184:P216" si="48">(N184-O184)/N184</f>
        <v>0.42695041719950094</v>
      </c>
      <c r="Q184" s="74">
        <v>10541309.511</v>
      </c>
      <c r="R184" s="23">
        <f t="shared" si="44"/>
        <v>0.30012982841889918</v>
      </c>
      <c r="S184" s="74">
        <v>22175243.223999999</v>
      </c>
      <c r="T184" s="19">
        <f t="shared" si="45"/>
        <v>-0.47228304641263108</v>
      </c>
      <c r="U184" s="19">
        <f t="shared" si="46"/>
        <v>-1.5692070819030512</v>
      </c>
      <c r="V184" s="23">
        <f t="shared" si="47"/>
        <v>-1.1036516574017519</v>
      </c>
      <c r="W184" s="148"/>
      <c r="Z184" s="7">
        <v>100000</v>
      </c>
      <c r="AA184" s="120">
        <v>18485905.513122</v>
      </c>
      <c r="AB184" s="120">
        <v>6338693.8577939998</v>
      </c>
      <c r="AC184" s="19">
        <v>0.65710666143486707</v>
      </c>
      <c r="AD184" s="74">
        <v>5328153.8782400005</v>
      </c>
      <c r="AE184" s="19">
        <v>0.71177209174536382</v>
      </c>
      <c r="AF184" s="74">
        <v>41254425.610577002</v>
      </c>
      <c r="AG184" s="54">
        <v>-1.2316691806789253</v>
      </c>
      <c r="AH184" s="23">
        <v>-5.5083480187090812</v>
      </c>
      <c r="AI184" s="23">
        <v>-6.7427241317219968</v>
      </c>
    </row>
    <row r="185" spans="13:35" ht="19" x14ac:dyDescent="0.25">
      <c r="M185" s="3"/>
      <c r="N185" s="118"/>
      <c r="O185" s="118"/>
      <c r="P185" s="16"/>
      <c r="Q185" s="24"/>
    </row>
    <row r="186" spans="13:35" ht="17" thickBot="1" x14ac:dyDescent="0.25"/>
    <row r="187" spans="13:35" ht="19" x14ac:dyDescent="0.25">
      <c r="M187" s="106" t="s">
        <v>943</v>
      </c>
      <c r="N187" s="72" t="s">
        <v>344</v>
      </c>
      <c r="O187" s="72" t="s">
        <v>341</v>
      </c>
      <c r="P187" s="17" t="s">
        <v>162</v>
      </c>
      <c r="Q187" s="72" t="s">
        <v>343</v>
      </c>
      <c r="R187" s="21" t="s">
        <v>162</v>
      </c>
      <c r="S187" s="155" t="s">
        <v>1685</v>
      </c>
      <c r="T187" s="166" t="s">
        <v>162</v>
      </c>
      <c r="U187" s="166" t="s">
        <v>1245</v>
      </c>
      <c r="V187" s="167" t="s">
        <v>1684</v>
      </c>
      <c r="W187" s="145"/>
    </row>
    <row r="188" spans="13:35" ht="19" x14ac:dyDescent="0.25">
      <c r="M188" s="67">
        <v>100</v>
      </c>
      <c r="N188" s="119">
        <v>249.80500000000001</v>
      </c>
      <c r="O188" s="119">
        <v>387.53699999999998</v>
      </c>
      <c r="P188" s="18">
        <f t="shared" si="48"/>
        <v>-0.55135805928624315</v>
      </c>
      <c r="Q188" s="73">
        <v>323.75400000000002</v>
      </c>
      <c r="R188" s="22">
        <f t="shared" si="44"/>
        <v>-0.29602690098276657</v>
      </c>
      <c r="S188" s="73">
        <v>118.223</v>
      </c>
      <c r="T188" s="18">
        <f>(N188-S188)/N188</f>
        <v>0.52673885630792017</v>
      </c>
      <c r="U188" s="18">
        <f>(O188-S188)/O188</f>
        <v>0.69493751564366757</v>
      </c>
      <c r="V188" s="22">
        <f>(Q188-S188)/Q188</f>
        <v>0.6348369440995324</v>
      </c>
      <c r="W188" s="148"/>
    </row>
    <row r="189" spans="13:35" ht="19" x14ac:dyDescent="0.25">
      <c r="M189" s="67">
        <v>1000</v>
      </c>
      <c r="N189" s="119">
        <v>2579.1010000000001</v>
      </c>
      <c r="O189" s="119">
        <v>3471.3589999999999</v>
      </c>
      <c r="P189" s="18">
        <f t="shared" si="48"/>
        <v>-0.34595698268505182</v>
      </c>
      <c r="Q189" s="73">
        <v>2808.6379999999999</v>
      </c>
      <c r="R189" s="22">
        <f t="shared" si="44"/>
        <v>-8.8998841069039089E-2</v>
      </c>
      <c r="S189" s="73">
        <v>905.18700000000001</v>
      </c>
      <c r="T189" s="18">
        <f t="shared" ref="T189:T192" si="49">(N189-S189)/N189</f>
        <v>0.64903003023146444</v>
      </c>
      <c r="U189" s="18">
        <f t="shared" ref="U189:U192" si="50">(O189-S189)/O189</f>
        <v>0.73924131730541265</v>
      </c>
      <c r="V189" s="22">
        <f t="shared" ref="V189:V192" si="51">(Q189-S189)/Q189</f>
        <v>0.67771318340063769</v>
      </c>
      <c r="W189" s="148"/>
    </row>
    <row r="190" spans="13:35" ht="19" x14ac:dyDescent="0.25">
      <c r="M190" s="6">
        <v>10000</v>
      </c>
      <c r="N190" s="119">
        <v>33298.673999999999</v>
      </c>
      <c r="O190" s="119">
        <v>35608.667999999998</v>
      </c>
      <c r="P190" s="18">
        <f t="shared" si="48"/>
        <v>-6.9371951567801127E-2</v>
      </c>
      <c r="Q190" s="73">
        <v>29052.720000000001</v>
      </c>
      <c r="R190" s="22">
        <f t="shared" si="44"/>
        <v>0.12751120359927839</v>
      </c>
      <c r="S190" s="73">
        <v>10735.269</v>
      </c>
      <c r="T190" s="18">
        <f t="shared" si="49"/>
        <v>0.67760671190690658</v>
      </c>
      <c r="U190" s="18">
        <f t="shared" si="50"/>
        <v>0.69852090507850506</v>
      </c>
      <c r="V190" s="22">
        <f t="shared" si="51"/>
        <v>0.63049005394331414</v>
      </c>
      <c r="W190" s="148"/>
    </row>
    <row r="191" spans="13:35" ht="19" x14ac:dyDescent="0.25">
      <c r="M191" s="6">
        <v>50000</v>
      </c>
      <c r="N191" s="119">
        <v>176354.86499999999</v>
      </c>
      <c r="O191" s="119">
        <v>194513.97099999999</v>
      </c>
      <c r="P191" s="18">
        <f t="shared" si="48"/>
        <v>-0.10296912421440713</v>
      </c>
      <c r="Q191" s="73">
        <v>163829.948</v>
      </c>
      <c r="R191" s="22">
        <f t="shared" si="44"/>
        <v>7.1021102820157458E-2</v>
      </c>
      <c r="S191" s="73">
        <v>110002.00599999999</v>
      </c>
      <c r="T191" s="18">
        <f t="shared" si="49"/>
        <v>0.37624626346429402</v>
      </c>
      <c r="U191" s="18">
        <f t="shared" si="50"/>
        <v>0.43447760880888087</v>
      </c>
      <c r="V191" s="22">
        <f t="shared" si="51"/>
        <v>0.32855984303919822</v>
      </c>
      <c r="W191" s="148"/>
    </row>
    <row r="192" spans="13:35" ht="20" thickBot="1" x14ac:dyDescent="0.3">
      <c r="M192" s="7">
        <v>100000</v>
      </c>
      <c r="N192" s="120">
        <v>824770.84199999995</v>
      </c>
      <c r="O192" s="120">
        <v>557947.37399999995</v>
      </c>
      <c r="P192" s="19">
        <f t="shared" si="48"/>
        <v>0.32351224656896882</v>
      </c>
      <c r="Q192" s="74">
        <v>450125.11700000003</v>
      </c>
      <c r="R192" s="23">
        <f t="shared" si="44"/>
        <v>0.45424220392117104</v>
      </c>
      <c r="S192" s="74">
        <v>246952.95199999999</v>
      </c>
      <c r="T192" s="19">
        <f t="shared" si="49"/>
        <v>0.70057991938565634</v>
      </c>
      <c r="U192" s="19">
        <f t="shared" si="50"/>
        <v>0.5573902423277648</v>
      </c>
      <c r="V192" s="23">
        <f t="shared" si="51"/>
        <v>0.45136820258799293</v>
      </c>
      <c r="W192" s="148"/>
    </row>
    <row r="193" spans="13:35" ht="19" x14ac:dyDescent="0.25">
      <c r="M193" s="146"/>
      <c r="N193" s="147"/>
      <c r="O193" s="147"/>
      <c r="P193" s="148"/>
      <c r="Q193" s="146"/>
      <c r="R193" s="148"/>
      <c r="S193" s="146"/>
      <c r="T193" s="148"/>
      <c r="U193" s="148"/>
      <c r="V193" s="148"/>
      <c r="W193" s="148"/>
    </row>
    <row r="194" spans="13:35" ht="20" thickBot="1" x14ac:dyDescent="0.3">
      <c r="M194" s="146"/>
      <c r="N194" s="147"/>
      <c r="O194" s="147"/>
      <c r="P194" s="148"/>
      <c r="Q194" s="146"/>
      <c r="R194" s="148"/>
      <c r="S194" s="146"/>
      <c r="T194" s="148"/>
      <c r="U194" s="148"/>
      <c r="V194" s="148"/>
      <c r="W194" s="148"/>
    </row>
    <row r="195" spans="13:35" ht="19" x14ac:dyDescent="0.25">
      <c r="M195" s="146"/>
      <c r="N195" s="147"/>
      <c r="O195" s="147"/>
      <c r="P195" s="148"/>
      <c r="Q195" s="146"/>
      <c r="R195" s="148"/>
      <c r="S195" s="146"/>
      <c r="T195" s="148"/>
      <c r="U195" s="148"/>
      <c r="V195" s="148"/>
      <c r="W195" s="148"/>
      <c r="Z195" s="5" t="s">
        <v>1621</v>
      </c>
      <c r="AA195" s="72" t="s">
        <v>340</v>
      </c>
      <c r="AB195" s="72" t="s">
        <v>341</v>
      </c>
      <c r="AC195" s="17" t="s">
        <v>162</v>
      </c>
      <c r="AD195" s="72" t="s">
        <v>342</v>
      </c>
      <c r="AE195" s="21" t="s">
        <v>162</v>
      </c>
      <c r="AF195" s="150" t="s">
        <v>1245</v>
      </c>
    </row>
    <row r="196" spans="13:35" ht="19" x14ac:dyDescent="0.25">
      <c r="M196" s="146"/>
      <c r="N196" s="147"/>
      <c r="O196" s="147"/>
      <c r="P196" s="148"/>
      <c r="Q196" s="146"/>
      <c r="R196" s="148"/>
      <c r="S196" s="146"/>
      <c r="T196" s="148"/>
      <c r="U196" s="148"/>
      <c r="V196" s="148"/>
      <c r="W196" s="148"/>
      <c r="Z196" s="6">
        <v>100</v>
      </c>
      <c r="AA196" s="119">
        <v>4583.7006709999996</v>
      </c>
      <c r="AB196" s="119">
        <v>4704.0060320000002</v>
      </c>
      <c r="AC196" s="18">
        <v>-2.6246338850428097E-2</v>
      </c>
      <c r="AD196" s="73">
        <v>5665.4480249999997</v>
      </c>
      <c r="AE196" s="22">
        <v>-0.23599869006367763</v>
      </c>
      <c r="AF196" s="151">
        <v>-0.20438791669474615</v>
      </c>
    </row>
    <row r="197" spans="13:35" ht="19" x14ac:dyDescent="0.25">
      <c r="M197" s="146"/>
      <c r="N197" s="147"/>
      <c r="O197" s="147"/>
      <c r="P197" s="148"/>
      <c r="Q197" s="146"/>
      <c r="R197" s="148"/>
      <c r="S197" s="146"/>
      <c r="T197" s="148"/>
      <c r="U197" s="148"/>
      <c r="V197" s="148"/>
      <c r="W197" s="148"/>
      <c r="Z197" s="6">
        <v>1000</v>
      </c>
      <c r="AA197" s="119">
        <v>60481.153313000003</v>
      </c>
      <c r="AB197" s="119">
        <v>63604.614225999998</v>
      </c>
      <c r="AC197" s="18">
        <v>-5.1643540870253697E-2</v>
      </c>
      <c r="AD197" s="73">
        <v>76145.455593000006</v>
      </c>
      <c r="AE197" s="22">
        <v>-0.25899476815421557</v>
      </c>
      <c r="AF197" s="151">
        <v>-0.19716873562725928</v>
      </c>
    </row>
    <row r="198" spans="13:35" ht="19" x14ac:dyDescent="0.25">
      <c r="M198" s="146"/>
      <c r="N198" s="147"/>
      <c r="O198" s="147"/>
      <c r="P198" s="148"/>
      <c r="Q198" s="146"/>
      <c r="R198" s="148"/>
      <c r="S198" s="146"/>
      <c r="T198" s="148"/>
      <c r="U198" s="148"/>
      <c r="V198" s="148"/>
      <c r="W198" s="148"/>
      <c r="Z198" s="6">
        <v>10000</v>
      </c>
      <c r="AA198" s="119">
        <v>683430.14150799997</v>
      </c>
      <c r="AB198" s="119">
        <v>709308.18256900006</v>
      </c>
      <c r="AC198" s="18">
        <v>-3.7864939646793681E-2</v>
      </c>
      <c r="AD198" s="73">
        <v>798942.05297700001</v>
      </c>
      <c r="AE198" s="22">
        <v>-0.16901787681491642</v>
      </c>
      <c r="AF198" s="151">
        <v>-0.12636801972784314</v>
      </c>
    </row>
    <row r="199" spans="13:35" ht="19" x14ac:dyDescent="0.25">
      <c r="M199" s="146"/>
      <c r="N199" s="147"/>
      <c r="O199" s="147"/>
      <c r="P199" s="148"/>
      <c r="Q199" s="146"/>
      <c r="R199" s="148"/>
      <c r="S199" s="146"/>
      <c r="T199" s="148"/>
      <c r="U199" s="148"/>
      <c r="V199" s="148"/>
      <c r="W199" s="148"/>
      <c r="Z199" s="6">
        <v>50000</v>
      </c>
      <c r="AA199" s="119">
        <v>3752294.9114930001</v>
      </c>
      <c r="AB199" s="119">
        <v>3663141.4205789999</v>
      </c>
      <c r="AC199" s="18">
        <v>2.3759723853508871E-2</v>
      </c>
      <c r="AD199" s="73">
        <v>4190252.49492</v>
      </c>
      <c r="AE199" s="22">
        <v>-0.11671726070506036</v>
      </c>
      <c r="AF199" s="151">
        <v>-0.14389591168382582</v>
      </c>
    </row>
    <row r="200" spans="13:35" ht="20" thickBot="1" x14ac:dyDescent="0.3">
      <c r="M200" s="3"/>
      <c r="N200" s="118"/>
      <c r="O200" s="118"/>
      <c r="Q200" s="24"/>
      <c r="Z200" s="7">
        <v>100000</v>
      </c>
      <c r="AA200" s="120">
        <v>7073775.7116360003</v>
      </c>
      <c r="AB200" s="120">
        <v>6941934.0204469999</v>
      </c>
      <c r="AC200" s="19">
        <v>1.8638093228221461E-2</v>
      </c>
      <c r="AD200" s="162">
        <v>7963089.7926350003</v>
      </c>
      <c r="AE200" s="23">
        <v>-0.1257198584252712</v>
      </c>
      <c r="AF200" s="152">
        <v>-0.14709960785859599</v>
      </c>
    </row>
    <row r="201" spans="13:35" ht="19" x14ac:dyDescent="0.25">
      <c r="M201" s="3"/>
      <c r="N201" s="118"/>
      <c r="O201" s="118"/>
      <c r="Q201" s="24"/>
      <c r="Z201" s="146"/>
      <c r="AA201" s="147"/>
      <c r="AB201" s="147"/>
      <c r="AC201" s="148"/>
      <c r="AD201" s="184"/>
      <c r="AE201" s="148"/>
      <c r="AF201" s="148"/>
    </row>
    <row r="202" spans="13:35" ht="17" thickBot="1" x14ac:dyDescent="0.25"/>
    <row r="203" spans="13:35" ht="19" x14ac:dyDescent="0.25">
      <c r="M203" s="106" t="s">
        <v>1224</v>
      </c>
      <c r="N203" s="72" t="s">
        <v>344</v>
      </c>
      <c r="O203" s="72" t="s">
        <v>341</v>
      </c>
      <c r="P203" s="21" t="s">
        <v>162</v>
      </c>
      <c r="Q203" s="72" t="s">
        <v>343</v>
      </c>
      <c r="R203" s="21" t="s">
        <v>162</v>
      </c>
      <c r="S203" s="155" t="s">
        <v>1685</v>
      </c>
      <c r="T203" s="166" t="s">
        <v>162</v>
      </c>
      <c r="U203" s="166" t="s">
        <v>1245</v>
      </c>
      <c r="V203" s="167" t="s">
        <v>1684</v>
      </c>
      <c r="W203" s="145"/>
      <c r="Z203" s="106" t="s">
        <v>1224</v>
      </c>
      <c r="AA203" s="72" t="s">
        <v>344</v>
      </c>
      <c r="AB203" s="72" t="s">
        <v>341</v>
      </c>
      <c r="AC203" s="17" t="s">
        <v>162</v>
      </c>
      <c r="AD203" s="72" t="s">
        <v>343</v>
      </c>
      <c r="AE203" s="17" t="s">
        <v>162</v>
      </c>
      <c r="AF203" s="72" t="s">
        <v>342</v>
      </c>
      <c r="AG203" s="155" t="s">
        <v>162</v>
      </c>
      <c r="AH203" s="156" t="s">
        <v>1245</v>
      </c>
      <c r="AI203" s="156" t="s">
        <v>1684</v>
      </c>
    </row>
    <row r="204" spans="13:35" ht="19" x14ac:dyDescent="0.25">
      <c r="M204" s="67">
        <v>100</v>
      </c>
      <c r="N204" s="119">
        <v>4291.6189999999997</v>
      </c>
      <c r="O204" s="119">
        <v>4837.6940000000004</v>
      </c>
      <c r="P204" s="18">
        <f t="shared" si="48"/>
        <v>-0.12724218995209052</v>
      </c>
      <c r="Q204" s="73">
        <v>4819.54</v>
      </c>
      <c r="R204" s="22">
        <f t="shared" si="44"/>
        <v>-0.12301208471674684</v>
      </c>
      <c r="S204" s="73">
        <v>4868.1850000000004</v>
      </c>
      <c r="T204" s="18">
        <f>(N204-S204)/N204</f>
        <v>-0.13434696789253678</v>
      </c>
      <c r="U204" s="18">
        <f>(O204-S204)/O204</f>
        <v>-6.3027963323021218E-3</v>
      </c>
      <c r="V204" s="22">
        <f>(Q204-S204)/Q204</f>
        <v>-1.0093286911199085E-2</v>
      </c>
      <c r="W204" s="148"/>
      <c r="Z204" s="6">
        <v>100</v>
      </c>
      <c r="AA204" s="119">
        <v>7711.1295790000004</v>
      </c>
      <c r="AB204" s="119">
        <v>9484.9832920000008</v>
      </c>
      <c r="AC204" s="18">
        <v>-0.23003811501635257</v>
      </c>
      <c r="AD204" s="73">
        <v>8718.3458649999993</v>
      </c>
      <c r="AE204" s="18">
        <v>-0.13061851388712073</v>
      </c>
      <c r="AF204" s="73">
        <v>9932.6996880000006</v>
      </c>
      <c r="AG204" s="53">
        <v>-0.28809918005399404</v>
      </c>
      <c r="AH204" s="22">
        <v>-4.7202655209484766E-2</v>
      </c>
      <c r="AI204" s="22">
        <v>-0.13928718151399025</v>
      </c>
    </row>
    <row r="205" spans="13:35" ht="19" x14ac:dyDescent="0.25">
      <c r="M205" s="67">
        <v>1000</v>
      </c>
      <c r="N205" s="119">
        <v>55019.857000000004</v>
      </c>
      <c r="O205" s="119">
        <v>63099.016000000003</v>
      </c>
      <c r="P205" s="18">
        <f t="shared" si="48"/>
        <v>-0.14684078513690066</v>
      </c>
      <c r="Q205" s="73">
        <v>60589.218999999997</v>
      </c>
      <c r="R205" s="22">
        <f t="shared" si="44"/>
        <v>-0.10122458151790531</v>
      </c>
      <c r="S205" s="73">
        <v>57807.538999999997</v>
      </c>
      <c r="T205" s="18">
        <f t="shared" ref="T205:T208" si="52">(N205-S205)/N205</f>
        <v>-5.0666834702969024E-2</v>
      </c>
      <c r="U205" s="18">
        <f t="shared" ref="U205:U208" si="53">(O205-S205)/O205</f>
        <v>8.3859897276369666E-2</v>
      </c>
      <c r="V205" s="22">
        <f t="shared" ref="V205:V208" si="54">(Q205-S205)/Q205</f>
        <v>4.5910477902017528E-2</v>
      </c>
      <c r="W205" s="148"/>
      <c r="Z205" s="6">
        <v>1000</v>
      </c>
      <c r="AA205" s="119">
        <v>143677.809779</v>
      </c>
      <c r="AB205" s="119">
        <v>159700.849285</v>
      </c>
      <c r="AC205" s="18">
        <v>-0.11152062751127721</v>
      </c>
      <c r="AD205" s="73">
        <v>158160.48876599999</v>
      </c>
      <c r="AE205" s="18">
        <v>-0.10079969209773397</v>
      </c>
      <c r="AF205" s="73">
        <v>150570.014417</v>
      </c>
      <c r="AG205" s="53">
        <v>-4.7969861515855056E-2</v>
      </c>
      <c r="AH205" s="22">
        <v>5.7174616846935103E-2</v>
      </c>
      <c r="AI205" s="22">
        <v>4.7992228705300587E-2</v>
      </c>
    </row>
    <row r="206" spans="13:35" ht="19" x14ac:dyDescent="0.25">
      <c r="M206" s="6">
        <v>10000</v>
      </c>
      <c r="N206" s="119">
        <v>1143492.737</v>
      </c>
      <c r="O206" s="119">
        <v>1227228.2709999999</v>
      </c>
      <c r="P206" s="18">
        <f t="shared" si="48"/>
        <v>-7.3227866947090187E-2</v>
      </c>
      <c r="Q206" s="73">
        <v>1239189.7439999999</v>
      </c>
      <c r="R206" s="22">
        <f t="shared" si="44"/>
        <v>-8.3688338284565761E-2</v>
      </c>
      <c r="S206" s="73">
        <v>1163490.175</v>
      </c>
      <c r="T206" s="18">
        <f t="shared" si="52"/>
        <v>-1.7488032370423429E-2</v>
      </c>
      <c r="U206" s="18">
        <f t="shared" si="53"/>
        <v>5.1936626222001292E-2</v>
      </c>
      <c r="V206" s="22">
        <f t="shared" si="54"/>
        <v>6.1087956357392115E-2</v>
      </c>
      <c r="W206" s="148"/>
      <c r="Z206" s="6">
        <v>10000</v>
      </c>
      <c r="AA206" s="119">
        <v>1853220.216856</v>
      </c>
      <c r="AB206" s="119">
        <v>2008838.754613</v>
      </c>
      <c r="AC206" s="18">
        <v>-8.3971962069897876E-2</v>
      </c>
      <c r="AD206" s="73">
        <v>1919899.6580449999</v>
      </c>
      <c r="AE206" s="18">
        <v>-3.5980311774345963E-2</v>
      </c>
      <c r="AF206" s="73">
        <v>2021224.5935829999</v>
      </c>
      <c r="AG206" s="53">
        <v>-9.0655376624382167E-2</v>
      </c>
      <c r="AH206" s="22">
        <v>-6.1656710582458068E-3</v>
      </c>
      <c r="AI206" s="22">
        <v>-5.2776162084000454E-2</v>
      </c>
    </row>
    <row r="207" spans="13:35" ht="19" x14ac:dyDescent="0.25">
      <c r="M207" s="6">
        <v>50000</v>
      </c>
      <c r="N207" s="119">
        <v>7903729.4950000001</v>
      </c>
      <c r="O207" s="119">
        <v>7927268.4450000003</v>
      </c>
      <c r="P207" s="18">
        <f t="shared" si="48"/>
        <v>-2.9782079478923493E-3</v>
      </c>
      <c r="Q207" s="73">
        <v>8179527.523</v>
      </c>
      <c r="R207" s="22">
        <f t="shared" si="44"/>
        <v>-3.489466943099119E-2</v>
      </c>
      <c r="S207" s="73">
        <v>7953527.1540000001</v>
      </c>
      <c r="T207" s="18">
        <f t="shared" si="52"/>
        <v>-6.300526736334109E-3</v>
      </c>
      <c r="U207" s="18">
        <f t="shared" si="53"/>
        <v>-3.3124536127651974E-3</v>
      </c>
      <c r="V207" s="22">
        <f t="shared" si="54"/>
        <v>2.7630002877856927E-2</v>
      </c>
      <c r="W207" s="148"/>
      <c r="Z207" s="6">
        <v>50000</v>
      </c>
      <c r="AA207" s="119">
        <v>12182248.418184999</v>
      </c>
      <c r="AB207" s="119">
        <v>12477503.775304001</v>
      </c>
      <c r="AC207" s="18">
        <v>-2.4236524078614277E-2</v>
      </c>
      <c r="AD207" s="73">
        <v>12434612.092367999</v>
      </c>
      <c r="AE207" s="18">
        <v>-2.0715689380154577E-2</v>
      </c>
      <c r="AF207" s="73">
        <v>12359273.389672</v>
      </c>
      <c r="AG207" s="53">
        <v>-1.4531387426211677E-2</v>
      </c>
      <c r="AH207" s="22">
        <v>9.4754838596809252E-3</v>
      </c>
      <c r="AI207" s="22">
        <v>6.0587899434546887E-3</v>
      </c>
    </row>
    <row r="208" spans="13:35" ht="20" thickBot="1" x14ac:dyDescent="0.3">
      <c r="M208" s="7">
        <v>100000</v>
      </c>
      <c r="N208" s="120">
        <v>19504357.647999998</v>
      </c>
      <c r="O208" s="120">
        <v>20167925.723999999</v>
      </c>
      <c r="P208" s="19">
        <f t="shared" si="48"/>
        <v>-3.4021529341062118E-2</v>
      </c>
      <c r="Q208" s="74">
        <v>21670666.776999999</v>
      </c>
      <c r="R208" s="23">
        <f t="shared" si="44"/>
        <v>-0.11106795558694735</v>
      </c>
      <c r="S208" s="74">
        <v>21739590.206999999</v>
      </c>
      <c r="T208" s="19">
        <f t="shared" si="52"/>
        <v>-0.11460170077578556</v>
      </c>
      <c r="U208" s="19">
        <f t="shared" si="53"/>
        <v>-7.7928910712404362E-2</v>
      </c>
      <c r="V208" s="23">
        <f t="shared" si="54"/>
        <v>-3.1804942002592682E-3</v>
      </c>
      <c r="W208" s="148"/>
      <c r="Z208" s="7">
        <v>100000</v>
      </c>
      <c r="AA208" s="120">
        <v>26557257.339985002</v>
      </c>
      <c r="AB208" s="120">
        <v>27670294.708198</v>
      </c>
      <c r="AC208" s="19">
        <v>-4.1910855249995722E-2</v>
      </c>
      <c r="AD208" s="74">
        <v>29297763.114553999</v>
      </c>
      <c r="AE208" s="19">
        <v>-0.10319234925072067</v>
      </c>
      <c r="AF208" s="74">
        <v>30951103.568224002</v>
      </c>
      <c r="AG208" s="54">
        <v>-0.16544804201688251</v>
      </c>
      <c r="AH208" s="23">
        <v>-0.11856790448473187</v>
      </c>
      <c r="AI208" s="23">
        <v>-5.6432310112053803E-2</v>
      </c>
    </row>
    <row r="209" spans="13:32" ht="19" x14ac:dyDescent="0.25">
      <c r="M209" s="3"/>
      <c r="N209" s="118"/>
      <c r="O209" s="118"/>
      <c r="Q209" s="24"/>
    </row>
    <row r="210" spans="13:32" ht="17" thickBot="1" x14ac:dyDescent="0.25"/>
    <row r="211" spans="13:32" ht="19" x14ac:dyDescent="0.25">
      <c r="M211" s="105" t="s">
        <v>1243</v>
      </c>
      <c r="N211" s="72" t="s">
        <v>340</v>
      </c>
      <c r="O211" s="72" t="s">
        <v>341</v>
      </c>
      <c r="P211" s="21" t="s">
        <v>162</v>
      </c>
      <c r="Q211" s="72" t="s">
        <v>342</v>
      </c>
      <c r="R211" s="21" t="s">
        <v>162</v>
      </c>
      <c r="S211" s="172" t="s">
        <v>1245</v>
      </c>
      <c r="T211" s="145"/>
      <c r="U211" s="170"/>
      <c r="V211" s="169"/>
      <c r="Z211" s="5" t="s">
        <v>1243</v>
      </c>
      <c r="AA211" s="72" t="s">
        <v>340</v>
      </c>
      <c r="AB211" s="72" t="s">
        <v>341</v>
      </c>
      <c r="AC211" s="17" t="s">
        <v>162</v>
      </c>
      <c r="AD211" s="72" t="s">
        <v>342</v>
      </c>
      <c r="AE211" s="21" t="s">
        <v>162</v>
      </c>
      <c r="AF211" s="150" t="s">
        <v>1245</v>
      </c>
    </row>
    <row r="212" spans="13:32" ht="19" x14ac:dyDescent="0.25">
      <c r="M212" s="67">
        <v>100</v>
      </c>
      <c r="N212" s="119">
        <v>29349.057000000001</v>
      </c>
      <c r="O212" s="119">
        <v>24703.73</v>
      </c>
      <c r="P212" s="18">
        <f t="shared" si="48"/>
        <v>0.1582785777410157</v>
      </c>
      <c r="Q212" s="73">
        <v>28367.352999999999</v>
      </c>
      <c r="R212" s="22">
        <f t="shared" si="44"/>
        <v>3.3449251878859394E-2</v>
      </c>
      <c r="S212" s="173">
        <f>(O212-Q212)/O212</f>
        <v>-0.14830242234674682</v>
      </c>
      <c r="T212" s="148"/>
      <c r="U212" s="171"/>
      <c r="V212" s="169"/>
      <c r="Z212" s="6">
        <v>100</v>
      </c>
      <c r="AA212" s="119">
        <v>36528.462598999999</v>
      </c>
      <c r="AB212" s="119">
        <v>42645.785055</v>
      </c>
      <c r="AC212" s="18">
        <v>-0.16746728498142346</v>
      </c>
      <c r="AD212" s="73">
        <v>51804.300864999997</v>
      </c>
      <c r="AE212" s="22">
        <v>-0.41819001346139845</v>
      </c>
      <c r="AF212" s="151">
        <v>-0.21475781951694212</v>
      </c>
    </row>
    <row r="213" spans="13:32" ht="19" x14ac:dyDescent="0.25">
      <c r="M213" s="67">
        <v>1000</v>
      </c>
      <c r="N213" s="119">
        <v>171528.269</v>
      </c>
      <c r="O213" s="119">
        <v>202274.864</v>
      </c>
      <c r="P213" s="18">
        <f t="shared" si="48"/>
        <v>-0.17925089070886618</v>
      </c>
      <c r="Q213" s="73">
        <v>247696.916</v>
      </c>
      <c r="R213" s="22">
        <f t="shared" si="44"/>
        <v>-0.44405885656083893</v>
      </c>
      <c r="S213" s="173">
        <f t="shared" ref="S213:S216" si="55">(O213-Q213)/O213</f>
        <v>-0.2245560872061691</v>
      </c>
      <c r="T213" s="148"/>
      <c r="U213" s="171"/>
      <c r="V213" s="169"/>
      <c r="Z213" s="6">
        <v>1000</v>
      </c>
      <c r="AA213" s="119">
        <v>315156.47585400002</v>
      </c>
      <c r="AB213" s="119">
        <v>339107.89250700001</v>
      </c>
      <c r="AC213" s="18">
        <v>-7.5998491187900488E-2</v>
      </c>
      <c r="AD213" s="73">
        <v>482648.93680700002</v>
      </c>
      <c r="AE213" s="22">
        <v>-0.53145809712186554</v>
      </c>
      <c r="AF213" s="151">
        <v>-0.42329019014807207</v>
      </c>
    </row>
    <row r="214" spans="13:32" ht="19" x14ac:dyDescent="0.25">
      <c r="M214" s="6">
        <v>10000</v>
      </c>
      <c r="N214" s="119">
        <v>1779734.368</v>
      </c>
      <c r="O214" s="119">
        <v>2078245.548</v>
      </c>
      <c r="P214" s="18">
        <f t="shared" si="48"/>
        <v>-0.16772794039790095</v>
      </c>
      <c r="Q214" s="73">
        <v>3681060.4019999998</v>
      </c>
      <c r="R214" s="22">
        <f t="shared" si="44"/>
        <v>-1.0683201202304364</v>
      </c>
      <c r="S214" s="173">
        <f t="shared" si="55"/>
        <v>-0.77123459041809039</v>
      </c>
      <c r="T214" s="148"/>
      <c r="U214" s="171"/>
      <c r="V214" s="169"/>
      <c r="Z214" s="6">
        <v>10000</v>
      </c>
      <c r="AA214" s="119">
        <v>2301404.6139110001</v>
      </c>
      <c r="AB214" s="119">
        <v>2603214</v>
      </c>
      <c r="AC214" s="18">
        <v>-0.13114138394643521</v>
      </c>
      <c r="AD214" s="73">
        <v>3206723</v>
      </c>
      <c r="AE214" s="22">
        <v>-0.39337645393458415</v>
      </c>
      <c r="AF214" s="151">
        <v>-0.23183226580680652</v>
      </c>
    </row>
    <row r="215" spans="13:32" ht="19" x14ac:dyDescent="0.25">
      <c r="M215" s="6">
        <v>50000</v>
      </c>
      <c r="N215" s="119">
        <v>14020366.664999999</v>
      </c>
      <c r="O215" s="119">
        <v>10993623.032</v>
      </c>
      <c r="P215" s="18">
        <f t="shared" si="48"/>
        <v>0.21588191702260304</v>
      </c>
      <c r="Q215" s="73">
        <v>18374901.627999999</v>
      </c>
      <c r="R215" s="22">
        <f t="shared" si="44"/>
        <v>-0.31058638244251652</v>
      </c>
      <c r="S215" s="173">
        <f t="shared" si="55"/>
        <v>-0.67141456228895002</v>
      </c>
      <c r="T215" s="148"/>
      <c r="U215" s="171"/>
      <c r="V215" s="169"/>
      <c r="Z215" s="6">
        <v>50000</v>
      </c>
      <c r="AA215" s="119">
        <v>13968326.159274001</v>
      </c>
      <c r="AB215" s="119">
        <v>14524237.144562</v>
      </c>
      <c r="AC215" s="18">
        <v>-3.9797967125711292E-2</v>
      </c>
      <c r="AD215" s="73">
        <v>19876539.762272</v>
      </c>
      <c r="AE215" s="22">
        <v>-0.42297219692821642</v>
      </c>
      <c r="AF215" s="151">
        <v>-0.36850834673364913</v>
      </c>
    </row>
    <row r="216" spans="13:32" ht="20" thickBot="1" x14ac:dyDescent="0.3">
      <c r="M216" s="7">
        <v>100000</v>
      </c>
      <c r="N216" s="120">
        <v>27662878.572000001</v>
      </c>
      <c r="O216" s="120">
        <v>24980462.340999998</v>
      </c>
      <c r="P216" s="19">
        <f t="shared" si="48"/>
        <v>9.696808031088669E-2</v>
      </c>
      <c r="Q216" s="74">
        <v>37607147.615999997</v>
      </c>
      <c r="R216" s="23">
        <f t="shared" si="44"/>
        <v>-0.35948063098774735</v>
      </c>
      <c r="S216" s="174">
        <f t="shared" si="55"/>
        <v>-0.50546243310621353</v>
      </c>
      <c r="T216" s="148"/>
      <c r="U216" s="171"/>
      <c r="V216" s="169"/>
      <c r="Z216" s="7">
        <v>100000</v>
      </c>
      <c r="AA216" s="120">
        <v>34631256.343249999</v>
      </c>
      <c r="AB216" s="120">
        <v>28660046.979554001</v>
      </c>
      <c r="AC216" s="19">
        <v>0.17242254524386755</v>
      </c>
      <c r="AD216" s="162">
        <v>41507354.523346998</v>
      </c>
      <c r="AE216" s="23">
        <v>-0.19855179702243819</v>
      </c>
      <c r="AF216" s="152">
        <v>-0.44826540420391603</v>
      </c>
    </row>
    <row r="217" spans="13:32" ht="19" x14ac:dyDescent="0.25">
      <c r="M217" s="3"/>
      <c r="N217" s="118"/>
      <c r="O217" s="118"/>
      <c r="P217" s="16"/>
      <c r="Q217" s="24"/>
      <c r="R217" s="16"/>
      <c r="S217" s="16"/>
      <c r="T217" s="148"/>
      <c r="U217" s="169"/>
      <c r="V217" s="169"/>
    </row>
    <row r="218" spans="13:32" ht="20" thickBot="1" x14ac:dyDescent="0.3">
      <c r="Q218" s="24"/>
      <c r="R218" s="16"/>
      <c r="S218" s="16"/>
      <c r="T218" s="148"/>
      <c r="U218" s="169"/>
      <c r="V218" s="169"/>
    </row>
    <row r="219" spans="13:32" ht="19" x14ac:dyDescent="0.25">
      <c r="M219" s="5" t="s">
        <v>1440</v>
      </c>
      <c r="N219" s="72" t="s">
        <v>340</v>
      </c>
      <c r="O219" s="72" t="s">
        <v>341</v>
      </c>
      <c r="P219" s="17" t="s">
        <v>162</v>
      </c>
      <c r="Q219" s="72" t="s">
        <v>342</v>
      </c>
      <c r="R219" s="17" t="s">
        <v>162</v>
      </c>
      <c r="S219" s="172" t="s">
        <v>1245</v>
      </c>
      <c r="T219" s="145"/>
      <c r="U219" s="170"/>
      <c r="V219" s="169"/>
      <c r="Z219" s="5" t="s">
        <v>1440</v>
      </c>
      <c r="AA219" s="72" t="s">
        <v>340</v>
      </c>
      <c r="AB219" s="72" t="s">
        <v>341</v>
      </c>
      <c r="AC219" s="17" t="s">
        <v>162</v>
      </c>
      <c r="AD219" s="72" t="s">
        <v>342</v>
      </c>
      <c r="AE219" s="17" t="s">
        <v>162</v>
      </c>
      <c r="AF219" s="172" t="s">
        <v>1245</v>
      </c>
    </row>
    <row r="220" spans="13:32" ht="19" x14ac:dyDescent="0.25">
      <c r="M220" s="6" t="s">
        <v>1439</v>
      </c>
      <c r="N220" s="119">
        <v>1549191.832653</v>
      </c>
      <c r="O220" s="119">
        <v>1641099.437012</v>
      </c>
      <c r="P220" s="18">
        <v>-5.9326161177604253E-2</v>
      </c>
      <c r="Q220" s="73">
        <v>1573755.6458620001</v>
      </c>
      <c r="R220" s="18">
        <v>-1.5855888658368646E-2</v>
      </c>
      <c r="S220" s="173">
        <f>(O220-Q220)/O220</f>
        <v>4.1035777376546331E-2</v>
      </c>
      <c r="T220" s="148"/>
      <c r="U220" s="171"/>
      <c r="V220" s="169"/>
      <c r="Z220" s="6" t="s">
        <v>1439</v>
      </c>
      <c r="AA220" s="119"/>
      <c r="AB220" s="119"/>
      <c r="AC220" s="18"/>
      <c r="AD220" s="73"/>
      <c r="AE220" s="18"/>
      <c r="AF220" s="173"/>
    </row>
    <row r="221" spans="13:32" ht="19" x14ac:dyDescent="0.25">
      <c r="M221" s="67" t="s">
        <v>569</v>
      </c>
      <c r="N221" s="119">
        <v>242451.701069</v>
      </c>
      <c r="O221" s="119">
        <v>213276.690229</v>
      </c>
      <c r="P221" s="18">
        <v>0.12033328993512404</v>
      </c>
      <c r="Q221" s="73">
        <v>211512.15160000001</v>
      </c>
      <c r="R221" s="18">
        <v>0.12761118743479063</v>
      </c>
      <c r="S221" s="173">
        <f t="shared" ref="S221:S241" si="56">(O221-Q221)/O221</f>
        <v>8.2734715505260459E-3</v>
      </c>
      <c r="T221" s="148"/>
      <c r="U221" s="171"/>
      <c r="V221" s="169"/>
      <c r="Z221" s="67" t="s">
        <v>569</v>
      </c>
      <c r="AA221" s="119"/>
      <c r="AB221" s="119"/>
      <c r="AC221" s="18"/>
      <c r="AD221" s="73"/>
      <c r="AE221" s="18"/>
      <c r="AF221" s="173"/>
    </row>
    <row r="222" spans="13:32" ht="19" x14ac:dyDescent="0.25">
      <c r="M222" s="67" t="s">
        <v>570</v>
      </c>
      <c r="N222" s="119">
        <v>382458.29330999998</v>
      </c>
      <c r="O222" s="119">
        <v>411514.27758499997</v>
      </c>
      <c r="P222" s="18">
        <v>-7.5971641309000942E-2</v>
      </c>
      <c r="Q222" s="73">
        <v>372266.36723099998</v>
      </c>
      <c r="R222" s="18">
        <v>2.6648464047657541E-2</v>
      </c>
      <c r="S222" s="173">
        <f t="shared" si="56"/>
        <v>9.5374358781253166E-2</v>
      </c>
      <c r="T222" s="148"/>
      <c r="U222" s="171"/>
      <c r="V222" s="169"/>
      <c r="Z222" s="67" t="s">
        <v>570</v>
      </c>
      <c r="AA222" s="119">
        <v>411707.90653799998</v>
      </c>
      <c r="AB222" s="119">
        <v>444347.951757</v>
      </c>
      <c r="AC222" s="18">
        <v>-7.9279617176813671E-2</v>
      </c>
      <c r="AD222" s="73">
        <v>439875.78599900001</v>
      </c>
      <c r="AE222" s="18">
        <v>-6.8417144809921657E-2</v>
      </c>
      <c r="AF222" s="18">
        <v>1.0064558057073425E-2</v>
      </c>
    </row>
    <row r="223" spans="13:32" ht="19" x14ac:dyDescent="0.25">
      <c r="M223" s="67" t="s">
        <v>628</v>
      </c>
      <c r="N223" s="119">
        <v>106672.51109099999</v>
      </c>
      <c r="O223" s="119">
        <v>45458.943443999997</v>
      </c>
      <c r="P223" s="18">
        <v>0.57384575483350186</v>
      </c>
      <c r="Q223" s="73">
        <v>59537.649073</v>
      </c>
      <c r="R223" s="18">
        <v>0.44186512097563985</v>
      </c>
      <c r="S223" s="173">
        <f t="shared" si="56"/>
        <v>-0.30970155842586383</v>
      </c>
      <c r="T223" s="148"/>
      <c r="U223" s="171"/>
      <c r="V223" s="169"/>
      <c r="Z223" s="67" t="s">
        <v>628</v>
      </c>
      <c r="AA223" s="119">
        <v>66253.070980000004</v>
      </c>
      <c r="AB223" s="119">
        <v>31450.342207000002</v>
      </c>
      <c r="AC223" s="18">
        <v>0.52529985792667633</v>
      </c>
      <c r="AD223" s="73">
        <v>15290.119350999999</v>
      </c>
      <c r="AE223" s="22">
        <v>0.76921644348205875</v>
      </c>
      <c r="AF223" s="151">
        <v>0.51383297356946311</v>
      </c>
    </row>
    <row r="224" spans="13:32" ht="19" x14ac:dyDescent="0.25">
      <c r="M224" s="67" t="s">
        <v>644</v>
      </c>
      <c r="N224" s="119">
        <v>64539.482127000003</v>
      </c>
      <c r="O224" s="119">
        <v>19842.994638</v>
      </c>
      <c r="P224" s="18">
        <v>0.69254487355579963</v>
      </c>
      <c r="Q224" s="73">
        <v>56128.832513000001</v>
      </c>
      <c r="R224" s="18">
        <v>0.13031789746080746</v>
      </c>
      <c r="S224" s="173">
        <f t="shared" si="56"/>
        <v>-1.8286472650409027</v>
      </c>
      <c r="T224" s="148"/>
      <c r="U224" s="171"/>
      <c r="V224" s="169"/>
      <c r="Z224" s="67" t="s">
        <v>644</v>
      </c>
      <c r="AA224" s="119"/>
      <c r="AB224" s="119"/>
      <c r="AC224" s="18"/>
      <c r="AD224" s="73"/>
      <c r="AE224" s="18"/>
      <c r="AF224" s="173"/>
    </row>
    <row r="225" spans="13:32" ht="19" x14ac:dyDescent="0.25">
      <c r="M225" s="67" t="s">
        <v>571</v>
      </c>
      <c r="N225" s="119">
        <v>94955.801116000002</v>
      </c>
      <c r="O225" s="119">
        <v>71717.290729</v>
      </c>
      <c r="P225" s="18">
        <v>0.24472975967641356</v>
      </c>
      <c r="Q225" s="73">
        <v>56669.101799999997</v>
      </c>
      <c r="R225" s="18">
        <v>0.40320547945489049</v>
      </c>
      <c r="S225" s="173">
        <f t="shared" si="56"/>
        <v>0.20982651151537485</v>
      </c>
      <c r="T225" s="148"/>
      <c r="U225" s="171"/>
      <c r="V225" s="169"/>
      <c r="Z225" s="67" t="s">
        <v>571</v>
      </c>
      <c r="AA225" s="119"/>
      <c r="AB225" s="119"/>
      <c r="AC225" s="18"/>
      <c r="AD225" s="73"/>
      <c r="AE225" s="18"/>
      <c r="AF225" s="173"/>
    </row>
    <row r="226" spans="13:32" ht="19" x14ac:dyDescent="0.25">
      <c r="M226" s="67" t="s">
        <v>572</v>
      </c>
      <c r="N226" s="119">
        <v>121629.25012300001</v>
      </c>
      <c r="O226" s="119">
        <v>65015.489042000001</v>
      </c>
      <c r="P226" s="18">
        <v>0.46546172917902734</v>
      </c>
      <c r="Q226" s="73">
        <v>64570.802780999999</v>
      </c>
      <c r="R226" s="18">
        <v>0.46911780911498274</v>
      </c>
      <c r="S226" s="173">
        <f t="shared" si="56"/>
        <v>6.8396972406488442E-3</v>
      </c>
      <c r="T226" s="148"/>
      <c r="U226" s="171"/>
      <c r="V226" s="169"/>
      <c r="Z226" s="67" t="s">
        <v>572</v>
      </c>
      <c r="AA226" s="119">
        <v>117983.01317599999</v>
      </c>
      <c r="AB226" s="119">
        <v>28954.299891999999</v>
      </c>
      <c r="AC226" s="18">
        <v>0.75458924880306533</v>
      </c>
      <c r="AD226" s="73">
        <v>15645.82481</v>
      </c>
      <c r="AE226" s="22">
        <v>0.86738917418001094</v>
      </c>
      <c r="AF226" s="151">
        <v>0.4596372604981237</v>
      </c>
    </row>
    <row r="227" spans="13:32" ht="19" x14ac:dyDescent="0.25">
      <c r="M227" s="67" t="s">
        <v>168</v>
      </c>
      <c r="N227" s="119">
        <v>629340.11673799995</v>
      </c>
      <c r="O227" s="119">
        <v>449065.319854</v>
      </c>
      <c r="P227" s="18">
        <v>0.28645050917523185</v>
      </c>
      <c r="Q227" s="73">
        <v>1156720.299776</v>
      </c>
      <c r="R227" s="18">
        <v>-0.83798913975406597</v>
      </c>
      <c r="S227" s="173">
        <f t="shared" si="56"/>
        <v>-1.5758397467701861</v>
      </c>
      <c r="T227" s="148"/>
      <c r="U227" s="171"/>
      <c r="V227" s="169"/>
      <c r="Z227" s="67" t="s">
        <v>168</v>
      </c>
      <c r="AA227" s="119"/>
      <c r="AB227" s="119"/>
      <c r="AC227" s="18"/>
      <c r="AD227" s="73"/>
      <c r="AE227" s="18"/>
      <c r="AF227" s="173"/>
    </row>
    <row r="228" spans="13:32" ht="19" x14ac:dyDescent="0.25">
      <c r="M228" s="67" t="s">
        <v>578</v>
      </c>
      <c r="N228" s="119">
        <v>254025.13492300001</v>
      </c>
      <c r="O228" s="119">
        <v>219860.51101700001</v>
      </c>
      <c r="P228" s="18">
        <v>0.13449308438063012</v>
      </c>
      <c r="Q228" s="73">
        <v>321659.49561400001</v>
      </c>
      <c r="R228" s="18">
        <v>-0.26625066339006692</v>
      </c>
      <c r="S228" s="173">
        <f t="shared" si="56"/>
        <v>-0.46301622845372503</v>
      </c>
      <c r="T228" s="148"/>
      <c r="U228" s="171"/>
      <c r="V228" s="169"/>
      <c r="Z228" s="67" t="s">
        <v>578</v>
      </c>
      <c r="AA228" s="119">
        <v>258652.879377</v>
      </c>
      <c r="AB228" s="119">
        <v>253632.725041</v>
      </c>
      <c r="AC228" s="18">
        <v>1.940884767295736E-2</v>
      </c>
      <c r="AD228" s="73">
        <v>396422.37014700001</v>
      </c>
      <c r="AE228" s="22">
        <v>-0.53264240128250739</v>
      </c>
      <c r="AF228" s="151">
        <v>-0.56297800326404224</v>
      </c>
    </row>
    <row r="229" spans="13:32" ht="19" x14ac:dyDescent="0.25">
      <c r="M229" s="67" t="s">
        <v>579</v>
      </c>
      <c r="N229" s="119">
        <v>674127.04028299998</v>
      </c>
      <c r="O229" s="119">
        <v>626353.69412</v>
      </c>
      <c r="P229" s="18">
        <v>7.0866978044590273E-2</v>
      </c>
      <c r="Q229" s="73">
        <v>669213.01737799996</v>
      </c>
      <c r="R229" s="18">
        <v>7.28946120146301E-3</v>
      </c>
      <c r="S229" s="173">
        <f t="shared" si="56"/>
        <v>-6.8426711074507943E-2</v>
      </c>
      <c r="T229" s="148"/>
      <c r="U229" s="171"/>
      <c r="V229" s="169"/>
      <c r="Z229" s="67" t="s">
        <v>579</v>
      </c>
      <c r="AA229" s="119"/>
      <c r="AB229" s="119"/>
      <c r="AC229" s="18"/>
      <c r="AD229" s="73"/>
      <c r="AE229" s="18"/>
      <c r="AF229" s="173"/>
    </row>
    <row r="230" spans="13:32" ht="19" x14ac:dyDescent="0.25">
      <c r="M230" s="67" t="s">
        <v>759</v>
      </c>
      <c r="N230" s="119">
        <v>132498.91461899999</v>
      </c>
      <c r="O230" s="119">
        <v>9347.9190830000007</v>
      </c>
      <c r="P230" s="18">
        <v>0.92944908937646853</v>
      </c>
      <c r="Q230" s="73">
        <v>49320.701067000002</v>
      </c>
      <c r="R230" s="18">
        <v>0.6277652446525962</v>
      </c>
      <c r="S230" s="173">
        <f t="shared" si="56"/>
        <v>-4.2761155321395501</v>
      </c>
      <c r="T230" s="148"/>
      <c r="U230" s="171"/>
      <c r="V230" s="169"/>
      <c r="Z230" s="67" t="s">
        <v>759</v>
      </c>
      <c r="AA230" s="119">
        <v>155973.34830099999</v>
      </c>
      <c r="AB230" s="119">
        <v>10593.468414999999</v>
      </c>
      <c r="AC230" s="18">
        <v>0.93208154771059637</v>
      </c>
      <c r="AD230" s="73">
        <v>59865.088612</v>
      </c>
      <c r="AE230" s="18">
        <v>0.61618385920348817</v>
      </c>
      <c r="AF230" s="22">
        <v>-4.6511320246382217</v>
      </c>
    </row>
    <row r="231" spans="13:32" ht="19" x14ac:dyDescent="0.25">
      <c r="M231" s="67" t="s">
        <v>165</v>
      </c>
      <c r="N231" s="119">
        <v>129590.58029</v>
      </c>
      <c r="O231" s="119">
        <v>66700.691168999998</v>
      </c>
      <c r="P231" s="18">
        <v>0.48529676293032981</v>
      </c>
      <c r="Q231" s="73">
        <v>93639.056635999994</v>
      </c>
      <c r="R231" s="18">
        <v>0.27742389588461658</v>
      </c>
      <c r="S231" s="173">
        <f t="shared" si="56"/>
        <v>-0.40386936019517511</v>
      </c>
      <c r="T231" s="148"/>
      <c r="U231" s="171"/>
      <c r="V231" s="169"/>
      <c r="Z231" s="67" t="s">
        <v>165</v>
      </c>
      <c r="AA231" s="119"/>
      <c r="AB231" s="119"/>
      <c r="AC231" s="18"/>
      <c r="AD231" s="73"/>
      <c r="AE231" s="18"/>
      <c r="AF231" s="173"/>
    </row>
    <row r="232" spans="13:32" ht="19" x14ac:dyDescent="0.25">
      <c r="M232" s="67" t="s">
        <v>164</v>
      </c>
      <c r="N232" s="119">
        <v>197819.915939</v>
      </c>
      <c r="O232" s="119">
        <v>211106.78022700001</v>
      </c>
      <c r="P232" s="18">
        <v>-6.7166464129411352E-2</v>
      </c>
      <c r="Q232" s="73">
        <v>186213.022921</v>
      </c>
      <c r="R232" s="18">
        <v>5.8674036751583288E-2</v>
      </c>
      <c r="S232" s="173">
        <f t="shared" si="56"/>
        <v>0.11792021686481184</v>
      </c>
      <c r="T232" s="148"/>
      <c r="U232" s="171"/>
      <c r="V232" s="169"/>
      <c r="Z232" s="67" t="s">
        <v>164</v>
      </c>
      <c r="AA232" s="119"/>
      <c r="AB232" s="119"/>
      <c r="AC232" s="18"/>
      <c r="AD232" s="73"/>
      <c r="AE232" s="18"/>
      <c r="AF232" s="173"/>
    </row>
    <row r="233" spans="13:32" ht="19" x14ac:dyDescent="0.25">
      <c r="M233" s="67" t="s">
        <v>163</v>
      </c>
      <c r="N233" s="119">
        <v>298041.307225</v>
      </c>
      <c r="O233" s="119">
        <v>399721.22736899997</v>
      </c>
      <c r="P233" s="18">
        <v>-0.3411604958075119</v>
      </c>
      <c r="Q233" s="73">
        <v>445530.96886000002</v>
      </c>
      <c r="R233" s="18">
        <v>-0.49486315507150763</v>
      </c>
      <c r="S233" s="173">
        <f t="shared" si="56"/>
        <v>-0.11460422503083904</v>
      </c>
      <c r="T233" s="148"/>
      <c r="U233" s="171"/>
      <c r="V233" s="169"/>
      <c r="Z233" s="67" t="s">
        <v>163</v>
      </c>
      <c r="AA233" s="119"/>
      <c r="AB233" s="119"/>
      <c r="AC233" s="18"/>
      <c r="AD233" s="73"/>
      <c r="AE233" s="18"/>
      <c r="AF233" s="173"/>
    </row>
    <row r="234" spans="13:32" ht="19" x14ac:dyDescent="0.25">
      <c r="M234" s="67" t="s">
        <v>161</v>
      </c>
      <c r="N234" s="119">
        <v>599079.39521400002</v>
      </c>
      <c r="O234" s="119">
        <v>840478.66787400004</v>
      </c>
      <c r="P234" s="18">
        <v>-0.40295038452085075</v>
      </c>
      <c r="Q234" s="73">
        <v>1026880.691379</v>
      </c>
      <c r="R234" s="18">
        <v>-0.71409783007506544</v>
      </c>
      <c r="S234" s="173">
        <f t="shared" si="56"/>
        <v>-0.22178079067313616</v>
      </c>
      <c r="T234" s="148"/>
      <c r="U234" s="171"/>
      <c r="V234" s="169"/>
      <c r="Z234" s="67" t="s">
        <v>161</v>
      </c>
      <c r="AA234" s="119"/>
      <c r="AB234" s="119"/>
      <c r="AC234" s="18"/>
      <c r="AD234" s="73"/>
      <c r="AE234" s="18"/>
      <c r="AF234" s="173"/>
    </row>
    <row r="235" spans="13:32" ht="19" x14ac:dyDescent="0.25">
      <c r="M235" s="67" t="s">
        <v>580</v>
      </c>
      <c r="N235" s="119">
        <v>233911.182184</v>
      </c>
      <c r="O235" s="119">
        <v>187198.22980500001</v>
      </c>
      <c r="P235" s="18">
        <v>0.19970380185695652</v>
      </c>
      <c r="Q235" s="73">
        <v>161693.959887</v>
      </c>
      <c r="R235" s="18">
        <v>0.30873779364764292</v>
      </c>
      <c r="S235" s="173">
        <f t="shared" si="56"/>
        <v>0.13624204643690918</v>
      </c>
      <c r="T235" s="148"/>
      <c r="U235" s="171"/>
      <c r="V235" s="169"/>
      <c r="Z235" s="67" t="s">
        <v>580</v>
      </c>
      <c r="AA235" s="119"/>
      <c r="AB235" s="119"/>
      <c r="AC235" s="18"/>
      <c r="AD235" s="73"/>
      <c r="AE235" s="18"/>
      <c r="AF235" s="173"/>
    </row>
    <row r="236" spans="13:32" ht="19" x14ac:dyDescent="0.25">
      <c r="M236" s="67" t="s">
        <v>581</v>
      </c>
      <c r="N236" s="119">
        <v>222054.39534300001</v>
      </c>
      <c r="O236" s="119">
        <v>206052.94891599999</v>
      </c>
      <c r="P236" s="18">
        <v>7.2060930846620339E-2</v>
      </c>
      <c r="Q236" s="73">
        <v>217897.33381499999</v>
      </c>
      <c r="R236" s="18">
        <v>1.8720915303562201E-2</v>
      </c>
      <c r="S236" s="173">
        <f t="shared" si="56"/>
        <v>-5.7482239207498578E-2</v>
      </c>
      <c r="T236" s="148"/>
      <c r="U236" s="171"/>
      <c r="V236" s="169"/>
      <c r="Z236" s="67" t="s">
        <v>581</v>
      </c>
      <c r="AA236" s="119"/>
      <c r="AB236" s="119"/>
      <c r="AC236" s="18"/>
      <c r="AD236" s="73"/>
      <c r="AE236" s="18"/>
      <c r="AF236" s="173"/>
    </row>
    <row r="237" spans="13:32" ht="19" x14ac:dyDescent="0.25">
      <c r="M237" s="67" t="s">
        <v>681</v>
      </c>
      <c r="N237" s="119">
        <v>103579.226538</v>
      </c>
      <c r="O237" s="119">
        <v>139581.74833500001</v>
      </c>
      <c r="P237" s="18">
        <v>-0.34758438540561798</v>
      </c>
      <c r="Q237" s="73">
        <v>74558.674268000002</v>
      </c>
      <c r="R237" s="18">
        <v>0.28017734095893504</v>
      </c>
      <c r="S237" s="173">
        <f t="shared" si="56"/>
        <v>0.4658422382770479</v>
      </c>
      <c r="T237" s="148"/>
      <c r="U237" s="171"/>
      <c r="V237" s="169"/>
      <c r="Z237" s="67" t="s">
        <v>681</v>
      </c>
      <c r="AA237" s="119"/>
      <c r="AB237" s="119"/>
      <c r="AC237" s="18"/>
      <c r="AD237" s="73"/>
      <c r="AE237" s="18"/>
      <c r="AF237" s="173"/>
    </row>
    <row r="238" spans="13:32" ht="19" x14ac:dyDescent="0.25">
      <c r="M238" s="67" t="s">
        <v>573</v>
      </c>
      <c r="N238" s="119">
        <v>2193931.6663489998</v>
      </c>
      <c r="O238" s="119">
        <v>2967611.662463</v>
      </c>
      <c r="P238" s="18">
        <v>-0.35264543922715186</v>
      </c>
      <c r="Q238" s="73">
        <v>3969216.0306480001</v>
      </c>
      <c r="R238" s="18">
        <v>-0.8091794250152351</v>
      </c>
      <c r="S238" s="173">
        <f t="shared" si="56"/>
        <v>-0.33751193960253817</v>
      </c>
      <c r="T238" s="148"/>
      <c r="U238" s="171"/>
      <c r="V238" s="169"/>
      <c r="Z238" s="67" t="s">
        <v>573</v>
      </c>
      <c r="AA238" s="119"/>
      <c r="AB238" s="119"/>
      <c r="AC238" s="18"/>
      <c r="AD238" s="73"/>
      <c r="AE238" s="18"/>
      <c r="AF238" s="173"/>
    </row>
    <row r="239" spans="13:32" ht="19" x14ac:dyDescent="0.25">
      <c r="M239" s="67" t="s">
        <v>268</v>
      </c>
      <c r="N239" s="119">
        <v>1449480.879458</v>
      </c>
      <c r="O239" s="119">
        <v>1458327.7215839999</v>
      </c>
      <c r="P239" s="18">
        <v>-6.1034555552799338E-3</v>
      </c>
      <c r="Q239" s="73">
        <v>1431957.0582300001</v>
      </c>
      <c r="R239" s="18">
        <v>1.2089722242181283E-2</v>
      </c>
      <c r="S239" s="173">
        <f t="shared" si="56"/>
        <v>1.8082810169278461E-2</v>
      </c>
      <c r="T239" s="148"/>
      <c r="U239" s="171"/>
      <c r="V239" s="169"/>
      <c r="Z239" s="67" t="s">
        <v>268</v>
      </c>
      <c r="AA239" s="119">
        <v>1426413.2983880001</v>
      </c>
      <c r="AB239" s="119">
        <v>1475388.6059910001</v>
      </c>
      <c r="AC239" s="18">
        <v>-3.4334584273959946E-2</v>
      </c>
      <c r="AD239" s="73">
        <v>1465024.188445</v>
      </c>
      <c r="AE239" s="22">
        <v>-2.7068515205680085E-2</v>
      </c>
      <c r="AF239" s="151">
        <v>7.0248729751023458E-3</v>
      </c>
    </row>
    <row r="240" spans="13:32" ht="19" x14ac:dyDescent="0.25">
      <c r="M240" s="67" t="s">
        <v>586</v>
      </c>
      <c r="N240" s="119">
        <v>66945.237087000001</v>
      </c>
      <c r="O240" s="119">
        <v>1861.4302600000001</v>
      </c>
      <c r="P240" s="18">
        <v>0.97219473197800554</v>
      </c>
      <c r="Q240" s="73">
        <v>10613.927739000001</v>
      </c>
      <c r="R240" s="18">
        <v>0.84145357906184637</v>
      </c>
      <c r="S240" s="173">
        <f t="shared" si="56"/>
        <v>-4.7020281485055477</v>
      </c>
      <c r="T240" s="148"/>
      <c r="U240" s="171"/>
      <c r="V240" s="169"/>
      <c r="Z240" s="67" t="s">
        <v>586</v>
      </c>
      <c r="AA240" s="119">
        <v>8014.1822279999997</v>
      </c>
      <c r="AB240" s="119">
        <v>1822.9973199999999</v>
      </c>
      <c r="AC240" s="18">
        <v>0.77252859142249086</v>
      </c>
      <c r="AD240" s="73">
        <v>2847.8743030000001</v>
      </c>
      <c r="AE240" s="22">
        <v>0.64464567662935346</v>
      </c>
      <c r="AF240" s="151">
        <v>-0.56219335692715122</v>
      </c>
    </row>
    <row r="241" spans="13:32" ht="20" thickBot="1" x14ac:dyDescent="0.3">
      <c r="M241" s="68" t="s">
        <v>602</v>
      </c>
      <c r="N241" s="120">
        <v>110822.851941</v>
      </c>
      <c r="O241" s="120">
        <v>15837.178190000001</v>
      </c>
      <c r="P241" s="19">
        <v>0.85709465229760173</v>
      </c>
      <c r="Q241" s="74">
        <v>93551.766688000003</v>
      </c>
      <c r="R241" s="19">
        <v>0.1558440786399794</v>
      </c>
      <c r="S241" s="174">
        <f t="shared" si="56"/>
        <v>-4.9070981942396141</v>
      </c>
      <c r="T241" s="148"/>
      <c r="U241" s="171"/>
      <c r="V241" s="169"/>
      <c r="Z241" s="68" t="s">
        <v>602</v>
      </c>
      <c r="AA241" s="120"/>
      <c r="AB241" s="120"/>
      <c r="AC241" s="19"/>
      <c r="AD241" s="74"/>
      <c r="AE241" s="19"/>
      <c r="AF241" s="174"/>
    </row>
    <row r="242" spans="13:32" x14ac:dyDescent="0.2">
      <c r="T242" s="169"/>
      <c r="U242" s="169"/>
      <c r="V242" s="169"/>
    </row>
    <row r="243" spans="13:32" x14ac:dyDescent="0.2">
      <c r="T243" s="169"/>
      <c r="U243" s="169"/>
      <c r="V243" s="169"/>
    </row>
  </sheetData>
  <sortState xmlns:xlrd2="http://schemas.microsoft.com/office/spreadsheetml/2017/richdata2" ref="S204:S208">
    <sortCondition ref="S204:S20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D69C-2B05-1F42-970E-86F953823BCB}">
  <dimension ref="A1:H284"/>
  <sheetViews>
    <sheetView zoomScaleNormal="100" workbookViewId="0">
      <selection sqref="A1:G284"/>
    </sheetView>
  </sheetViews>
  <sheetFormatPr baseColWidth="10" defaultRowHeight="16" x14ac:dyDescent="0.2"/>
  <cols>
    <col min="1" max="1" width="80.6640625" bestFit="1" customWidth="1"/>
    <col min="2" max="2" width="5.83203125" bestFit="1" customWidth="1"/>
    <col min="3" max="3" width="8.1640625" bestFit="1" customWidth="1"/>
    <col min="4" max="4" width="12.1640625" bestFit="1" customWidth="1"/>
    <col min="5" max="5" width="7.6640625" bestFit="1" customWidth="1"/>
    <col min="6" max="6" width="17.1640625" bestFit="1" customWidth="1"/>
    <col min="7" max="7" width="5.83203125" bestFit="1" customWidth="1"/>
    <col min="8" max="8" width="10.83203125" style="79"/>
    <col min="9" max="9" width="3.1640625" bestFit="1" customWidth="1"/>
    <col min="10" max="10" width="10.1640625" bestFit="1" customWidth="1"/>
    <col min="11" max="11" width="3.1640625" bestFit="1" customWidth="1"/>
    <col min="12" max="12" width="9.1640625" bestFit="1" customWidth="1"/>
    <col min="13" max="13" width="5.83203125" bestFit="1" customWidth="1"/>
  </cols>
  <sheetData>
    <row r="1" spans="1:7" x14ac:dyDescent="0.2">
      <c r="A1" t="s">
        <v>1224</v>
      </c>
    </row>
    <row r="2" spans="1:7" x14ac:dyDescent="0.2">
      <c r="A2" t="s">
        <v>2</v>
      </c>
      <c r="B2" t="s">
        <v>3</v>
      </c>
      <c r="C2" t="s">
        <v>504</v>
      </c>
      <c r="D2" t="s">
        <v>5</v>
      </c>
      <c r="E2" t="s">
        <v>1247</v>
      </c>
      <c r="F2" t="s">
        <v>505</v>
      </c>
      <c r="G2" t="s">
        <v>506</v>
      </c>
    </row>
    <row r="3" spans="1:7" x14ac:dyDescent="0.2">
      <c r="A3" t="s">
        <v>1441</v>
      </c>
      <c r="B3" t="s">
        <v>333</v>
      </c>
      <c r="C3">
        <v>25</v>
      </c>
      <c r="D3">
        <v>9081.6018999999997</v>
      </c>
      <c r="E3">
        <v>1</v>
      </c>
      <c r="F3">
        <v>2771.4378569999999</v>
      </c>
      <c r="G3" t="s">
        <v>335</v>
      </c>
    </row>
    <row r="4" spans="1:7" x14ac:dyDescent="0.2">
      <c r="A4" t="s">
        <v>1442</v>
      </c>
      <c r="B4" t="s">
        <v>333</v>
      </c>
      <c r="C4">
        <v>25</v>
      </c>
      <c r="D4">
        <v>82622.889957000007</v>
      </c>
      <c r="E4">
        <v>1</v>
      </c>
      <c r="F4">
        <v>84236.511154000007</v>
      </c>
      <c r="G4" t="s">
        <v>335</v>
      </c>
    </row>
    <row r="5" spans="1:7" x14ac:dyDescent="0.2">
      <c r="A5" t="s">
        <v>1443</v>
      </c>
      <c r="B5" t="s">
        <v>333</v>
      </c>
      <c r="C5">
        <v>25</v>
      </c>
      <c r="D5">
        <v>34280.875416000003</v>
      </c>
      <c r="E5">
        <v>1</v>
      </c>
      <c r="F5">
        <v>42485.448107999997</v>
      </c>
      <c r="G5" t="s">
        <v>335</v>
      </c>
    </row>
    <row r="6" spans="1:7" x14ac:dyDescent="0.2">
      <c r="A6" t="s">
        <v>1444</v>
      </c>
      <c r="B6" t="s">
        <v>333</v>
      </c>
      <c r="C6">
        <v>25</v>
      </c>
      <c r="D6">
        <v>50973.593603000001</v>
      </c>
      <c r="E6">
        <v>1</v>
      </c>
      <c r="F6">
        <v>37838.321639000002</v>
      </c>
      <c r="G6" t="s">
        <v>335</v>
      </c>
    </row>
    <row r="7" spans="1:7" x14ac:dyDescent="0.2">
      <c r="A7" t="s">
        <v>1445</v>
      </c>
      <c r="B7" t="s">
        <v>333</v>
      </c>
      <c r="C7">
        <v>25</v>
      </c>
      <c r="D7">
        <v>345649.11053100001</v>
      </c>
      <c r="E7">
        <v>1</v>
      </c>
      <c r="F7">
        <v>353247.14367800002</v>
      </c>
      <c r="G7" t="s">
        <v>335</v>
      </c>
    </row>
    <row r="8" spans="1:7" x14ac:dyDescent="0.2">
      <c r="A8" t="s">
        <v>1446</v>
      </c>
      <c r="B8" t="s">
        <v>333</v>
      </c>
      <c r="C8">
        <v>25</v>
      </c>
      <c r="D8">
        <v>483589.24778699997</v>
      </c>
      <c r="E8">
        <v>1</v>
      </c>
      <c r="F8">
        <v>630526.43424199999</v>
      </c>
      <c r="G8" t="s">
        <v>335</v>
      </c>
    </row>
    <row r="9" spans="1:7" x14ac:dyDescent="0.2">
      <c r="A9" t="s">
        <v>1447</v>
      </c>
      <c r="B9" t="s">
        <v>333</v>
      </c>
      <c r="C9">
        <v>25</v>
      </c>
      <c r="D9">
        <v>503008.06365299999</v>
      </c>
      <c r="E9">
        <v>1</v>
      </c>
      <c r="F9">
        <v>572311.41802800004</v>
      </c>
      <c r="G9" t="s">
        <v>335</v>
      </c>
    </row>
    <row r="10" spans="1:7" x14ac:dyDescent="0.2">
      <c r="A10" t="s">
        <v>1448</v>
      </c>
      <c r="B10" t="s">
        <v>333</v>
      </c>
      <c r="C10">
        <v>25</v>
      </c>
      <c r="D10">
        <v>718862.70621199999</v>
      </c>
      <c r="E10">
        <v>1</v>
      </c>
      <c r="F10">
        <v>565297.34519100003</v>
      </c>
      <c r="G10" t="s">
        <v>335</v>
      </c>
    </row>
    <row r="11" spans="1:7" x14ac:dyDescent="0.2">
      <c r="A11" t="s">
        <v>1453</v>
      </c>
      <c r="B11" t="s">
        <v>333</v>
      </c>
      <c r="C11">
        <v>25</v>
      </c>
      <c r="D11">
        <v>2007878.788618</v>
      </c>
      <c r="E11">
        <v>1</v>
      </c>
      <c r="F11">
        <v>337521.31505500001</v>
      </c>
      <c r="G11" t="s">
        <v>335</v>
      </c>
    </row>
    <row r="12" spans="1:7" x14ac:dyDescent="0.2">
      <c r="A12" t="s">
        <v>1454</v>
      </c>
      <c r="B12" t="s">
        <v>333</v>
      </c>
      <c r="C12">
        <v>25</v>
      </c>
      <c r="D12">
        <v>2053971.4271509999</v>
      </c>
      <c r="E12">
        <v>1</v>
      </c>
      <c r="F12">
        <v>338048.430322</v>
      </c>
      <c r="G12" t="s">
        <v>335</v>
      </c>
    </row>
    <row r="13" spans="1:7" x14ac:dyDescent="0.2">
      <c r="A13" t="s">
        <v>1455</v>
      </c>
      <c r="B13" t="s">
        <v>333</v>
      </c>
      <c r="C13">
        <v>25</v>
      </c>
      <c r="D13">
        <v>2216439.634329</v>
      </c>
      <c r="E13">
        <v>1</v>
      </c>
      <c r="F13">
        <v>471217.44842199999</v>
      </c>
      <c r="G13" t="s">
        <v>335</v>
      </c>
    </row>
    <row r="14" spans="1:7" x14ac:dyDescent="0.2">
      <c r="A14" t="s">
        <v>1456</v>
      </c>
      <c r="B14" t="s">
        <v>333</v>
      </c>
      <c r="C14">
        <v>25</v>
      </c>
      <c r="D14">
        <v>4583958.7384940004</v>
      </c>
      <c r="E14">
        <v>1</v>
      </c>
      <c r="F14">
        <v>2615560.8160399999</v>
      </c>
      <c r="G14" t="s">
        <v>335</v>
      </c>
    </row>
    <row r="15" spans="1:7" x14ac:dyDescent="0.2">
      <c r="A15" t="s">
        <v>1449</v>
      </c>
      <c r="B15" t="s">
        <v>333</v>
      </c>
      <c r="C15">
        <v>25</v>
      </c>
      <c r="D15">
        <v>89415696.200472996</v>
      </c>
      <c r="E15">
        <v>1</v>
      </c>
      <c r="F15">
        <v>56641472.06645</v>
      </c>
      <c r="G15" t="s">
        <v>335</v>
      </c>
    </row>
    <row r="16" spans="1:7" x14ac:dyDescent="0.2">
      <c r="A16" t="s">
        <v>1450</v>
      </c>
      <c r="B16" t="s">
        <v>333</v>
      </c>
      <c r="C16">
        <v>25</v>
      </c>
      <c r="D16">
        <v>133338189.11425</v>
      </c>
      <c r="E16">
        <v>1</v>
      </c>
      <c r="F16">
        <v>124378966.151379</v>
      </c>
      <c r="G16" t="s">
        <v>335</v>
      </c>
    </row>
    <row r="17" spans="1:7" x14ac:dyDescent="0.2">
      <c r="A17" t="s">
        <v>1451</v>
      </c>
      <c r="B17" t="s">
        <v>333</v>
      </c>
      <c r="C17">
        <v>25</v>
      </c>
      <c r="D17">
        <v>16453289.358548</v>
      </c>
      <c r="E17">
        <v>1</v>
      </c>
      <c r="F17">
        <v>12636609.561338</v>
      </c>
      <c r="G17" t="s">
        <v>335</v>
      </c>
    </row>
    <row r="18" spans="1:7" x14ac:dyDescent="0.2">
      <c r="A18" t="s">
        <v>1452</v>
      </c>
      <c r="B18" t="s">
        <v>333</v>
      </c>
      <c r="C18">
        <v>25</v>
      </c>
      <c r="D18">
        <v>19535532.831445001</v>
      </c>
      <c r="E18">
        <v>1</v>
      </c>
      <c r="F18">
        <v>12434769.494476</v>
      </c>
      <c r="G18" t="s">
        <v>335</v>
      </c>
    </row>
    <row r="19" spans="1:7" x14ac:dyDescent="0.2">
      <c r="A19" t="s">
        <v>1457</v>
      </c>
      <c r="B19" t="s">
        <v>333</v>
      </c>
      <c r="C19">
        <v>25</v>
      </c>
      <c r="D19">
        <v>156750206.050367</v>
      </c>
      <c r="E19">
        <v>1</v>
      </c>
      <c r="F19">
        <v>91993709.291020006</v>
      </c>
      <c r="G19" t="s">
        <v>335</v>
      </c>
    </row>
    <row r="20" spans="1:7" x14ac:dyDescent="0.2">
      <c r="A20" t="s">
        <v>1458</v>
      </c>
      <c r="B20" t="s">
        <v>333</v>
      </c>
      <c r="C20">
        <v>25</v>
      </c>
      <c r="D20">
        <v>76871960.448425993</v>
      </c>
      <c r="E20">
        <v>1</v>
      </c>
      <c r="F20">
        <v>35210543.950731002</v>
      </c>
      <c r="G20" t="s">
        <v>335</v>
      </c>
    </row>
    <row r="21" spans="1:7" x14ac:dyDescent="0.2">
      <c r="A21" t="s">
        <v>1459</v>
      </c>
      <c r="B21" t="s">
        <v>333</v>
      </c>
      <c r="C21">
        <v>25</v>
      </c>
      <c r="D21">
        <v>97521094.460382</v>
      </c>
      <c r="E21">
        <v>1</v>
      </c>
      <c r="F21">
        <v>74793472.253712997</v>
      </c>
      <c r="G21" t="s">
        <v>335</v>
      </c>
    </row>
    <row r="22" spans="1:7" x14ac:dyDescent="0.2">
      <c r="A22" t="s">
        <v>1460</v>
      </c>
      <c r="B22" t="s">
        <v>333</v>
      </c>
      <c r="C22">
        <v>25</v>
      </c>
      <c r="D22">
        <v>77588855.195948005</v>
      </c>
      <c r="E22">
        <v>1</v>
      </c>
      <c r="F22">
        <v>56363279.484417997</v>
      </c>
      <c r="G22" t="s">
        <v>335</v>
      </c>
    </row>
    <row r="24" spans="1:7" x14ac:dyDescent="0.2">
      <c r="A24" t="s">
        <v>807</v>
      </c>
    </row>
    <row r="25" spans="1:7" x14ac:dyDescent="0.2">
      <c r="A25" t="s">
        <v>2</v>
      </c>
      <c r="B25" t="s">
        <v>3</v>
      </c>
      <c r="C25" t="s">
        <v>504</v>
      </c>
      <c r="D25" t="s">
        <v>5</v>
      </c>
      <c r="E25" t="s">
        <v>1247</v>
      </c>
      <c r="F25" t="s">
        <v>505</v>
      </c>
      <c r="G25" t="s">
        <v>506</v>
      </c>
    </row>
    <row r="26" spans="1:7" x14ac:dyDescent="0.2">
      <c r="A26" t="s">
        <v>1461</v>
      </c>
      <c r="B26" t="s">
        <v>333</v>
      </c>
      <c r="C26">
        <v>25</v>
      </c>
      <c r="D26">
        <v>2872.1349730000002</v>
      </c>
      <c r="E26">
        <v>1</v>
      </c>
      <c r="F26">
        <v>638.13552900000002</v>
      </c>
      <c r="G26" t="s">
        <v>335</v>
      </c>
    </row>
    <row r="27" spans="1:7" x14ac:dyDescent="0.2">
      <c r="A27" t="s">
        <v>1462</v>
      </c>
      <c r="B27" t="s">
        <v>333</v>
      </c>
      <c r="C27">
        <v>25</v>
      </c>
      <c r="D27">
        <v>4789.7470590000003</v>
      </c>
      <c r="E27">
        <v>1</v>
      </c>
      <c r="F27">
        <v>1513.6284000000001</v>
      </c>
      <c r="G27" t="s">
        <v>335</v>
      </c>
    </row>
    <row r="28" spans="1:7" x14ac:dyDescent="0.2">
      <c r="A28" t="s">
        <v>1463</v>
      </c>
      <c r="B28" t="s">
        <v>333</v>
      </c>
      <c r="C28">
        <v>25</v>
      </c>
      <c r="D28">
        <v>2376.8997530000001</v>
      </c>
      <c r="E28">
        <v>1</v>
      </c>
      <c r="F28">
        <v>530.10342800000001</v>
      </c>
      <c r="G28" t="s">
        <v>335</v>
      </c>
    </row>
    <row r="29" spans="1:7" x14ac:dyDescent="0.2">
      <c r="A29" t="s">
        <v>1464</v>
      </c>
      <c r="B29" t="s">
        <v>333</v>
      </c>
      <c r="C29">
        <v>25</v>
      </c>
      <c r="D29">
        <v>2726.6389170000002</v>
      </c>
      <c r="E29">
        <v>1</v>
      </c>
      <c r="F29">
        <v>556.88179200000002</v>
      </c>
      <c r="G29" t="s">
        <v>335</v>
      </c>
    </row>
    <row r="30" spans="1:7" x14ac:dyDescent="0.2">
      <c r="A30" t="s">
        <v>1465</v>
      </c>
      <c r="B30" t="s">
        <v>333</v>
      </c>
      <c r="C30">
        <v>25</v>
      </c>
      <c r="D30">
        <v>33108.128387999997</v>
      </c>
      <c r="E30">
        <v>1</v>
      </c>
      <c r="F30">
        <v>8255.2904569999992</v>
      </c>
      <c r="G30" t="s">
        <v>335</v>
      </c>
    </row>
    <row r="31" spans="1:7" x14ac:dyDescent="0.2">
      <c r="A31" t="s">
        <v>1466</v>
      </c>
      <c r="B31" t="s">
        <v>333</v>
      </c>
      <c r="C31">
        <v>25</v>
      </c>
      <c r="D31">
        <v>48967.779756999997</v>
      </c>
      <c r="E31">
        <v>1</v>
      </c>
      <c r="F31">
        <v>13997.352733</v>
      </c>
      <c r="G31" t="s">
        <v>335</v>
      </c>
    </row>
    <row r="32" spans="1:7" x14ac:dyDescent="0.2">
      <c r="A32" t="s">
        <v>1467</v>
      </c>
      <c r="B32" t="s">
        <v>333</v>
      </c>
      <c r="C32">
        <v>25</v>
      </c>
      <c r="D32">
        <v>30563.407664999999</v>
      </c>
      <c r="E32">
        <v>1</v>
      </c>
      <c r="F32">
        <v>6394.7139859999997</v>
      </c>
      <c r="G32" t="s">
        <v>335</v>
      </c>
    </row>
    <row r="33" spans="1:7" x14ac:dyDescent="0.2">
      <c r="A33" t="s">
        <v>1468</v>
      </c>
      <c r="B33" t="s">
        <v>333</v>
      </c>
      <c r="C33">
        <v>25</v>
      </c>
      <c r="D33">
        <v>30518.970849000001</v>
      </c>
      <c r="E33">
        <v>1</v>
      </c>
      <c r="F33">
        <v>6326.0807930000001</v>
      </c>
      <c r="G33" t="s">
        <v>335</v>
      </c>
    </row>
    <row r="34" spans="1:7" x14ac:dyDescent="0.2">
      <c r="A34" t="s">
        <v>1469</v>
      </c>
      <c r="B34" t="s">
        <v>333</v>
      </c>
      <c r="C34">
        <v>25</v>
      </c>
      <c r="D34">
        <v>428625.034973</v>
      </c>
      <c r="E34">
        <v>1</v>
      </c>
      <c r="F34">
        <v>63914.498696000002</v>
      </c>
      <c r="G34" t="s">
        <v>335</v>
      </c>
    </row>
    <row r="35" spans="1:7" x14ac:dyDescent="0.2">
      <c r="A35" t="s">
        <v>1470</v>
      </c>
      <c r="B35" t="s">
        <v>333</v>
      </c>
      <c r="C35">
        <v>25</v>
      </c>
      <c r="D35">
        <v>479388.44496400002</v>
      </c>
      <c r="E35">
        <v>1</v>
      </c>
      <c r="F35">
        <v>103065.97092399999</v>
      </c>
      <c r="G35" t="s">
        <v>335</v>
      </c>
    </row>
    <row r="36" spans="1:7" x14ac:dyDescent="0.2">
      <c r="A36" t="s">
        <v>1471</v>
      </c>
      <c r="B36" t="s">
        <v>333</v>
      </c>
      <c r="C36">
        <v>25</v>
      </c>
      <c r="D36">
        <v>371754.68939000001</v>
      </c>
      <c r="E36">
        <v>1</v>
      </c>
      <c r="F36">
        <v>66910.247722999993</v>
      </c>
      <c r="G36" t="s">
        <v>335</v>
      </c>
    </row>
    <row r="37" spans="1:7" x14ac:dyDescent="0.2">
      <c r="A37" t="s">
        <v>1472</v>
      </c>
      <c r="B37" t="s">
        <v>333</v>
      </c>
      <c r="C37">
        <v>25</v>
      </c>
      <c r="D37">
        <v>435533.30974699999</v>
      </c>
      <c r="E37">
        <v>1</v>
      </c>
      <c r="F37">
        <v>62753.634960000003</v>
      </c>
      <c r="G37" t="s">
        <v>335</v>
      </c>
    </row>
    <row r="38" spans="1:7" x14ac:dyDescent="0.2">
      <c r="A38" t="s">
        <v>1473</v>
      </c>
      <c r="B38" t="s">
        <v>333</v>
      </c>
      <c r="C38">
        <v>25</v>
      </c>
      <c r="D38">
        <v>2606426.630748</v>
      </c>
      <c r="E38">
        <v>1</v>
      </c>
      <c r="F38">
        <v>373126.74904700002</v>
      </c>
      <c r="G38" t="s">
        <v>335</v>
      </c>
    </row>
    <row r="39" spans="1:7" x14ac:dyDescent="0.2">
      <c r="A39" t="s">
        <v>1474</v>
      </c>
      <c r="B39" t="s">
        <v>333</v>
      </c>
      <c r="C39">
        <v>25</v>
      </c>
      <c r="D39">
        <v>2912131.3670069999</v>
      </c>
      <c r="E39">
        <v>1</v>
      </c>
      <c r="F39">
        <v>621776.97862800001</v>
      </c>
      <c r="G39" t="s">
        <v>335</v>
      </c>
    </row>
    <row r="40" spans="1:7" x14ac:dyDescent="0.2">
      <c r="A40" t="s">
        <v>1475</v>
      </c>
      <c r="B40" t="s">
        <v>333</v>
      </c>
      <c r="C40">
        <v>25</v>
      </c>
      <c r="D40">
        <v>2188024.6998979999</v>
      </c>
      <c r="E40">
        <v>1</v>
      </c>
      <c r="F40">
        <v>312229.252744</v>
      </c>
      <c r="G40" t="s">
        <v>335</v>
      </c>
    </row>
    <row r="41" spans="1:7" x14ac:dyDescent="0.2">
      <c r="A41" t="s">
        <v>1476</v>
      </c>
      <c r="B41" t="s">
        <v>333</v>
      </c>
      <c r="C41">
        <v>25</v>
      </c>
      <c r="D41">
        <v>2309420.7766189999</v>
      </c>
      <c r="E41">
        <v>1</v>
      </c>
      <c r="F41">
        <v>225553.81648800001</v>
      </c>
      <c r="G41" t="s">
        <v>335</v>
      </c>
    </row>
    <row r="42" spans="1:7" x14ac:dyDescent="0.2">
      <c r="A42" t="s">
        <v>1477</v>
      </c>
      <c r="B42" t="s">
        <v>333</v>
      </c>
      <c r="C42">
        <v>25</v>
      </c>
      <c r="D42">
        <v>6391038.4159359997</v>
      </c>
      <c r="E42">
        <v>1</v>
      </c>
      <c r="F42">
        <v>732375.17689100001</v>
      </c>
      <c r="G42" t="s">
        <v>335</v>
      </c>
    </row>
    <row r="43" spans="1:7" x14ac:dyDescent="0.2">
      <c r="A43" t="s">
        <v>1478</v>
      </c>
      <c r="B43" t="s">
        <v>333</v>
      </c>
      <c r="C43">
        <v>25</v>
      </c>
      <c r="D43">
        <v>7451939.0039060004</v>
      </c>
      <c r="E43">
        <v>1</v>
      </c>
      <c r="F43">
        <v>1244000.5202810001</v>
      </c>
      <c r="G43" t="s">
        <v>335</v>
      </c>
    </row>
    <row r="44" spans="1:7" x14ac:dyDescent="0.2">
      <c r="A44" t="s">
        <v>1479</v>
      </c>
      <c r="B44" t="s">
        <v>333</v>
      </c>
      <c r="C44">
        <v>25</v>
      </c>
      <c r="D44">
        <v>5503301.842735</v>
      </c>
      <c r="E44">
        <v>1</v>
      </c>
      <c r="F44">
        <v>619335.93776799995</v>
      </c>
      <c r="G44" t="s">
        <v>335</v>
      </c>
    </row>
    <row r="45" spans="1:7" x14ac:dyDescent="0.2">
      <c r="A45" t="s">
        <v>1480</v>
      </c>
      <c r="B45" t="s">
        <v>333</v>
      </c>
      <c r="C45">
        <v>25</v>
      </c>
      <c r="D45">
        <v>5746568.8674689997</v>
      </c>
      <c r="E45">
        <v>1</v>
      </c>
      <c r="F45">
        <v>648805.78658199997</v>
      </c>
      <c r="G45" t="s">
        <v>335</v>
      </c>
    </row>
    <row r="47" spans="1:7" x14ac:dyDescent="0.2">
      <c r="A47" t="s">
        <v>828</v>
      </c>
    </row>
    <row r="48" spans="1:7" x14ac:dyDescent="0.2">
      <c r="A48" t="s">
        <v>2</v>
      </c>
      <c r="B48" t="s">
        <v>3</v>
      </c>
      <c r="C48" t="s">
        <v>504</v>
      </c>
      <c r="D48" t="s">
        <v>5</v>
      </c>
      <c r="E48" t="s">
        <v>1247</v>
      </c>
      <c r="F48" t="s">
        <v>505</v>
      </c>
      <c r="G48" t="s">
        <v>506</v>
      </c>
    </row>
    <row r="49" spans="1:7" x14ac:dyDescent="0.2">
      <c r="A49" t="s">
        <v>1481</v>
      </c>
      <c r="B49" t="s">
        <v>333</v>
      </c>
      <c r="C49">
        <v>25</v>
      </c>
      <c r="D49">
        <v>631.57578699999999</v>
      </c>
      <c r="E49">
        <v>1</v>
      </c>
      <c r="F49">
        <v>55.308798000000003</v>
      </c>
      <c r="G49" t="s">
        <v>335</v>
      </c>
    </row>
    <row r="50" spans="1:7" x14ac:dyDescent="0.2">
      <c r="A50" t="s">
        <v>1482</v>
      </c>
      <c r="B50" t="s">
        <v>333</v>
      </c>
      <c r="C50">
        <v>25</v>
      </c>
      <c r="D50">
        <v>2850.723986</v>
      </c>
      <c r="E50">
        <v>1</v>
      </c>
      <c r="F50">
        <v>2292.7530379999998</v>
      </c>
      <c r="G50" t="s">
        <v>335</v>
      </c>
    </row>
    <row r="51" spans="1:7" x14ac:dyDescent="0.2">
      <c r="A51" t="s">
        <v>1483</v>
      </c>
      <c r="B51" t="s">
        <v>333</v>
      </c>
      <c r="C51">
        <v>25</v>
      </c>
      <c r="D51">
        <v>255.09692899999999</v>
      </c>
      <c r="E51">
        <v>1</v>
      </c>
      <c r="F51">
        <v>44.093882999999998</v>
      </c>
      <c r="G51" t="s">
        <v>335</v>
      </c>
    </row>
    <row r="52" spans="1:7" x14ac:dyDescent="0.2">
      <c r="A52" t="s">
        <v>1484</v>
      </c>
      <c r="B52" t="s">
        <v>333</v>
      </c>
      <c r="C52">
        <v>25</v>
      </c>
      <c r="D52">
        <v>20087.747662999998</v>
      </c>
      <c r="E52">
        <v>1</v>
      </c>
      <c r="F52">
        <v>28205.093824</v>
      </c>
      <c r="G52" t="s">
        <v>335</v>
      </c>
    </row>
    <row r="53" spans="1:7" x14ac:dyDescent="0.2">
      <c r="A53" t="s">
        <v>1485</v>
      </c>
      <c r="B53" t="s">
        <v>333</v>
      </c>
      <c r="C53">
        <v>25</v>
      </c>
      <c r="D53">
        <v>2576.4066120000002</v>
      </c>
      <c r="E53">
        <v>1</v>
      </c>
      <c r="F53">
        <v>166.30185399999999</v>
      </c>
      <c r="G53" t="s">
        <v>335</v>
      </c>
    </row>
    <row r="54" spans="1:7" x14ac:dyDescent="0.2">
      <c r="A54" t="s">
        <v>1486</v>
      </c>
      <c r="B54" t="s">
        <v>333</v>
      </c>
      <c r="C54">
        <v>25</v>
      </c>
      <c r="D54">
        <v>1446.7925990000001</v>
      </c>
      <c r="E54">
        <v>1</v>
      </c>
      <c r="F54">
        <v>444.07831599999997</v>
      </c>
      <c r="G54" t="s">
        <v>335</v>
      </c>
    </row>
    <row r="55" spans="1:7" x14ac:dyDescent="0.2">
      <c r="A55" t="s">
        <v>1487</v>
      </c>
      <c r="B55" t="s">
        <v>333</v>
      </c>
      <c r="C55">
        <v>25</v>
      </c>
      <c r="D55">
        <v>117755.316124</v>
      </c>
      <c r="E55">
        <v>1</v>
      </c>
      <c r="F55">
        <v>144458.17254199999</v>
      </c>
      <c r="G55" t="s">
        <v>335</v>
      </c>
    </row>
    <row r="56" spans="1:7" x14ac:dyDescent="0.2">
      <c r="A56" t="s">
        <v>1488</v>
      </c>
      <c r="B56" t="s">
        <v>333</v>
      </c>
      <c r="C56">
        <v>25</v>
      </c>
      <c r="D56">
        <v>25734.412789000002</v>
      </c>
      <c r="E56">
        <v>1</v>
      </c>
      <c r="F56">
        <v>1159.6732500000001</v>
      </c>
      <c r="G56" t="s">
        <v>335</v>
      </c>
    </row>
    <row r="57" spans="1:7" x14ac:dyDescent="0.2">
      <c r="A57" t="s">
        <v>1489</v>
      </c>
      <c r="B57" t="s">
        <v>333</v>
      </c>
      <c r="C57">
        <v>25</v>
      </c>
      <c r="D57">
        <v>12203.421012000001</v>
      </c>
      <c r="E57">
        <v>1</v>
      </c>
      <c r="F57">
        <v>612.369237</v>
      </c>
      <c r="G57" t="s">
        <v>335</v>
      </c>
    </row>
    <row r="58" spans="1:7" x14ac:dyDescent="0.2">
      <c r="A58" t="s">
        <v>1490</v>
      </c>
      <c r="B58" t="s">
        <v>333</v>
      </c>
      <c r="C58">
        <v>25</v>
      </c>
      <c r="D58">
        <v>300764.93838000001</v>
      </c>
      <c r="E58">
        <v>1</v>
      </c>
      <c r="F58">
        <v>30229.772174999998</v>
      </c>
      <c r="G58" t="s">
        <v>335</v>
      </c>
    </row>
    <row r="59" spans="1:7" x14ac:dyDescent="0.2">
      <c r="A59" t="s">
        <v>1491</v>
      </c>
      <c r="B59" t="s">
        <v>333</v>
      </c>
      <c r="C59">
        <v>25</v>
      </c>
      <c r="D59">
        <v>96601.435429999998</v>
      </c>
      <c r="E59">
        <v>1</v>
      </c>
      <c r="F59">
        <v>5719.3825500000003</v>
      </c>
      <c r="G59" t="s">
        <v>335</v>
      </c>
    </row>
    <row r="60" spans="1:7" x14ac:dyDescent="0.2">
      <c r="A60" t="s">
        <v>1492</v>
      </c>
      <c r="B60" t="s">
        <v>333</v>
      </c>
      <c r="C60">
        <v>25</v>
      </c>
      <c r="D60">
        <v>59445.685386999998</v>
      </c>
      <c r="E60">
        <v>1</v>
      </c>
      <c r="F60">
        <v>2027.517891</v>
      </c>
      <c r="G60" t="s">
        <v>335</v>
      </c>
    </row>
    <row r="61" spans="1:7" x14ac:dyDescent="0.2">
      <c r="A61" t="s">
        <v>1493</v>
      </c>
      <c r="B61" t="s">
        <v>333</v>
      </c>
      <c r="C61">
        <v>25</v>
      </c>
      <c r="D61">
        <v>636116.94375500001</v>
      </c>
      <c r="E61">
        <v>1</v>
      </c>
      <c r="F61">
        <v>62595.154482999998</v>
      </c>
      <c r="G61" t="s">
        <v>335</v>
      </c>
    </row>
    <row r="62" spans="1:7" x14ac:dyDescent="0.2">
      <c r="A62" t="s">
        <v>1494</v>
      </c>
      <c r="B62" t="s">
        <v>333</v>
      </c>
      <c r="C62">
        <v>25</v>
      </c>
      <c r="D62">
        <v>202330.19384299999</v>
      </c>
      <c r="E62">
        <v>1</v>
      </c>
      <c r="F62">
        <v>8455.6267220000009</v>
      </c>
      <c r="G62" t="s">
        <v>335</v>
      </c>
    </row>
    <row r="63" spans="1:7" x14ac:dyDescent="0.2">
      <c r="A63" t="s">
        <v>1495</v>
      </c>
      <c r="B63" t="s">
        <v>333</v>
      </c>
      <c r="C63">
        <v>25</v>
      </c>
      <c r="D63">
        <v>139089.65810599999</v>
      </c>
      <c r="E63">
        <v>1</v>
      </c>
      <c r="F63">
        <v>8369.4873480000006</v>
      </c>
      <c r="G63" t="s">
        <v>335</v>
      </c>
    </row>
    <row r="65" spans="1:7" x14ac:dyDescent="0.2">
      <c r="A65" t="s">
        <v>740</v>
      </c>
    </row>
    <row r="66" spans="1:7" x14ac:dyDescent="0.2">
      <c r="A66" t="s">
        <v>2</v>
      </c>
      <c r="B66" t="s">
        <v>3</v>
      </c>
      <c r="C66" t="s">
        <v>504</v>
      </c>
      <c r="D66" t="s">
        <v>5</v>
      </c>
      <c r="E66" t="s">
        <v>1247</v>
      </c>
      <c r="F66" t="s">
        <v>505</v>
      </c>
      <c r="G66" t="s">
        <v>506</v>
      </c>
    </row>
    <row r="67" spans="1:7" x14ac:dyDescent="0.2">
      <c r="A67" t="s">
        <v>1496</v>
      </c>
      <c r="B67" t="s">
        <v>333</v>
      </c>
      <c r="C67">
        <v>25</v>
      </c>
      <c r="D67">
        <v>938.01008400000001</v>
      </c>
      <c r="E67">
        <v>1</v>
      </c>
      <c r="F67">
        <v>197.574772</v>
      </c>
      <c r="G67" t="s">
        <v>335</v>
      </c>
    </row>
    <row r="68" spans="1:7" x14ac:dyDescent="0.2">
      <c r="A68" t="s">
        <v>1497</v>
      </c>
      <c r="B68" t="s">
        <v>333</v>
      </c>
      <c r="C68">
        <v>25</v>
      </c>
      <c r="D68">
        <v>263.30122999999998</v>
      </c>
      <c r="E68">
        <v>1</v>
      </c>
      <c r="F68">
        <v>14.893101</v>
      </c>
      <c r="G68" t="s">
        <v>335</v>
      </c>
    </row>
    <row r="69" spans="1:7" x14ac:dyDescent="0.2">
      <c r="A69" t="s">
        <v>1498</v>
      </c>
      <c r="B69" t="s">
        <v>333</v>
      </c>
      <c r="C69">
        <v>25</v>
      </c>
      <c r="D69">
        <v>263.38992400000001</v>
      </c>
      <c r="E69">
        <v>1</v>
      </c>
      <c r="F69">
        <v>32.243400000000001</v>
      </c>
      <c r="G69" t="s">
        <v>335</v>
      </c>
    </row>
    <row r="70" spans="1:7" x14ac:dyDescent="0.2">
      <c r="A70" t="s">
        <v>1499</v>
      </c>
      <c r="B70" t="s">
        <v>333</v>
      </c>
      <c r="C70">
        <v>25</v>
      </c>
      <c r="D70">
        <v>7926.7774479999998</v>
      </c>
      <c r="E70">
        <v>1</v>
      </c>
      <c r="F70">
        <v>1898.0121839999999</v>
      </c>
      <c r="G70" t="s">
        <v>335</v>
      </c>
    </row>
    <row r="71" spans="1:7" x14ac:dyDescent="0.2">
      <c r="A71" t="s">
        <v>1500</v>
      </c>
      <c r="B71" t="s">
        <v>333</v>
      </c>
      <c r="C71">
        <v>25</v>
      </c>
      <c r="D71">
        <v>2190.8591329999999</v>
      </c>
      <c r="E71">
        <v>1</v>
      </c>
      <c r="F71">
        <v>115.84462499999999</v>
      </c>
      <c r="G71" t="s">
        <v>335</v>
      </c>
    </row>
    <row r="72" spans="1:7" x14ac:dyDescent="0.2">
      <c r="A72" t="s">
        <v>1501</v>
      </c>
      <c r="B72" t="s">
        <v>333</v>
      </c>
      <c r="C72">
        <v>25</v>
      </c>
      <c r="D72">
        <v>4340.1286129999999</v>
      </c>
      <c r="E72">
        <v>1</v>
      </c>
      <c r="F72">
        <v>4320.0529100000003</v>
      </c>
      <c r="G72" t="s">
        <v>335</v>
      </c>
    </row>
    <row r="73" spans="1:7" x14ac:dyDescent="0.2">
      <c r="A73" t="s">
        <v>1502</v>
      </c>
      <c r="B73" t="s">
        <v>333</v>
      </c>
      <c r="C73">
        <v>25</v>
      </c>
      <c r="D73">
        <v>111001.499192</v>
      </c>
      <c r="E73">
        <v>1</v>
      </c>
      <c r="F73">
        <v>10083.749669000001</v>
      </c>
      <c r="G73" t="s">
        <v>335</v>
      </c>
    </row>
    <row r="74" spans="1:7" x14ac:dyDescent="0.2">
      <c r="A74" t="s">
        <v>1503</v>
      </c>
      <c r="B74" t="s">
        <v>333</v>
      </c>
      <c r="C74">
        <v>25</v>
      </c>
      <c r="D74">
        <v>23756.113826000001</v>
      </c>
      <c r="E74">
        <v>1</v>
      </c>
      <c r="F74">
        <v>1039.4352369999999</v>
      </c>
      <c r="G74" t="s">
        <v>335</v>
      </c>
    </row>
    <row r="75" spans="1:7" x14ac:dyDescent="0.2">
      <c r="A75" t="s">
        <v>1504</v>
      </c>
      <c r="B75" t="s">
        <v>333</v>
      </c>
      <c r="C75">
        <v>25</v>
      </c>
      <c r="D75">
        <v>11634.607663000001</v>
      </c>
      <c r="E75">
        <v>1</v>
      </c>
      <c r="F75">
        <v>507.05388699999997</v>
      </c>
      <c r="G75" t="s">
        <v>335</v>
      </c>
    </row>
    <row r="76" spans="1:7" x14ac:dyDescent="0.2">
      <c r="A76" t="s">
        <v>1505</v>
      </c>
      <c r="B76" t="s">
        <v>333</v>
      </c>
      <c r="C76">
        <v>25</v>
      </c>
      <c r="D76">
        <v>623432.08983900002</v>
      </c>
      <c r="E76">
        <v>1</v>
      </c>
      <c r="F76">
        <v>57519.279303000003</v>
      </c>
      <c r="G76" t="s">
        <v>335</v>
      </c>
    </row>
    <row r="77" spans="1:7" x14ac:dyDescent="0.2">
      <c r="A77" t="s">
        <v>1506</v>
      </c>
      <c r="B77" t="s">
        <v>333</v>
      </c>
      <c r="C77">
        <v>25</v>
      </c>
      <c r="D77">
        <v>141389.02875900001</v>
      </c>
      <c r="E77">
        <v>1</v>
      </c>
      <c r="F77">
        <v>5748.1730310000003</v>
      </c>
      <c r="G77" t="s">
        <v>335</v>
      </c>
    </row>
    <row r="78" spans="1:7" x14ac:dyDescent="0.2">
      <c r="A78" t="s">
        <v>1507</v>
      </c>
      <c r="B78" t="s">
        <v>333</v>
      </c>
      <c r="C78">
        <v>25</v>
      </c>
      <c r="D78">
        <v>92574.558027000006</v>
      </c>
      <c r="E78">
        <v>1</v>
      </c>
      <c r="F78">
        <v>1906.0846039999999</v>
      </c>
      <c r="G78" t="s">
        <v>335</v>
      </c>
    </row>
    <row r="79" spans="1:7" x14ac:dyDescent="0.2">
      <c r="A79" t="s">
        <v>1508</v>
      </c>
      <c r="B79" t="s">
        <v>333</v>
      </c>
      <c r="C79">
        <v>25</v>
      </c>
      <c r="D79">
        <v>1207888.9987339999</v>
      </c>
      <c r="E79">
        <v>1</v>
      </c>
      <c r="F79">
        <v>174243.41346400001</v>
      </c>
      <c r="G79" t="s">
        <v>335</v>
      </c>
    </row>
    <row r="80" spans="1:7" x14ac:dyDescent="0.2">
      <c r="A80" t="s">
        <v>1509</v>
      </c>
      <c r="B80" t="s">
        <v>333</v>
      </c>
      <c r="C80">
        <v>25</v>
      </c>
      <c r="D80">
        <v>318542.64271599997</v>
      </c>
      <c r="E80">
        <v>1</v>
      </c>
      <c r="F80">
        <v>20162.343499999999</v>
      </c>
      <c r="G80" t="s">
        <v>335</v>
      </c>
    </row>
    <row r="81" spans="1:7" x14ac:dyDescent="0.2">
      <c r="A81" t="s">
        <v>1510</v>
      </c>
      <c r="B81" t="s">
        <v>333</v>
      </c>
      <c r="C81">
        <v>25</v>
      </c>
      <c r="D81">
        <v>1961694.4113710001</v>
      </c>
      <c r="E81">
        <v>1</v>
      </c>
      <c r="F81">
        <v>83855.429762999993</v>
      </c>
      <c r="G81" t="s">
        <v>335</v>
      </c>
    </row>
    <row r="83" spans="1:7" x14ac:dyDescent="0.2">
      <c r="A83" t="s">
        <v>860</v>
      </c>
    </row>
    <row r="84" spans="1:7" x14ac:dyDescent="0.2">
      <c r="A84" t="s">
        <v>2</v>
      </c>
      <c r="B84" t="s">
        <v>3</v>
      </c>
      <c r="C84" t="s">
        <v>504</v>
      </c>
      <c r="D84" t="s">
        <v>5</v>
      </c>
      <c r="E84" t="s">
        <v>1247</v>
      </c>
      <c r="F84" t="s">
        <v>505</v>
      </c>
      <c r="G84" t="s">
        <v>506</v>
      </c>
    </row>
    <row r="85" spans="1:7" x14ac:dyDescent="0.2">
      <c r="A85" t="s">
        <v>1511</v>
      </c>
      <c r="B85" t="s">
        <v>333</v>
      </c>
      <c r="C85">
        <v>25</v>
      </c>
      <c r="D85">
        <v>7486.1534869999996</v>
      </c>
      <c r="E85">
        <v>1</v>
      </c>
      <c r="F85">
        <v>2672.5644029999999</v>
      </c>
      <c r="G85" t="s">
        <v>335</v>
      </c>
    </row>
    <row r="86" spans="1:7" x14ac:dyDescent="0.2">
      <c r="A86" t="s">
        <v>1512</v>
      </c>
      <c r="B86" t="s">
        <v>333</v>
      </c>
      <c r="C86">
        <v>25</v>
      </c>
      <c r="D86">
        <v>56417.364675999997</v>
      </c>
      <c r="E86">
        <v>1</v>
      </c>
      <c r="F86">
        <v>69359.222328999997</v>
      </c>
      <c r="G86" t="s">
        <v>335</v>
      </c>
    </row>
    <row r="87" spans="1:7" x14ac:dyDescent="0.2">
      <c r="A87" t="s">
        <v>1513</v>
      </c>
      <c r="B87" t="s">
        <v>333</v>
      </c>
      <c r="C87">
        <v>25</v>
      </c>
      <c r="D87">
        <v>3825.011285</v>
      </c>
      <c r="E87">
        <v>1</v>
      </c>
      <c r="F87">
        <v>422.98671100000001</v>
      </c>
      <c r="G87" t="s">
        <v>335</v>
      </c>
    </row>
    <row r="88" spans="1:7" x14ac:dyDescent="0.2">
      <c r="A88" t="s">
        <v>1514</v>
      </c>
      <c r="B88" t="s">
        <v>333</v>
      </c>
      <c r="C88">
        <v>25</v>
      </c>
      <c r="D88">
        <v>13282.297756</v>
      </c>
      <c r="E88">
        <v>1</v>
      </c>
      <c r="F88">
        <v>2580.4719580000001</v>
      </c>
      <c r="G88" t="s">
        <v>335</v>
      </c>
    </row>
    <row r="89" spans="1:7" x14ac:dyDescent="0.2">
      <c r="A89" t="s">
        <v>1515</v>
      </c>
      <c r="B89" t="s">
        <v>333</v>
      </c>
      <c r="C89">
        <v>25</v>
      </c>
      <c r="D89">
        <v>82700.866639999993</v>
      </c>
      <c r="E89">
        <v>1</v>
      </c>
      <c r="F89">
        <v>28023.498820000001</v>
      </c>
      <c r="G89" t="s">
        <v>335</v>
      </c>
    </row>
    <row r="90" spans="1:7" x14ac:dyDescent="0.2">
      <c r="A90" t="s">
        <v>1516</v>
      </c>
      <c r="B90" t="s">
        <v>333</v>
      </c>
      <c r="C90">
        <v>25</v>
      </c>
      <c r="D90">
        <v>48929.136454</v>
      </c>
      <c r="E90">
        <v>1</v>
      </c>
      <c r="F90">
        <v>2820.3437600000002</v>
      </c>
      <c r="G90" t="s">
        <v>335</v>
      </c>
    </row>
    <row r="91" spans="1:7" x14ac:dyDescent="0.2">
      <c r="A91" t="s">
        <v>1517</v>
      </c>
      <c r="B91" t="s">
        <v>333</v>
      </c>
      <c r="C91">
        <v>25</v>
      </c>
      <c r="D91">
        <v>31213.211650000001</v>
      </c>
      <c r="E91">
        <v>1</v>
      </c>
      <c r="F91">
        <v>3139.248795</v>
      </c>
      <c r="G91" t="s">
        <v>335</v>
      </c>
    </row>
    <row r="92" spans="1:7" x14ac:dyDescent="0.2">
      <c r="A92" t="s">
        <v>1518</v>
      </c>
      <c r="B92" t="s">
        <v>333</v>
      </c>
      <c r="C92">
        <v>25</v>
      </c>
      <c r="D92">
        <v>116028.59693099999</v>
      </c>
      <c r="E92">
        <v>1</v>
      </c>
      <c r="F92">
        <v>25758.155207</v>
      </c>
      <c r="G92" t="s">
        <v>335</v>
      </c>
    </row>
    <row r="93" spans="1:7" x14ac:dyDescent="0.2">
      <c r="A93" t="s">
        <v>1519</v>
      </c>
      <c r="B93" t="s">
        <v>333</v>
      </c>
      <c r="C93">
        <v>25</v>
      </c>
      <c r="D93">
        <v>1024496.420519</v>
      </c>
      <c r="E93">
        <v>1</v>
      </c>
      <c r="F93">
        <v>307525.40245200001</v>
      </c>
      <c r="G93" t="s">
        <v>335</v>
      </c>
    </row>
    <row r="94" spans="1:7" x14ac:dyDescent="0.2">
      <c r="A94" t="s">
        <v>1520</v>
      </c>
      <c r="B94" t="s">
        <v>333</v>
      </c>
      <c r="C94">
        <v>25</v>
      </c>
      <c r="D94">
        <v>533939.96979999996</v>
      </c>
      <c r="E94">
        <v>1</v>
      </c>
      <c r="F94">
        <v>47040.948639000002</v>
      </c>
      <c r="G94" t="s">
        <v>335</v>
      </c>
    </row>
    <row r="95" spans="1:7" x14ac:dyDescent="0.2">
      <c r="A95" t="s">
        <v>1521</v>
      </c>
      <c r="B95" t="s">
        <v>333</v>
      </c>
      <c r="C95">
        <v>25</v>
      </c>
      <c r="D95">
        <v>345876.443508</v>
      </c>
      <c r="E95">
        <v>1</v>
      </c>
      <c r="F95">
        <v>33814.883847999998</v>
      </c>
      <c r="G95" t="s">
        <v>335</v>
      </c>
    </row>
    <row r="96" spans="1:7" x14ac:dyDescent="0.2">
      <c r="A96" t="s">
        <v>1522</v>
      </c>
      <c r="B96" t="s">
        <v>333</v>
      </c>
      <c r="C96">
        <v>25</v>
      </c>
      <c r="D96">
        <v>1645864.3193010001</v>
      </c>
      <c r="E96">
        <v>1</v>
      </c>
      <c r="F96">
        <v>443877.48060299997</v>
      </c>
      <c r="G96" t="s">
        <v>335</v>
      </c>
    </row>
    <row r="97" spans="1:7" x14ac:dyDescent="0.2">
      <c r="A97" t="s">
        <v>1523</v>
      </c>
      <c r="B97" t="s">
        <v>333</v>
      </c>
      <c r="C97">
        <v>25</v>
      </c>
      <c r="D97">
        <v>28797733.566686999</v>
      </c>
      <c r="E97">
        <v>1</v>
      </c>
      <c r="F97">
        <v>10940606.114492999</v>
      </c>
      <c r="G97" t="s">
        <v>335</v>
      </c>
    </row>
    <row r="98" spans="1:7" x14ac:dyDescent="0.2">
      <c r="A98" t="s">
        <v>1524</v>
      </c>
      <c r="B98" t="s">
        <v>333</v>
      </c>
      <c r="C98">
        <v>25</v>
      </c>
      <c r="D98">
        <v>30472004.977479</v>
      </c>
      <c r="E98">
        <v>1</v>
      </c>
      <c r="F98">
        <v>31267539.779925</v>
      </c>
      <c r="G98" t="s">
        <v>335</v>
      </c>
    </row>
    <row r="99" spans="1:7" x14ac:dyDescent="0.2">
      <c r="A99" t="s">
        <v>1525</v>
      </c>
      <c r="B99" t="s">
        <v>333</v>
      </c>
      <c r="C99">
        <v>25</v>
      </c>
      <c r="D99">
        <v>3372908.3953269999</v>
      </c>
      <c r="E99">
        <v>1</v>
      </c>
      <c r="F99">
        <v>1955511.0528210001</v>
      </c>
      <c r="G99" t="s">
        <v>335</v>
      </c>
    </row>
    <row r="100" spans="1:7" x14ac:dyDescent="0.2">
      <c r="A100" t="s">
        <v>1526</v>
      </c>
      <c r="B100" t="s">
        <v>333</v>
      </c>
      <c r="C100">
        <v>25</v>
      </c>
      <c r="D100">
        <v>463767209.38175303</v>
      </c>
      <c r="E100">
        <v>1</v>
      </c>
      <c r="F100">
        <v>883408401.12630296</v>
      </c>
      <c r="G100" t="s">
        <v>335</v>
      </c>
    </row>
    <row r="101" spans="1:7" x14ac:dyDescent="0.2">
      <c r="A101" t="s">
        <v>1527</v>
      </c>
      <c r="B101" t="s">
        <v>333</v>
      </c>
      <c r="C101">
        <v>25</v>
      </c>
      <c r="D101">
        <v>1117923707.85356</v>
      </c>
      <c r="E101">
        <v>1</v>
      </c>
      <c r="F101">
        <v>402860940.16156799</v>
      </c>
      <c r="G101" t="s">
        <v>335</v>
      </c>
    </row>
    <row r="102" spans="1:7" x14ac:dyDescent="0.2">
      <c r="A102" t="s">
        <v>1528</v>
      </c>
      <c r="B102" t="s">
        <v>333</v>
      </c>
      <c r="C102">
        <v>25</v>
      </c>
      <c r="D102">
        <v>6683815.1649369998</v>
      </c>
      <c r="E102">
        <v>1</v>
      </c>
      <c r="F102">
        <v>389884.626047</v>
      </c>
      <c r="G102" t="s">
        <v>335</v>
      </c>
    </row>
    <row r="103" spans="1:7" x14ac:dyDescent="0.2">
      <c r="A103" t="s">
        <v>1529</v>
      </c>
      <c r="B103" t="s">
        <v>333</v>
      </c>
      <c r="C103">
        <v>25</v>
      </c>
      <c r="D103">
        <v>314954269.27338302</v>
      </c>
      <c r="E103">
        <v>1</v>
      </c>
      <c r="F103">
        <v>245330279.12492201</v>
      </c>
      <c r="G103" t="s">
        <v>335</v>
      </c>
    </row>
    <row r="104" spans="1:7" x14ac:dyDescent="0.2">
      <c r="A104" t="s">
        <v>1530</v>
      </c>
      <c r="B104" t="s">
        <v>333</v>
      </c>
      <c r="C104">
        <v>25</v>
      </c>
      <c r="D104">
        <v>102514361.04384699</v>
      </c>
      <c r="E104">
        <v>1</v>
      </c>
      <c r="F104">
        <v>147225042.77261099</v>
      </c>
      <c r="G104" t="s">
        <v>335</v>
      </c>
    </row>
    <row r="106" spans="1:7" x14ac:dyDescent="0.2">
      <c r="A106" t="s">
        <v>881</v>
      </c>
    </row>
    <row r="107" spans="1:7" x14ac:dyDescent="0.2">
      <c r="A107" t="s">
        <v>2</v>
      </c>
      <c r="B107" t="s">
        <v>3</v>
      </c>
      <c r="C107" t="s">
        <v>504</v>
      </c>
      <c r="D107" t="s">
        <v>5</v>
      </c>
      <c r="E107" t="s">
        <v>1247</v>
      </c>
      <c r="F107" t="s">
        <v>505</v>
      </c>
      <c r="G107" t="s">
        <v>506</v>
      </c>
    </row>
    <row r="108" spans="1:7" x14ac:dyDescent="0.2">
      <c r="A108" t="s">
        <v>1540</v>
      </c>
      <c r="B108" t="s">
        <v>333</v>
      </c>
      <c r="C108">
        <v>25</v>
      </c>
      <c r="D108">
        <v>1653.342995</v>
      </c>
      <c r="E108">
        <v>1</v>
      </c>
      <c r="F108">
        <v>197.63382999999999</v>
      </c>
      <c r="G108" t="s">
        <v>335</v>
      </c>
    </row>
    <row r="109" spans="1:7" x14ac:dyDescent="0.2">
      <c r="A109" t="s">
        <v>1541</v>
      </c>
      <c r="B109" t="s">
        <v>333</v>
      </c>
      <c r="C109">
        <v>25</v>
      </c>
      <c r="D109">
        <v>1574.7035069999999</v>
      </c>
      <c r="E109">
        <v>1</v>
      </c>
      <c r="F109">
        <v>220.044658</v>
      </c>
      <c r="G109" t="s">
        <v>335</v>
      </c>
    </row>
    <row r="110" spans="1:7" x14ac:dyDescent="0.2">
      <c r="A110" t="s">
        <v>1542</v>
      </c>
      <c r="B110" t="s">
        <v>333</v>
      </c>
      <c r="C110">
        <v>25</v>
      </c>
      <c r="D110">
        <v>2599.9021039999998</v>
      </c>
      <c r="E110">
        <v>1</v>
      </c>
      <c r="F110">
        <v>349.84700299999997</v>
      </c>
      <c r="G110" t="s">
        <v>335</v>
      </c>
    </row>
    <row r="111" spans="1:7" x14ac:dyDescent="0.2">
      <c r="A111" t="s">
        <v>1537</v>
      </c>
      <c r="B111" t="s">
        <v>333</v>
      </c>
      <c r="C111">
        <v>25</v>
      </c>
      <c r="D111">
        <v>19779.102327000001</v>
      </c>
      <c r="E111">
        <v>1</v>
      </c>
      <c r="F111">
        <v>2873.37725</v>
      </c>
      <c r="G111" t="s">
        <v>335</v>
      </c>
    </row>
    <row r="112" spans="1:7" x14ac:dyDescent="0.2">
      <c r="A112" t="s">
        <v>1538</v>
      </c>
      <c r="B112" t="s">
        <v>333</v>
      </c>
      <c r="C112">
        <v>25</v>
      </c>
      <c r="D112">
        <v>17964.002727999999</v>
      </c>
      <c r="E112">
        <v>1</v>
      </c>
      <c r="F112">
        <v>2219.3125129999999</v>
      </c>
      <c r="G112" t="s">
        <v>335</v>
      </c>
    </row>
    <row r="113" spans="1:7" x14ac:dyDescent="0.2">
      <c r="A113" t="s">
        <v>1539</v>
      </c>
      <c r="B113" t="s">
        <v>333</v>
      </c>
      <c r="C113">
        <v>25</v>
      </c>
      <c r="D113">
        <v>27253.400056999999</v>
      </c>
      <c r="E113">
        <v>1</v>
      </c>
      <c r="F113">
        <v>5790.0717800000002</v>
      </c>
      <c r="G113" t="s">
        <v>335</v>
      </c>
    </row>
    <row r="114" spans="1:7" x14ac:dyDescent="0.2">
      <c r="A114" t="s">
        <v>1534</v>
      </c>
      <c r="B114" t="s">
        <v>333</v>
      </c>
      <c r="C114">
        <v>25</v>
      </c>
      <c r="D114">
        <v>237042.107713</v>
      </c>
      <c r="E114">
        <v>1</v>
      </c>
      <c r="F114">
        <v>39082.278188999997</v>
      </c>
      <c r="G114" t="s">
        <v>335</v>
      </c>
    </row>
    <row r="115" spans="1:7" x14ac:dyDescent="0.2">
      <c r="A115" t="s">
        <v>1535</v>
      </c>
      <c r="B115" t="s">
        <v>333</v>
      </c>
      <c r="C115">
        <v>25</v>
      </c>
      <c r="D115">
        <v>241719.650616</v>
      </c>
      <c r="E115">
        <v>1</v>
      </c>
      <c r="F115">
        <v>43665.694082000002</v>
      </c>
      <c r="G115" t="s">
        <v>335</v>
      </c>
    </row>
    <row r="116" spans="1:7" x14ac:dyDescent="0.2">
      <c r="A116" t="s">
        <v>1536</v>
      </c>
      <c r="B116" t="s">
        <v>333</v>
      </c>
      <c r="C116">
        <v>25</v>
      </c>
      <c r="D116">
        <v>349645.43885400001</v>
      </c>
      <c r="E116">
        <v>1</v>
      </c>
      <c r="F116">
        <v>55911.450091999999</v>
      </c>
      <c r="G116" t="s">
        <v>335</v>
      </c>
    </row>
    <row r="117" spans="1:7" x14ac:dyDescent="0.2">
      <c r="A117" t="s">
        <v>1543</v>
      </c>
      <c r="B117" t="s">
        <v>333</v>
      </c>
      <c r="C117">
        <v>25</v>
      </c>
      <c r="D117">
        <v>1728311.0350870001</v>
      </c>
      <c r="E117">
        <v>1</v>
      </c>
      <c r="F117">
        <v>302367.40931900003</v>
      </c>
      <c r="G117" t="s">
        <v>335</v>
      </c>
    </row>
    <row r="118" spans="1:7" x14ac:dyDescent="0.2">
      <c r="A118" t="s">
        <v>1544</v>
      </c>
      <c r="B118" t="s">
        <v>333</v>
      </c>
      <c r="C118">
        <v>25</v>
      </c>
      <c r="D118">
        <v>1581001.1488640001</v>
      </c>
      <c r="E118">
        <v>1</v>
      </c>
      <c r="F118">
        <v>182152.708506</v>
      </c>
      <c r="G118" t="s">
        <v>335</v>
      </c>
    </row>
    <row r="119" spans="1:7" x14ac:dyDescent="0.2">
      <c r="A119" t="s">
        <v>1545</v>
      </c>
      <c r="B119" t="s">
        <v>333</v>
      </c>
      <c r="C119">
        <v>25</v>
      </c>
      <c r="D119">
        <v>2701828.5514369998</v>
      </c>
      <c r="E119">
        <v>1</v>
      </c>
      <c r="F119">
        <v>454972.74601300003</v>
      </c>
      <c r="G119" t="s">
        <v>335</v>
      </c>
    </row>
    <row r="120" spans="1:7" x14ac:dyDescent="0.2">
      <c r="A120" t="s">
        <v>1531</v>
      </c>
      <c r="B120" t="s">
        <v>333</v>
      </c>
      <c r="C120">
        <v>25</v>
      </c>
      <c r="D120">
        <v>4190136.7888099998</v>
      </c>
      <c r="E120">
        <v>1</v>
      </c>
      <c r="F120">
        <v>468891.3443</v>
      </c>
      <c r="G120" t="s">
        <v>335</v>
      </c>
    </row>
    <row r="121" spans="1:7" x14ac:dyDescent="0.2">
      <c r="A121" t="s">
        <v>1532</v>
      </c>
      <c r="B121" t="s">
        <v>333</v>
      </c>
      <c r="C121">
        <v>25</v>
      </c>
      <c r="D121">
        <v>3881346.1870129998</v>
      </c>
      <c r="E121">
        <v>1</v>
      </c>
      <c r="F121">
        <v>411293.82632699999</v>
      </c>
      <c r="G121" t="s">
        <v>335</v>
      </c>
    </row>
    <row r="122" spans="1:7" x14ac:dyDescent="0.2">
      <c r="A122" t="s">
        <v>1533</v>
      </c>
      <c r="B122" t="s">
        <v>333</v>
      </c>
      <c r="C122">
        <v>25</v>
      </c>
      <c r="D122">
        <v>5887537.8845769996</v>
      </c>
      <c r="E122">
        <v>1</v>
      </c>
      <c r="F122">
        <v>917475.65107499994</v>
      </c>
      <c r="G122" t="s">
        <v>335</v>
      </c>
    </row>
    <row r="124" spans="1:7" x14ac:dyDescent="0.2">
      <c r="A124" t="s">
        <v>759</v>
      </c>
    </row>
    <row r="125" spans="1:7" x14ac:dyDescent="0.2">
      <c r="A125" t="s">
        <v>2</v>
      </c>
      <c r="B125" t="s">
        <v>3</v>
      </c>
      <c r="C125" t="s">
        <v>504</v>
      </c>
      <c r="D125" t="s">
        <v>5</v>
      </c>
      <c r="E125" t="s">
        <v>1247</v>
      </c>
      <c r="F125" t="s">
        <v>505</v>
      </c>
      <c r="G125" t="s">
        <v>506</v>
      </c>
    </row>
    <row r="126" spans="1:7" x14ac:dyDescent="0.2">
      <c r="A126" t="s">
        <v>1546</v>
      </c>
      <c r="B126" t="s">
        <v>333</v>
      </c>
      <c r="C126">
        <v>25</v>
      </c>
      <c r="D126">
        <v>2056.2235340000002</v>
      </c>
      <c r="E126">
        <v>1</v>
      </c>
      <c r="F126">
        <v>299.03729199999998</v>
      </c>
      <c r="G126" t="s">
        <v>335</v>
      </c>
    </row>
    <row r="127" spans="1:7" x14ac:dyDescent="0.2">
      <c r="A127" t="s">
        <v>1547</v>
      </c>
      <c r="B127" t="s">
        <v>333</v>
      </c>
      <c r="C127">
        <v>25</v>
      </c>
      <c r="D127">
        <v>135.18148500000001</v>
      </c>
      <c r="E127">
        <v>1</v>
      </c>
      <c r="F127">
        <v>4.0696380000000003</v>
      </c>
      <c r="G127" t="s">
        <v>335</v>
      </c>
    </row>
    <row r="128" spans="1:7" x14ac:dyDescent="0.2">
      <c r="A128" t="s">
        <v>1548</v>
      </c>
      <c r="B128" t="s">
        <v>333</v>
      </c>
      <c r="C128">
        <v>25</v>
      </c>
      <c r="D128">
        <v>691.44892100000004</v>
      </c>
      <c r="E128">
        <v>1</v>
      </c>
      <c r="F128">
        <v>249.63473200000001</v>
      </c>
      <c r="G128" t="s">
        <v>335</v>
      </c>
    </row>
    <row r="129" spans="1:7" x14ac:dyDescent="0.2">
      <c r="A129" t="s">
        <v>1549</v>
      </c>
      <c r="B129" t="s">
        <v>333</v>
      </c>
      <c r="C129">
        <v>25</v>
      </c>
      <c r="D129">
        <v>23527.682583999998</v>
      </c>
      <c r="E129">
        <v>1</v>
      </c>
      <c r="F129">
        <v>6620.888164</v>
      </c>
      <c r="G129" t="s">
        <v>335</v>
      </c>
    </row>
    <row r="130" spans="1:7" x14ac:dyDescent="0.2">
      <c r="A130" t="s">
        <v>1550</v>
      </c>
      <c r="B130" t="s">
        <v>333</v>
      </c>
      <c r="C130">
        <v>25</v>
      </c>
      <c r="D130">
        <v>1355.6449700000001</v>
      </c>
      <c r="E130">
        <v>1</v>
      </c>
      <c r="F130">
        <v>446.42546399999998</v>
      </c>
      <c r="G130" t="s">
        <v>335</v>
      </c>
    </row>
    <row r="131" spans="1:7" x14ac:dyDescent="0.2">
      <c r="A131" t="s">
        <v>1551</v>
      </c>
      <c r="B131" t="s">
        <v>333</v>
      </c>
      <c r="C131">
        <v>25</v>
      </c>
      <c r="D131">
        <v>7508.3968050000003</v>
      </c>
      <c r="E131">
        <v>1</v>
      </c>
      <c r="F131">
        <v>1489.371852</v>
      </c>
      <c r="G131" t="s">
        <v>335</v>
      </c>
    </row>
    <row r="132" spans="1:7" x14ac:dyDescent="0.2">
      <c r="A132" t="s">
        <v>1552</v>
      </c>
      <c r="B132" t="s">
        <v>333</v>
      </c>
      <c r="C132">
        <v>25</v>
      </c>
      <c r="D132">
        <v>204940.284246</v>
      </c>
      <c r="E132">
        <v>1</v>
      </c>
      <c r="F132">
        <v>59116.177379000001</v>
      </c>
      <c r="G132" t="s">
        <v>335</v>
      </c>
    </row>
    <row r="133" spans="1:7" x14ac:dyDescent="0.2">
      <c r="A133" t="s">
        <v>1553</v>
      </c>
      <c r="B133" t="s">
        <v>333</v>
      </c>
      <c r="C133">
        <v>25</v>
      </c>
      <c r="D133">
        <v>9307.8397260000002</v>
      </c>
      <c r="E133">
        <v>1</v>
      </c>
      <c r="F133">
        <v>236.568905</v>
      </c>
      <c r="G133" t="s">
        <v>335</v>
      </c>
    </row>
    <row r="134" spans="1:7" x14ac:dyDescent="0.2">
      <c r="A134" t="s">
        <v>1554</v>
      </c>
      <c r="B134" t="s">
        <v>333</v>
      </c>
      <c r="C134">
        <v>25</v>
      </c>
      <c r="D134">
        <v>72459.020810000002</v>
      </c>
      <c r="E134">
        <v>1</v>
      </c>
      <c r="F134">
        <v>15386.714669000001</v>
      </c>
      <c r="G134" t="s">
        <v>335</v>
      </c>
    </row>
    <row r="135" spans="1:7" x14ac:dyDescent="0.2">
      <c r="A135" t="s">
        <v>1555</v>
      </c>
      <c r="B135" t="s">
        <v>333</v>
      </c>
      <c r="C135">
        <v>25</v>
      </c>
      <c r="D135">
        <v>1292752.118946</v>
      </c>
      <c r="E135">
        <v>1</v>
      </c>
      <c r="F135">
        <v>413885.108534</v>
      </c>
      <c r="G135" t="s">
        <v>335</v>
      </c>
    </row>
    <row r="136" spans="1:7" x14ac:dyDescent="0.2">
      <c r="A136" t="s">
        <v>1556</v>
      </c>
      <c r="B136" t="s">
        <v>333</v>
      </c>
      <c r="C136">
        <v>25</v>
      </c>
      <c r="D136">
        <v>52253.209684000001</v>
      </c>
      <c r="E136">
        <v>1</v>
      </c>
      <c r="F136">
        <v>2091.206541</v>
      </c>
      <c r="G136" t="s">
        <v>335</v>
      </c>
    </row>
    <row r="137" spans="1:7" x14ac:dyDescent="0.2">
      <c r="A137" t="s">
        <v>1557</v>
      </c>
      <c r="B137" t="s">
        <v>333</v>
      </c>
      <c r="C137">
        <v>25</v>
      </c>
      <c r="D137">
        <v>406210.184978</v>
      </c>
      <c r="E137">
        <v>1</v>
      </c>
      <c r="F137">
        <v>88721.322834999999</v>
      </c>
      <c r="G137" t="s">
        <v>335</v>
      </c>
    </row>
    <row r="138" spans="1:7" x14ac:dyDescent="0.2">
      <c r="A138" t="s">
        <v>1558</v>
      </c>
      <c r="B138" t="s">
        <v>333</v>
      </c>
      <c r="C138">
        <v>25</v>
      </c>
      <c r="D138">
        <v>2208918.1592959999</v>
      </c>
      <c r="E138">
        <v>1</v>
      </c>
      <c r="F138">
        <v>577120.27268499997</v>
      </c>
      <c r="G138" t="s">
        <v>335</v>
      </c>
    </row>
    <row r="139" spans="1:7" x14ac:dyDescent="0.2">
      <c r="A139" t="s">
        <v>1559</v>
      </c>
      <c r="B139" t="s">
        <v>333</v>
      </c>
      <c r="C139">
        <v>25</v>
      </c>
      <c r="D139">
        <v>111329.81269000001</v>
      </c>
      <c r="E139">
        <v>1</v>
      </c>
      <c r="F139">
        <v>5396.8710730000003</v>
      </c>
      <c r="G139" t="s">
        <v>335</v>
      </c>
    </row>
    <row r="140" spans="1:7" x14ac:dyDescent="0.2">
      <c r="A140" t="s">
        <v>1560</v>
      </c>
      <c r="B140" t="s">
        <v>333</v>
      </c>
      <c r="C140">
        <v>25</v>
      </c>
      <c r="D140">
        <v>770512.84885199997</v>
      </c>
      <c r="E140">
        <v>1</v>
      </c>
      <c r="F140">
        <v>153989.496507</v>
      </c>
      <c r="G140" t="s">
        <v>335</v>
      </c>
    </row>
    <row r="142" spans="1:7" x14ac:dyDescent="0.2">
      <c r="A142" t="s">
        <v>165</v>
      </c>
    </row>
    <row r="143" spans="1:7" x14ac:dyDescent="0.2">
      <c r="A143" t="s">
        <v>2</v>
      </c>
      <c r="B143" t="s">
        <v>3</v>
      </c>
      <c r="C143" t="s">
        <v>504</v>
      </c>
      <c r="D143" t="s">
        <v>5</v>
      </c>
      <c r="E143" t="s">
        <v>1247</v>
      </c>
      <c r="F143" t="s">
        <v>505</v>
      </c>
      <c r="G143" t="s">
        <v>506</v>
      </c>
    </row>
    <row r="144" spans="1:7" x14ac:dyDescent="0.2">
      <c r="A144" t="s">
        <v>1561</v>
      </c>
      <c r="B144" t="s">
        <v>333</v>
      </c>
      <c r="C144">
        <v>25</v>
      </c>
      <c r="D144">
        <v>1420.725694</v>
      </c>
      <c r="E144">
        <v>1</v>
      </c>
      <c r="F144">
        <v>145.78244599999999</v>
      </c>
      <c r="G144" t="s">
        <v>335</v>
      </c>
    </row>
    <row r="145" spans="1:7" x14ac:dyDescent="0.2">
      <c r="A145" t="s">
        <v>1562</v>
      </c>
      <c r="B145" t="s">
        <v>333</v>
      </c>
      <c r="C145">
        <v>25</v>
      </c>
      <c r="D145">
        <v>781.506215</v>
      </c>
      <c r="E145">
        <v>1</v>
      </c>
      <c r="F145">
        <v>83.915372000000005</v>
      </c>
      <c r="G145" t="s">
        <v>335</v>
      </c>
    </row>
    <row r="146" spans="1:7" x14ac:dyDescent="0.2">
      <c r="A146" t="s">
        <v>1563</v>
      </c>
      <c r="B146" t="s">
        <v>333</v>
      </c>
      <c r="C146">
        <v>25</v>
      </c>
      <c r="D146">
        <v>17809.326005999999</v>
      </c>
      <c r="E146">
        <v>1</v>
      </c>
      <c r="F146">
        <v>13919.895338</v>
      </c>
      <c r="G146" t="s">
        <v>335</v>
      </c>
    </row>
    <row r="147" spans="1:7" x14ac:dyDescent="0.2">
      <c r="A147" t="s">
        <v>1564</v>
      </c>
      <c r="B147" t="s">
        <v>333</v>
      </c>
      <c r="C147">
        <v>25</v>
      </c>
      <c r="D147">
        <v>19184.152518999999</v>
      </c>
      <c r="E147">
        <v>1</v>
      </c>
      <c r="F147">
        <v>6466.7082090000004</v>
      </c>
      <c r="G147" t="s">
        <v>335</v>
      </c>
    </row>
    <row r="148" spans="1:7" x14ac:dyDescent="0.2">
      <c r="A148" t="s">
        <v>1565</v>
      </c>
      <c r="B148" t="s">
        <v>333</v>
      </c>
      <c r="C148">
        <v>25</v>
      </c>
      <c r="D148">
        <v>9875.4262269999999</v>
      </c>
      <c r="E148">
        <v>1</v>
      </c>
      <c r="F148">
        <v>1712.654115</v>
      </c>
      <c r="G148" t="s">
        <v>335</v>
      </c>
    </row>
    <row r="149" spans="1:7" x14ac:dyDescent="0.2">
      <c r="A149" t="s">
        <v>1566</v>
      </c>
      <c r="B149" t="s">
        <v>333</v>
      </c>
      <c r="C149">
        <v>25</v>
      </c>
      <c r="D149">
        <v>14199.400670000001</v>
      </c>
      <c r="E149">
        <v>1</v>
      </c>
      <c r="F149">
        <v>4314.0206360000002</v>
      </c>
      <c r="G149" t="s">
        <v>335</v>
      </c>
    </row>
    <row r="150" spans="1:7" x14ac:dyDescent="0.2">
      <c r="A150" t="s">
        <v>1567</v>
      </c>
      <c r="B150" t="s">
        <v>333</v>
      </c>
      <c r="C150">
        <v>25</v>
      </c>
      <c r="D150">
        <v>194575.977464</v>
      </c>
      <c r="E150">
        <v>1</v>
      </c>
      <c r="F150">
        <v>47918.520074</v>
      </c>
      <c r="G150" t="s">
        <v>335</v>
      </c>
    </row>
    <row r="151" spans="1:7" x14ac:dyDescent="0.2">
      <c r="A151" t="s">
        <v>1568</v>
      </c>
      <c r="B151" t="s">
        <v>333</v>
      </c>
      <c r="C151">
        <v>25</v>
      </c>
      <c r="D151">
        <v>86899.573843999999</v>
      </c>
      <c r="E151">
        <v>1</v>
      </c>
      <c r="F151">
        <v>18805.732196000001</v>
      </c>
      <c r="G151" t="s">
        <v>335</v>
      </c>
    </row>
    <row r="152" spans="1:7" x14ac:dyDescent="0.2">
      <c r="A152" t="s">
        <v>1569</v>
      </c>
      <c r="B152" t="s">
        <v>333</v>
      </c>
      <c r="C152">
        <v>25</v>
      </c>
      <c r="D152">
        <v>145293.98231399999</v>
      </c>
      <c r="E152">
        <v>1</v>
      </c>
      <c r="F152">
        <v>50563.262437999998</v>
      </c>
      <c r="G152" t="s">
        <v>335</v>
      </c>
    </row>
    <row r="153" spans="1:7" x14ac:dyDescent="0.2">
      <c r="A153" t="s">
        <v>1570</v>
      </c>
      <c r="B153" t="s">
        <v>333</v>
      </c>
      <c r="C153">
        <v>25</v>
      </c>
      <c r="D153">
        <v>1017409.562093</v>
      </c>
      <c r="E153">
        <v>1</v>
      </c>
      <c r="F153">
        <v>171233.38060100001</v>
      </c>
      <c r="G153" t="s">
        <v>335</v>
      </c>
    </row>
    <row r="154" spans="1:7" x14ac:dyDescent="0.2">
      <c r="A154" t="s">
        <v>1571</v>
      </c>
      <c r="B154" t="s">
        <v>333</v>
      </c>
      <c r="C154">
        <v>25</v>
      </c>
      <c r="D154">
        <v>409992.71361999999</v>
      </c>
      <c r="E154">
        <v>1</v>
      </c>
      <c r="F154">
        <v>58764.601361000001</v>
      </c>
      <c r="G154" t="s">
        <v>335</v>
      </c>
    </row>
    <row r="155" spans="1:7" x14ac:dyDescent="0.2">
      <c r="A155" t="s">
        <v>1572</v>
      </c>
      <c r="B155" t="s">
        <v>333</v>
      </c>
      <c r="C155">
        <v>25</v>
      </c>
      <c r="D155">
        <v>753261.750504</v>
      </c>
      <c r="E155">
        <v>1</v>
      </c>
      <c r="F155">
        <v>178766.84751600001</v>
      </c>
      <c r="G155" t="s">
        <v>335</v>
      </c>
    </row>
    <row r="156" spans="1:7" x14ac:dyDescent="0.2">
      <c r="A156" t="s">
        <v>1573</v>
      </c>
      <c r="B156" t="s">
        <v>333</v>
      </c>
      <c r="C156">
        <v>25</v>
      </c>
      <c r="D156">
        <v>1965082.302104</v>
      </c>
      <c r="E156">
        <v>1</v>
      </c>
      <c r="F156">
        <v>470128.04767499998</v>
      </c>
      <c r="G156" t="s">
        <v>335</v>
      </c>
    </row>
    <row r="157" spans="1:7" x14ac:dyDescent="0.2">
      <c r="A157" t="s">
        <v>1574</v>
      </c>
      <c r="B157" t="s">
        <v>333</v>
      </c>
      <c r="C157">
        <v>25</v>
      </c>
      <c r="D157">
        <v>924302.46957900003</v>
      </c>
      <c r="E157">
        <v>1</v>
      </c>
      <c r="F157">
        <v>147191.01989200001</v>
      </c>
      <c r="G157" t="s">
        <v>335</v>
      </c>
    </row>
    <row r="158" spans="1:7" x14ac:dyDescent="0.2">
      <c r="A158" t="s">
        <v>1575</v>
      </c>
      <c r="B158" t="s">
        <v>333</v>
      </c>
      <c r="C158">
        <v>25</v>
      </c>
      <c r="D158">
        <v>1428148.3140680001</v>
      </c>
      <c r="E158">
        <v>1</v>
      </c>
      <c r="F158">
        <v>354287.99990400003</v>
      </c>
      <c r="G158" t="s">
        <v>335</v>
      </c>
    </row>
    <row r="160" spans="1:7" x14ac:dyDescent="0.2">
      <c r="A160" t="s">
        <v>164</v>
      </c>
    </row>
    <row r="161" spans="1:7" x14ac:dyDescent="0.2">
      <c r="A161" t="s">
        <v>2</v>
      </c>
      <c r="B161" t="s">
        <v>3</v>
      </c>
      <c r="C161" t="s">
        <v>504</v>
      </c>
      <c r="D161" t="s">
        <v>5</v>
      </c>
      <c r="E161" t="s">
        <v>1247</v>
      </c>
      <c r="F161" t="s">
        <v>505</v>
      </c>
      <c r="G161" t="s">
        <v>506</v>
      </c>
    </row>
    <row r="162" spans="1:7" x14ac:dyDescent="0.2">
      <c r="A162" t="s">
        <v>1576</v>
      </c>
      <c r="B162" t="s">
        <v>333</v>
      </c>
      <c r="C162">
        <v>25</v>
      </c>
      <c r="D162">
        <v>2230.5954510000001</v>
      </c>
      <c r="E162">
        <v>1</v>
      </c>
      <c r="F162">
        <v>275.86014599999999</v>
      </c>
      <c r="G162" t="s">
        <v>335</v>
      </c>
    </row>
    <row r="163" spans="1:7" x14ac:dyDescent="0.2">
      <c r="A163" t="s">
        <v>1577</v>
      </c>
      <c r="B163" t="s">
        <v>333</v>
      </c>
      <c r="C163">
        <v>25</v>
      </c>
      <c r="D163">
        <v>4704.6696140000004</v>
      </c>
      <c r="E163">
        <v>1</v>
      </c>
      <c r="F163">
        <v>1793.476936</v>
      </c>
      <c r="G163" t="s">
        <v>335</v>
      </c>
    </row>
    <row r="164" spans="1:7" x14ac:dyDescent="0.2">
      <c r="A164" t="s">
        <v>1578</v>
      </c>
      <c r="B164" t="s">
        <v>333</v>
      </c>
      <c r="C164">
        <v>25</v>
      </c>
      <c r="D164">
        <v>20802.733465000001</v>
      </c>
      <c r="E164">
        <v>1</v>
      </c>
      <c r="F164">
        <v>14594.495339999999</v>
      </c>
      <c r="G164" t="s">
        <v>335</v>
      </c>
    </row>
    <row r="165" spans="1:7" x14ac:dyDescent="0.2">
      <c r="A165" t="s">
        <v>1579</v>
      </c>
      <c r="B165" t="s">
        <v>333</v>
      </c>
      <c r="C165">
        <v>25</v>
      </c>
      <c r="D165">
        <v>23749.982788000001</v>
      </c>
      <c r="E165">
        <v>1</v>
      </c>
      <c r="F165">
        <v>4565.0701769999996</v>
      </c>
      <c r="G165" t="s">
        <v>335</v>
      </c>
    </row>
    <row r="166" spans="1:7" x14ac:dyDescent="0.2">
      <c r="A166" t="s">
        <v>1580</v>
      </c>
      <c r="B166" t="s">
        <v>333</v>
      </c>
      <c r="C166">
        <v>25</v>
      </c>
      <c r="D166">
        <v>29777.596382</v>
      </c>
      <c r="E166">
        <v>1</v>
      </c>
      <c r="F166">
        <v>3721.539217</v>
      </c>
      <c r="G166" t="s">
        <v>335</v>
      </c>
    </row>
    <row r="167" spans="1:7" x14ac:dyDescent="0.2">
      <c r="A167" t="s">
        <v>1581</v>
      </c>
      <c r="B167" t="s">
        <v>333</v>
      </c>
      <c r="C167">
        <v>25</v>
      </c>
      <c r="D167">
        <v>35872.192382000001</v>
      </c>
      <c r="E167">
        <v>1</v>
      </c>
      <c r="F167">
        <v>5386.6743189999997</v>
      </c>
      <c r="G167" t="s">
        <v>335</v>
      </c>
    </row>
    <row r="168" spans="1:7" x14ac:dyDescent="0.2">
      <c r="A168" t="s">
        <v>1582</v>
      </c>
      <c r="B168" t="s">
        <v>333</v>
      </c>
      <c r="C168">
        <v>25</v>
      </c>
      <c r="D168">
        <v>263815.61202399997</v>
      </c>
      <c r="E168">
        <v>1</v>
      </c>
      <c r="F168">
        <v>67153.083008000001</v>
      </c>
      <c r="G168" t="s">
        <v>335</v>
      </c>
    </row>
    <row r="169" spans="1:7" x14ac:dyDescent="0.2">
      <c r="A169" t="s">
        <v>1583</v>
      </c>
      <c r="B169" t="s">
        <v>333</v>
      </c>
      <c r="C169">
        <v>25</v>
      </c>
      <c r="D169">
        <v>363378.42057399999</v>
      </c>
      <c r="E169">
        <v>1</v>
      </c>
      <c r="F169">
        <v>109324.95403199999</v>
      </c>
      <c r="G169" t="s">
        <v>335</v>
      </c>
    </row>
    <row r="170" spans="1:7" x14ac:dyDescent="0.2">
      <c r="A170" t="s">
        <v>1584</v>
      </c>
      <c r="B170" t="s">
        <v>333</v>
      </c>
      <c r="C170">
        <v>25</v>
      </c>
      <c r="D170">
        <v>312143.62601900002</v>
      </c>
      <c r="E170">
        <v>1</v>
      </c>
      <c r="F170">
        <v>69919.387241999997</v>
      </c>
      <c r="G170" t="s">
        <v>335</v>
      </c>
    </row>
    <row r="171" spans="1:7" x14ac:dyDescent="0.2">
      <c r="A171" t="s">
        <v>1585</v>
      </c>
      <c r="B171" t="s">
        <v>333</v>
      </c>
      <c r="C171">
        <v>25</v>
      </c>
      <c r="D171">
        <v>1551217.110867</v>
      </c>
      <c r="E171">
        <v>1</v>
      </c>
      <c r="F171">
        <v>316112.22645399999</v>
      </c>
      <c r="G171" t="s">
        <v>335</v>
      </c>
    </row>
    <row r="172" spans="1:7" x14ac:dyDescent="0.2">
      <c r="A172" t="s">
        <v>1586</v>
      </c>
      <c r="B172" t="s">
        <v>333</v>
      </c>
      <c r="C172">
        <v>25</v>
      </c>
      <c r="D172">
        <v>1602148.8530540001</v>
      </c>
      <c r="E172">
        <v>1</v>
      </c>
      <c r="F172">
        <v>273843.02227199997</v>
      </c>
      <c r="G172" t="s">
        <v>335</v>
      </c>
    </row>
    <row r="173" spans="1:7" x14ac:dyDescent="0.2">
      <c r="A173" t="s">
        <v>1587</v>
      </c>
      <c r="B173" t="s">
        <v>333</v>
      </c>
      <c r="C173">
        <v>25</v>
      </c>
      <c r="D173">
        <v>1603893.8972459999</v>
      </c>
      <c r="E173">
        <v>1</v>
      </c>
      <c r="F173">
        <v>225112.98728599999</v>
      </c>
      <c r="G173" t="s">
        <v>335</v>
      </c>
    </row>
    <row r="174" spans="1:7" x14ac:dyDescent="0.2">
      <c r="A174" t="s">
        <v>1588</v>
      </c>
      <c r="B174" t="s">
        <v>333</v>
      </c>
      <c r="C174">
        <v>25</v>
      </c>
      <c r="D174">
        <v>3067542.0498560001</v>
      </c>
      <c r="E174">
        <v>1</v>
      </c>
      <c r="F174">
        <v>620540.65345500002</v>
      </c>
      <c r="G174" t="s">
        <v>335</v>
      </c>
    </row>
    <row r="175" spans="1:7" x14ac:dyDescent="0.2">
      <c r="A175" t="s">
        <v>1589</v>
      </c>
      <c r="B175" t="s">
        <v>333</v>
      </c>
      <c r="C175">
        <v>25</v>
      </c>
      <c r="D175">
        <v>3166071.5835859999</v>
      </c>
      <c r="E175">
        <v>1</v>
      </c>
      <c r="F175">
        <v>488413.877393</v>
      </c>
      <c r="G175" t="s">
        <v>335</v>
      </c>
    </row>
    <row r="176" spans="1:7" x14ac:dyDescent="0.2">
      <c r="A176" t="s">
        <v>1590</v>
      </c>
      <c r="B176" t="s">
        <v>333</v>
      </c>
      <c r="C176">
        <v>25</v>
      </c>
      <c r="D176">
        <v>3817540.0101700001</v>
      </c>
      <c r="E176">
        <v>1</v>
      </c>
      <c r="F176">
        <v>580792.53099899995</v>
      </c>
      <c r="G176" t="s">
        <v>335</v>
      </c>
    </row>
    <row r="178" spans="1:7" x14ac:dyDescent="0.2">
      <c r="A178" t="s">
        <v>163</v>
      </c>
    </row>
    <row r="179" spans="1:7" x14ac:dyDescent="0.2">
      <c r="A179" t="s">
        <v>2</v>
      </c>
      <c r="B179" t="s">
        <v>3</v>
      </c>
      <c r="C179" t="s">
        <v>504</v>
      </c>
      <c r="D179" t="s">
        <v>5</v>
      </c>
      <c r="E179" t="s">
        <v>1247</v>
      </c>
      <c r="F179" t="s">
        <v>505</v>
      </c>
      <c r="G179" t="s">
        <v>506</v>
      </c>
    </row>
    <row r="180" spans="1:7" x14ac:dyDescent="0.2">
      <c r="A180" t="s">
        <v>1591</v>
      </c>
      <c r="B180" t="s">
        <v>333</v>
      </c>
      <c r="C180">
        <v>25</v>
      </c>
      <c r="D180">
        <v>26428.383341000001</v>
      </c>
      <c r="E180">
        <v>1</v>
      </c>
      <c r="F180">
        <v>57045.384588000001</v>
      </c>
      <c r="G180" t="s">
        <v>335</v>
      </c>
    </row>
    <row r="181" spans="1:7" x14ac:dyDescent="0.2">
      <c r="A181" t="s">
        <v>1592</v>
      </c>
      <c r="B181" t="s">
        <v>333</v>
      </c>
      <c r="C181">
        <v>25</v>
      </c>
      <c r="D181">
        <v>10605.929614000001</v>
      </c>
      <c r="E181">
        <v>1</v>
      </c>
      <c r="F181">
        <v>7165.3584879999999</v>
      </c>
      <c r="G181" t="s">
        <v>335</v>
      </c>
    </row>
    <row r="182" spans="1:7" x14ac:dyDescent="0.2">
      <c r="A182" t="s">
        <v>1593</v>
      </c>
      <c r="B182" t="s">
        <v>333</v>
      </c>
      <c r="C182">
        <v>25</v>
      </c>
      <c r="D182">
        <v>6879.1741220000004</v>
      </c>
      <c r="E182">
        <v>1</v>
      </c>
      <c r="F182">
        <v>2433.4331320000001</v>
      </c>
      <c r="G182" t="s">
        <v>335</v>
      </c>
    </row>
    <row r="183" spans="1:7" x14ac:dyDescent="0.2">
      <c r="A183" t="s">
        <v>1594</v>
      </c>
      <c r="B183" t="s">
        <v>333</v>
      </c>
      <c r="C183">
        <v>25</v>
      </c>
      <c r="D183">
        <v>48231.377871999997</v>
      </c>
      <c r="E183">
        <v>1</v>
      </c>
      <c r="F183">
        <v>9807.4387540000007</v>
      </c>
      <c r="G183" t="s">
        <v>335</v>
      </c>
    </row>
    <row r="184" spans="1:7" x14ac:dyDescent="0.2">
      <c r="A184" t="s">
        <v>1595</v>
      </c>
      <c r="B184" t="s">
        <v>333</v>
      </c>
      <c r="C184">
        <v>25</v>
      </c>
      <c r="D184">
        <v>54827.954060999997</v>
      </c>
      <c r="E184">
        <v>1</v>
      </c>
      <c r="F184">
        <v>8849.4405310000002</v>
      </c>
      <c r="G184" t="s">
        <v>335</v>
      </c>
    </row>
    <row r="185" spans="1:7" x14ac:dyDescent="0.2">
      <c r="A185" t="s">
        <v>1596</v>
      </c>
      <c r="B185" t="s">
        <v>333</v>
      </c>
      <c r="C185">
        <v>25</v>
      </c>
      <c r="D185">
        <v>61326.388713</v>
      </c>
      <c r="E185">
        <v>1</v>
      </c>
      <c r="F185">
        <v>9409.8560560000005</v>
      </c>
      <c r="G185" t="s">
        <v>335</v>
      </c>
    </row>
    <row r="186" spans="1:7" x14ac:dyDescent="0.2">
      <c r="A186" t="s">
        <v>1597</v>
      </c>
      <c r="B186" t="s">
        <v>333</v>
      </c>
      <c r="C186">
        <v>25</v>
      </c>
      <c r="D186">
        <v>518799.92947500001</v>
      </c>
      <c r="E186">
        <v>1</v>
      </c>
      <c r="F186">
        <v>140483.14084499999</v>
      </c>
      <c r="G186" t="s">
        <v>335</v>
      </c>
    </row>
    <row r="187" spans="1:7" x14ac:dyDescent="0.2">
      <c r="A187" t="s">
        <v>1598</v>
      </c>
      <c r="B187" t="s">
        <v>333</v>
      </c>
      <c r="C187">
        <v>25</v>
      </c>
      <c r="D187">
        <v>544195.81750500004</v>
      </c>
      <c r="E187">
        <v>1</v>
      </c>
      <c r="F187">
        <v>90614.665143000006</v>
      </c>
      <c r="G187" t="s">
        <v>335</v>
      </c>
    </row>
    <row r="188" spans="1:7" x14ac:dyDescent="0.2">
      <c r="A188" t="s">
        <v>1599</v>
      </c>
      <c r="B188" t="s">
        <v>333</v>
      </c>
      <c r="C188">
        <v>25</v>
      </c>
      <c r="D188">
        <v>615865.02549599996</v>
      </c>
      <c r="E188">
        <v>1</v>
      </c>
      <c r="F188">
        <v>54325.297348</v>
      </c>
      <c r="G188" t="s">
        <v>335</v>
      </c>
    </row>
    <row r="189" spans="1:7" x14ac:dyDescent="0.2">
      <c r="A189" t="s">
        <v>1600</v>
      </c>
      <c r="B189" t="s">
        <v>333</v>
      </c>
      <c r="C189">
        <v>25</v>
      </c>
      <c r="D189">
        <v>2553553.5593030001</v>
      </c>
      <c r="E189">
        <v>1</v>
      </c>
      <c r="F189">
        <v>472131.49885700003</v>
      </c>
      <c r="G189" t="s">
        <v>335</v>
      </c>
    </row>
    <row r="190" spans="1:7" x14ac:dyDescent="0.2">
      <c r="A190" t="s">
        <v>1601</v>
      </c>
      <c r="B190" t="s">
        <v>333</v>
      </c>
      <c r="C190">
        <v>25</v>
      </c>
      <c r="D190">
        <v>2718553.5945350002</v>
      </c>
      <c r="E190">
        <v>1</v>
      </c>
      <c r="F190">
        <v>302869.91570900002</v>
      </c>
      <c r="G190" t="s">
        <v>335</v>
      </c>
    </row>
    <row r="191" spans="1:7" x14ac:dyDescent="0.2">
      <c r="A191" t="s">
        <v>1602</v>
      </c>
      <c r="B191" t="s">
        <v>333</v>
      </c>
      <c r="C191">
        <v>25</v>
      </c>
      <c r="D191">
        <v>3516664.5174710001</v>
      </c>
      <c r="E191">
        <v>1</v>
      </c>
      <c r="F191">
        <v>552173.35536100005</v>
      </c>
      <c r="G191" t="s">
        <v>335</v>
      </c>
    </row>
    <row r="192" spans="1:7" x14ac:dyDescent="0.2">
      <c r="A192" t="s">
        <v>1603</v>
      </c>
      <c r="B192" t="s">
        <v>333</v>
      </c>
      <c r="C192">
        <v>25</v>
      </c>
      <c r="D192">
        <v>5071555.3372870004</v>
      </c>
      <c r="E192">
        <v>1</v>
      </c>
      <c r="F192">
        <v>1009050.479936</v>
      </c>
      <c r="G192" t="s">
        <v>335</v>
      </c>
    </row>
    <row r="193" spans="1:7" x14ac:dyDescent="0.2">
      <c r="A193" t="s">
        <v>1604</v>
      </c>
      <c r="B193" t="s">
        <v>333</v>
      </c>
      <c r="C193">
        <v>25</v>
      </c>
      <c r="D193">
        <v>5480272.1732120002</v>
      </c>
      <c r="E193">
        <v>1</v>
      </c>
      <c r="F193">
        <v>798222.66156200005</v>
      </c>
      <c r="G193" t="s">
        <v>335</v>
      </c>
    </row>
    <row r="194" spans="1:7" x14ac:dyDescent="0.2">
      <c r="A194" t="s">
        <v>1605</v>
      </c>
      <c r="B194" t="s">
        <v>333</v>
      </c>
      <c r="C194">
        <v>25</v>
      </c>
      <c r="D194">
        <v>6664535.7678850004</v>
      </c>
      <c r="E194">
        <v>1</v>
      </c>
      <c r="F194">
        <v>1236211.93851</v>
      </c>
      <c r="G194" t="s">
        <v>335</v>
      </c>
    </row>
    <row r="196" spans="1:7" x14ac:dyDescent="0.2">
      <c r="A196" t="s">
        <v>161</v>
      </c>
    </row>
    <row r="197" spans="1:7" x14ac:dyDescent="0.2">
      <c r="A197" t="s">
        <v>2</v>
      </c>
      <c r="B197" t="s">
        <v>3</v>
      </c>
      <c r="C197" t="s">
        <v>504</v>
      </c>
      <c r="D197" t="s">
        <v>5</v>
      </c>
      <c r="E197" t="s">
        <v>1247</v>
      </c>
      <c r="F197" t="s">
        <v>505</v>
      </c>
      <c r="G197" t="s">
        <v>506</v>
      </c>
    </row>
    <row r="198" spans="1:7" x14ac:dyDescent="0.2">
      <c r="A198" t="s">
        <v>1606</v>
      </c>
      <c r="B198" t="s">
        <v>333</v>
      </c>
      <c r="C198">
        <v>25</v>
      </c>
      <c r="D198">
        <v>7026.5154309999998</v>
      </c>
      <c r="E198">
        <v>1</v>
      </c>
      <c r="F198">
        <v>850.83414900000002</v>
      </c>
      <c r="G198" t="s">
        <v>335</v>
      </c>
    </row>
    <row r="199" spans="1:7" x14ac:dyDescent="0.2">
      <c r="A199" t="s">
        <v>1607</v>
      </c>
      <c r="B199" t="s">
        <v>333</v>
      </c>
      <c r="C199">
        <v>25</v>
      </c>
      <c r="D199">
        <v>21165.187253</v>
      </c>
      <c r="E199">
        <v>1</v>
      </c>
      <c r="F199">
        <v>16377.617361000001</v>
      </c>
      <c r="G199" t="s">
        <v>335</v>
      </c>
    </row>
    <row r="200" spans="1:7" x14ac:dyDescent="0.2">
      <c r="A200" t="s">
        <v>1608</v>
      </c>
      <c r="B200" t="s">
        <v>333</v>
      </c>
      <c r="C200">
        <v>25</v>
      </c>
      <c r="D200">
        <v>10195.774422</v>
      </c>
      <c r="E200">
        <v>1</v>
      </c>
      <c r="F200">
        <v>1267.3303800000001</v>
      </c>
      <c r="G200" t="s">
        <v>335</v>
      </c>
    </row>
    <row r="201" spans="1:7" x14ac:dyDescent="0.2">
      <c r="A201" t="s">
        <v>1609</v>
      </c>
      <c r="B201" t="s">
        <v>333</v>
      </c>
      <c r="C201">
        <v>25</v>
      </c>
      <c r="D201">
        <v>82030.127342000007</v>
      </c>
      <c r="E201">
        <v>1</v>
      </c>
      <c r="F201">
        <v>14741.401046999999</v>
      </c>
      <c r="G201" t="s">
        <v>335</v>
      </c>
    </row>
    <row r="202" spans="1:7" x14ac:dyDescent="0.2">
      <c r="A202" t="s">
        <v>1610</v>
      </c>
      <c r="B202" t="s">
        <v>333</v>
      </c>
      <c r="C202">
        <v>25</v>
      </c>
      <c r="D202">
        <v>100117.057506</v>
      </c>
      <c r="E202">
        <v>1</v>
      </c>
      <c r="F202">
        <v>13269.377189000001</v>
      </c>
      <c r="G202" t="s">
        <v>335</v>
      </c>
    </row>
    <row r="203" spans="1:7" x14ac:dyDescent="0.2">
      <c r="A203" t="s">
        <v>1611</v>
      </c>
      <c r="B203" t="s">
        <v>333</v>
      </c>
      <c r="C203">
        <v>25</v>
      </c>
      <c r="D203">
        <v>127214.191376</v>
      </c>
      <c r="E203">
        <v>1</v>
      </c>
      <c r="F203">
        <v>19288.119949</v>
      </c>
      <c r="G203" t="s">
        <v>335</v>
      </c>
    </row>
    <row r="204" spans="1:7" x14ac:dyDescent="0.2">
      <c r="A204" t="s">
        <v>1612</v>
      </c>
      <c r="B204" t="s">
        <v>333</v>
      </c>
      <c r="C204">
        <v>25</v>
      </c>
      <c r="D204">
        <v>827918.26691600005</v>
      </c>
      <c r="E204">
        <v>1</v>
      </c>
      <c r="F204">
        <v>296103.50995799998</v>
      </c>
      <c r="G204" t="s">
        <v>335</v>
      </c>
    </row>
    <row r="205" spans="1:7" x14ac:dyDescent="0.2">
      <c r="A205" t="s">
        <v>1613</v>
      </c>
      <c r="B205" t="s">
        <v>333</v>
      </c>
      <c r="C205">
        <v>25</v>
      </c>
      <c r="D205">
        <v>1310091.1325099999</v>
      </c>
      <c r="E205">
        <v>1</v>
      </c>
      <c r="F205">
        <v>303865.397115</v>
      </c>
      <c r="G205" t="s">
        <v>335</v>
      </c>
    </row>
    <row r="206" spans="1:7" x14ac:dyDescent="0.2">
      <c r="A206" t="s">
        <v>1614</v>
      </c>
      <c r="B206" t="s">
        <v>333</v>
      </c>
      <c r="C206">
        <v>25</v>
      </c>
      <c r="D206">
        <v>1287045.0939199999</v>
      </c>
      <c r="E206">
        <v>1</v>
      </c>
      <c r="F206">
        <v>218428.41731700001</v>
      </c>
      <c r="G206" t="s">
        <v>335</v>
      </c>
    </row>
    <row r="207" spans="1:7" x14ac:dyDescent="0.2">
      <c r="A207" t="s">
        <v>1615</v>
      </c>
      <c r="B207" t="s">
        <v>333</v>
      </c>
      <c r="C207">
        <v>25</v>
      </c>
      <c r="D207">
        <v>4251105.261252</v>
      </c>
      <c r="E207">
        <v>1</v>
      </c>
      <c r="F207">
        <v>1415156.1534780001</v>
      </c>
      <c r="G207" t="s">
        <v>335</v>
      </c>
    </row>
    <row r="208" spans="1:7" x14ac:dyDescent="0.2">
      <c r="A208" t="s">
        <v>1616</v>
      </c>
      <c r="B208" t="s">
        <v>333</v>
      </c>
      <c r="C208">
        <v>25</v>
      </c>
      <c r="D208">
        <v>5208727.4326470001</v>
      </c>
      <c r="E208">
        <v>1</v>
      </c>
      <c r="F208">
        <v>874847.92793799995</v>
      </c>
      <c r="G208" t="s">
        <v>335</v>
      </c>
    </row>
    <row r="209" spans="1:7" x14ac:dyDescent="0.2">
      <c r="A209" t="s">
        <v>1617</v>
      </c>
      <c r="B209" t="s">
        <v>333</v>
      </c>
      <c r="C209">
        <v>25</v>
      </c>
      <c r="D209">
        <v>6267259.1210240005</v>
      </c>
      <c r="E209">
        <v>1</v>
      </c>
      <c r="F209">
        <v>1032384.69865</v>
      </c>
      <c r="G209" t="s">
        <v>335</v>
      </c>
    </row>
    <row r="210" spans="1:7" x14ac:dyDescent="0.2">
      <c r="A210" t="s">
        <v>1618</v>
      </c>
      <c r="B210" t="s">
        <v>333</v>
      </c>
      <c r="C210">
        <v>25</v>
      </c>
      <c r="D210">
        <v>8848497.1070370004</v>
      </c>
      <c r="E210">
        <v>1</v>
      </c>
      <c r="F210">
        <v>2366050.1678200001</v>
      </c>
      <c r="G210" t="s">
        <v>335</v>
      </c>
    </row>
    <row r="211" spans="1:7" x14ac:dyDescent="0.2">
      <c r="A211" t="s">
        <v>1619</v>
      </c>
      <c r="B211" t="s">
        <v>333</v>
      </c>
      <c r="C211">
        <v>25</v>
      </c>
      <c r="D211">
        <v>10827308.989757</v>
      </c>
      <c r="E211">
        <v>1</v>
      </c>
      <c r="F211">
        <v>2252686.9599720002</v>
      </c>
      <c r="G211" t="s">
        <v>335</v>
      </c>
    </row>
    <row r="212" spans="1:7" x14ac:dyDescent="0.2">
      <c r="A212" t="s">
        <v>1620</v>
      </c>
      <c r="B212" t="s">
        <v>333</v>
      </c>
      <c r="C212">
        <v>25</v>
      </c>
      <c r="D212">
        <v>12635840.950547</v>
      </c>
      <c r="E212">
        <v>1</v>
      </c>
      <c r="F212">
        <v>1412305.8690450001</v>
      </c>
      <c r="G212" t="s">
        <v>335</v>
      </c>
    </row>
    <row r="214" spans="1:7" x14ac:dyDescent="0.2">
      <c r="A214" t="s">
        <v>1621</v>
      </c>
    </row>
    <row r="215" spans="1:7" x14ac:dyDescent="0.2">
      <c r="A215" t="s">
        <v>2</v>
      </c>
      <c r="B215" t="s">
        <v>3</v>
      </c>
      <c r="C215" t="s">
        <v>504</v>
      </c>
      <c r="D215" t="s">
        <v>5</v>
      </c>
      <c r="E215" t="s">
        <v>1247</v>
      </c>
      <c r="F215" t="s">
        <v>505</v>
      </c>
      <c r="G215" t="s">
        <v>506</v>
      </c>
    </row>
    <row r="216" spans="1:7" x14ac:dyDescent="0.2">
      <c r="A216" t="s">
        <v>1622</v>
      </c>
      <c r="B216" t="s">
        <v>333</v>
      </c>
      <c r="C216">
        <v>25</v>
      </c>
      <c r="D216">
        <v>9759.0313810000007</v>
      </c>
      <c r="E216">
        <v>1</v>
      </c>
      <c r="F216">
        <v>14035.072133</v>
      </c>
      <c r="G216" t="s">
        <v>335</v>
      </c>
    </row>
    <row r="217" spans="1:7" x14ac:dyDescent="0.2">
      <c r="A217" t="s">
        <v>1623</v>
      </c>
      <c r="B217" t="s">
        <v>333</v>
      </c>
      <c r="C217">
        <v>25</v>
      </c>
      <c r="D217">
        <v>30022.791165999999</v>
      </c>
      <c r="E217">
        <v>1</v>
      </c>
      <c r="F217">
        <v>32160.044782000001</v>
      </c>
      <c r="G217" t="s">
        <v>335</v>
      </c>
    </row>
    <row r="218" spans="1:7" x14ac:dyDescent="0.2">
      <c r="A218" t="s">
        <v>1624</v>
      </c>
      <c r="B218" t="s">
        <v>333</v>
      </c>
      <c r="C218">
        <v>25</v>
      </c>
      <c r="D218">
        <v>8547.1210749999991</v>
      </c>
      <c r="E218">
        <v>1</v>
      </c>
      <c r="F218">
        <v>2255.1859180000001</v>
      </c>
      <c r="G218" t="s">
        <v>335</v>
      </c>
    </row>
    <row r="219" spans="1:7" x14ac:dyDescent="0.2">
      <c r="A219" t="s">
        <v>1625</v>
      </c>
      <c r="B219" t="s">
        <v>333</v>
      </c>
      <c r="C219">
        <v>25</v>
      </c>
      <c r="D219">
        <v>98577.166408000005</v>
      </c>
      <c r="E219">
        <v>1</v>
      </c>
      <c r="F219">
        <v>32212.434419000001</v>
      </c>
      <c r="G219" t="s">
        <v>335</v>
      </c>
    </row>
    <row r="220" spans="1:7" x14ac:dyDescent="0.2">
      <c r="A220" t="s">
        <v>1626</v>
      </c>
      <c r="B220" t="s">
        <v>333</v>
      </c>
      <c r="C220">
        <v>25</v>
      </c>
      <c r="D220">
        <v>115543.305855</v>
      </c>
      <c r="E220">
        <v>1</v>
      </c>
      <c r="F220">
        <v>35766.409455000001</v>
      </c>
      <c r="G220" t="s">
        <v>335</v>
      </c>
    </row>
    <row r="221" spans="1:7" x14ac:dyDescent="0.2">
      <c r="A221" t="s">
        <v>1627</v>
      </c>
      <c r="B221" t="s">
        <v>333</v>
      </c>
      <c r="C221">
        <v>25</v>
      </c>
      <c r="D221">
        <v>338068.15080800001</v>
      </c>
      <c r="E221">
        <v>1</v>
      </c>
      <c r="F221">
        <v>561271.89232900005</v>
      </c>
      <c r="G221" t="s">
        <v>335</v>
      </c>
    </row>
    <row r="222" spans="1:7" x14ac:dyDescent="0.2">
      <c r="A222" t="s">
        <v>1628</v>
      </c>
      <c r="B222" t="s">
        <v>333</v>
      </c>
      <c r="C222">
        <v>25</v>
      </c>
      <c r="D222">
        <v>1118899.183772</v>
      </c>
      <c r="E222">
        <v>1</v>
      </c>
      <c r="F222">
        <v>360433.11355499999</v>
      </c>
      <c r="G222" t="s">
        <v>335</v>
      </c>
    </row>
    <row r="223" spans="1:7" x14ac:dyDescent="0.2">
      <c r="A223" t="s">
        <v>1629</v>
      </c>
      <c r="B223" t="s">
        <v>333</v>
      </c>
      <c r="C223">
        <v>25</v>
      </c>
      <c r="D223">
        <v>4680926.5148910005</v>
      </c>
      <c r="E223">
        <v>1</v>
      </c>
      <c r="F223">
        <v>7654949.4443380004</v>
      </c>
      <c r="G223" t="s">
        <v>335</v>
      </c>
    </row>
    <row r="224" spans="1:7" x14ac:dyDescent="0.2">
      <c r="A224" t="s">
        <v>1630</v>
      </c>
      <c r="B224" t="s">
        <v>333</v>
      </c>
      <c r="C224">
        <v>25</v>
      </c>
      <c r="D224">
        <v>1393410.723403</v>
      </c>
      <c r="E224">
        <v>1</v>
      </c>
      <c r="F224">
        <v>429341.25070700003</v>
      </c>
      <c r="G224" t="s">
        <v>335</v>
      </c>
    </row>
    <row r="225" spans="1:7" x14ac:dyDescent="0.2">
      <c r="A225" t="s">
        <v>1631</v>
      </c>
      <c r="B225" t="s">
        <v>333</v>
      </c>
      <c r="C225">
        <v>25</v>
      </c>
      <c r="D225">
        <v>6567609.1349640004</v>
      </c>
      <c r="E225">
        <v>1</v>
      </c>
      <c r="F225">
        <v>2467784.925969</v>
      </c>
      <c r="G225" t="s">
        <v>335</v>
      </c>
    </row>
    <row r="226" spans="1:7" x14ac:dyDescent="0.2">
      <c r="A226" t="s">
        <v>1632</v>
      </c>
      <c r="B226" t="s">
        <v>333</v>
      </c>
      <c r="C226">
        <v>25</v>
      </c>
      <c r="D226">
        <v>7604717.8718130002</v>
      </c>
      <c r="E226">
        <v>1</v>
      </c>
      <c r="F226">
        <v>4582412.2000219999</v>
      </c>
      <c r="G226" t="s">
        <v>335</v>
      </c>
    </row>
    <row r="227" spans="1:7" x14ac:dyDescent="0.2">
      <c r="A227" t="s">
        <v>1633</v>
      </c>
      <c r="B227" t="s">
        <v>333</v>
      </c>
      <c r="C227">
        <v>25</v>
      </c>
      <c r="D227">
        <v>11103253.652803</v>
      </c>
      <c r="E227">
        <v>1</v>
      </c>
      <c r="F227">
        <v>12576820.224594999</v>
      </c>
      <c r="G227" t="s">
        <v>335</v>
      </c>
    </row>
    <row r="228" spans="1:7" x14ac:dyDescent="0.2">
      <c r="A228" t="s">
        <v>1634</v>
      </c>
      <c r="B228" t="s">
        <v>333</v>
      </c>
      <c r="C228">
        <v>25</v>
      </c>
      <c r="D228">
        <v>14202421.053255999</v>
      </c>
      <c r="E228">
        <v>1</v>
      </c>
      <c r="F228">
        <v>5350771.2735719997</v>
      </c>
      <c r="G228" t="s">
        <v>335</v>
      </c>
    </row>
    <row r="229" spans="1:7" x14ac:dyDescent="0.2">
      <c r="A229" t="s">
        <v>1635</v>
      </c>
      <c r="B229" t="s">
        <v>333</v>
      </c>
      <c r="C229">
        <v>25</v>
      </c>
      <c r="D229">
        <v>108815714.673667</v>
      </c>
      <c r="E229">
        <v>1</v>
      </c>
      <c r="F229">
        <v>92208848.121158004</v>
      </c>
      <c r="G229" t="s">
        <v>335</v>
      </c>
    </row>
    <row r="230" spans="1:7" x14ac:dyDescent="0.2">
      <c r="A230" t="s">
        <v>1636</v>
      </c>
      <c r="B230" t="s">
        <v>333</v>
      </c>
      <c r="C230">
        <v>25</v>
      </c>
      <c r="D230">
        <v>14843870.546759</v>
      </c>
      <c r="E230">
        <v>1</v>
      </c>
      <c r="F230">
        <v>5427261.8031540001</v>
      </c>
      <c r="G230" t="s">
        <v>335</v>
      </c>
    </row>
    <row r="232" spans="1:7" x14ac:dyDescent="0.2">
      <c r="A232" t="s">
        <v>1243</v>
      </c>
    </row>
    <row r="233" spans="1:7" x14ac:dyDescent="0.2">
      <c r="A233" t="s">
        <v>2</v>
      </c>
      <c r="B233" t="s">
        <v>3</v>
      </c>
      <c r="C233" t="s">
        <v>504</v>
      </c>
      <c r="D233" t="s">
        <v>5</v>
      </c>
      <c r="E233" t="s">
        <v>1247</v>
      </c>
      <c r="F233" t="s">
        <v>505</v>
      </c>
      <c r="G233" t="s">
        <v>506</v>
      </c>
    </row>
    <row r="234" spans="1:7" x14ac:dyDescent="0.2">
      <c r="A234" t="s">
        <v>1637</v>
      </c>
      <c r="B234" t="s">
        <v>333</v>
      </c>
      <c r="C234">
        <v>25</v>
      </c>
      <c r="D234">
        <v>57523.526732999999</v>
      </c>
      <c r="E234">
        <v>1</v>
      </c>
      <c r="F234">
        <v>11772.277899999999</v>
      </c>
      <c r="G234" t="s">
        <v>335</v>
      </c>
    </row>
    <row r="235" spans="1:7" x14ac:dyDescent="0.2">
      <c r="A235" t="s">
        <v>1638</v>
      </c>
      <c r="B235" t="s">
        <v>333</v>
      </c>
      <c r="C235">
        <v>25</v>
      </c>
      <c r="D235">
        <v>69228.560630000007</v>
      </c>
      <c r="E235">
        <v>1</v>
      </c>
      <c r="F235">
        <v>11903.535378</v>
      </c>
      <c r="G235" t="s">
        <v>335</v>
      </c>
    </row>
    <row r="236" spans="1:7" x14ac:dyDescent="0.2">
      <c r="A236" t="s">
        <v>1639</v>
      </c>
      <c r="B236" t="s">
        <v>333</v>
      </c>
      <c r="C236">
        <v>25</v>
      </c>
      <c r="D236">
        <v>59026.461644000003</v>
      </c>
      <c r="E236">
        <v>1</v>
      </c>
      <c r="F236">
        <v>10850.078664000001</v>
      </c>
      <c r="G236" t="s">
        <v>335</v>
      </c>
    </row>
    <row r="237" spans="1:7" x14ac:dyDescent="0.2">
      <c r="A237" t="s">
        <v>1640</v>
      </c>
      <c r="B237" t="s">
        <v>333</v>
      </c>
      <c r="C237">
        <v>25</v>
      </c>
      <c r="D237">
        <v>362093.40847700002</v>
      </c>
      <c r="E237">
        <v>1</v>
      </c>
      <c r="F237">
        <v>47761.838477999998</v>
      </c>
      <c r="G237" t="s">
        <v>335</v>
      </c>
    </row>
    <row r="238" spans="1:7" x14ac:dyDescent="0.2">
      <c r="A238" t="s">
        <v>1641</v>
      </c>
      <c r="B238" t="s">
        <v>333</v>
      </c>
      <c r="C238">
        <v>25</v>
      </c>
      <c r="D238">
        <v>494078.25881099998</v>
      </c>
      <c r="E238">
        <v>1</v>
      </c>
      <c r="F238">
        <v>83288.080818000002</v>
      </c>
      <c r="G238" t="s">
        <v>335</v>
      </c>
    </row>
    <row r="239" spans="1:7" x14ac:dyDescent="0.2">
      <c r="A239" t="s">
        <v>1642</v>
      </c>
      <c r="B239" t="s">
        <v>333</v>
      </c>
      <c r="C239">
        <v>25</v>
      </c>
      <c r="D239">
        <v>546953.54134999996</v>
      </c>
      <c r="E239">
        <v>1</v>
      </c>
      <c r="F239">
        <v>42382.825251000002</v>
      </c>
      <c r="G239" t="s">
        <v>335</v>
      </c>
    </row>
    <row r="240" spans="1:7" x14ac:dyDescent="0.2">
      <c r="A240" t="s">
        <v>1643</v>
      </c>
      <c r="B240" t="s">
        <v>333</v>
      </c>
      <c r="C240">
        <v>25</v>
      </c>
      <c r="D240">
        <v>3175032.7270240001</v>
      </c>
      <c r="E240">
        <v>1</v>
      </c>
      <c r="F240">
        <v>371984.92321600002</v>
      </c>
      <c r="G240" t="s">
        <v>335</v>
      </c>
    </row>
    <row r="241" spans="1:7" x14ac:dyDescent="0.2">
      <c r="A241" t="s">
        <v>1644</v>
      </c>
      <c r="B241" t="s">
        <v>333</v>
      </c>
      <c r="C241">
        <v>25</v>
      </c>
      <c r="D241">
        <v>12646917.412196999</v>
      </c>
      <c r="E241">
        <v>1</v>
      </c>
      <c r="F241">
        <v>9485967.4428809993</v>
      </c>
      <c r="G241" t="s">
        <v>335</v>
      </c>
    </row>
    <row r="242" spans="1:7" x14ac:dyDescent="0.2">
      <c r="A242" t="s">
        <v>1645</v>
      </c>
      <c r="B242" t="s">
        <v>333</v>
      </c>
      <c r="C242">
        <v>25</v>
      </c>
      <c r="D242">
        <v>5299348.5607939996</v>
      </c>
      <c r="E242">
        <v>1</v>
      </c>
      <c r="F242">
        <v>450923.78670499998</v>
      </c>
      <c r="G242" t="s">
        <v>335</v>
      </c>
    </row>
    <row r="243" spans="1:7" x14ac:dyDescent="0.2">
      <c r="A243" t="s">
        <v>1646</v>
      </c>
      <c r="B243" t="s">
        <v>333</v>
      </c>
      <c r="C243">
        <v>25</v>
      </c>
      <c r="D243">
        <v>18375068.633202001</v>
      </c>
      <c r="E243">
        <v>1</v>
      </c>
      <c r="F243">
        <v>1389288.3567019999</v>
      </c>
      <c r="G243" t="s">
        <v>335</v>
      </c>
    </row>
    <row r="244" spans="1:7" x14ac:dyDescent="0.2">
      <c r="A244" t="s">
        <v>1647</v>
      </c>
      <c r="B244" t="s">
        <v>333</v>
      </c>
      <c r="C244">
        <v>25</v>
      </c>
      <c r="D244">
        <v>41277009.276919998</v>
      </c>
      <c r="E244">
        <v>1</v>
      </c>
      <c r="F244">
        <v>27898278.094617002</v>
      </c>
      <c r="G244" t="s">
        <v>335</v>
      </c>
    </row>
    <row r="245" spans="1:7" x14ac:dyDescent="0.2">
      <c r="A245" t="s">
        <v>1648</v>
      </c>
      <c r="B245" t="s">
        <v>333</v>
      </c>
      <c r="C245">
        <v>25</v>
      </c>
      <c r="D245">
        <v>21882443.699127</v>
      </c>
      <c r="E245">
        <v>1</v>
      </c>
      <c r="F245">
        <v>1110263.394964</v>
      </c>
      <c r="G245" t="s">
        <v>335</v>
      </c>
    </row>
    <row r="246" spans="1:7" x14ac:dyDescent="0.2">
      <c r="A246" t="s">
        <v>1649</v>
      </c>
      <c r="B246" t="s">
        <v>333</v>
      </c>
      <c r="C246">
        <v>25</v>
      </c>
      <c r="D246">
        <v>38863056.901096001</v>
      </c>
      <c r="E246">
        <v>1</v>
      </c>
      <c r="F246">
        <v>2086995.018807</v>
      </c>
      <c r="G246" t="s">
        <v>335</v>
      </c>
    </row>
    <row r="247" spans="1:7" x14ac:dyDescent="0.2">
      <c r="A247" t="s">
        <v>1650</v>
      </c>
      <c r="B247" t="s">
        <v>333</v>
      </c>
      <c r="C247">
        <v>25</v>
      </c>
      <c r="D247">
        <v>193062131.271909</v>
      </c>
      <c r="E247">
        <v>1</v>
      </c>
      <c r="F247">
        <v>110675334.925459</v>
      </c>
      <c r="G247" t="s">
        <v>335</v>
      </c>
    </row>
    <row r="248" spans="1:7" x14ac:dyDescent="0.2">
      <c r="A248" t="s">
        <v>1651</v>
      </c>
      <c r="B248" t="s">
        <v>333</v>
      </c>
      <c r="C248">
        <v>25</v>
      </c>
      <c r="D248">
        <v>45150429.363371</v>
      </c>
      <c r="E248">
        <v>1</v>
      </c>
      <c r="F248">
        <v>3150643.828284</v>
      </c>
      <c r="G248" t="s">
        <v>335</v>
      </c>
    </row>
    <row r="250" spans="1:7" x14ac:dyDescent="0.2">
      <c r="A250" t="s">
        <v>964</v>
      </c>
    </row>
    <row r="251" spans="1:7" x14ac:dyDescent="0.2">
      <c r="A251" t="s">
        <v>2</v>
      </c>
      <c r="B251" t="s">
        <v>3</v>
      </c>
      <c r="C251" t="s">
        <v>504</v>
      </c>
      <c r="D251" t="s">
        <v>5</v>
      </c>
      <c r="E251" t="s">
        <v>1247</v>
      </c>
      <c r="F251" t="s">
        <v>505</v>
      </c>
      <c r="G251" t="s">
        <v>506</v>
      </c>
    </row>
    <row r="252" spans="1:7" x14ac:dyDescent="0.2">
      <c r="A252" t="s">
        <v>1652</v>
      </c>
      <c r="B252" t="s">
        <v>333</v>
      </c>
      <c r="C252">
        <v>25</v>
      </c>
      <c r="D252">
        <v>62989.421921000001</v>
      </c>
      <c r="E252">
        <v>1</v>
      </c>
      <c r="F252">
        <v>63619.459709000002</v>
      </c>
      <c r="G252" t="s">
        <v>335</v>
      </c>
    </row>
    <row r="253" spans="1:7" x14ac:dyDescent="0.2">
      <c r="A253" t="s">
        <v>1653</v>
      </c>
      <c r="B253" t="s">
        <v>333</v>
      </c>
      <c r="C253">
        <v>25</v>
      </c>
      <c r="D253">
        <v>33122.318371000001</v>
      </c>
      <c r="E253">
        <v>1</v>
      </c>
      <c r="F253">
        <v>44738.569793000002</v>
      </c>
      <c r="G253" t="s">
        <v>335</v>
      </c>
    </row>
    <row r="254" spans="1:7" x14ac:dyDescent="0.2">
      <c r="A254" t="s">
        <v>1654</v>
      </c>
      <c r="B254" t="s">
        <v>333</v>
      </c>
      <c r="C254">
        <v>25</v>
      </c>
      <c r="D254">
        <v>31418.868052999998</v>
      </c>
      <c r="E254">
        <v>1</v>
      </c>
      <c r="F254">
        <v>28605.364820999999</v>
      </c>
      <c r="G254" t="s">
        <v>335</v>
      </c>
    </row>
    <row r="255" spans="1:7" x14ac:dyDescent="0.2">
      <c r="A255" t="s">
        <v>1655</v>
      </c>
      <c r="B255" t="s">
        <v>333</v>
      </c>
      <c r="C255">
        <v>25</v>
      </c>
      <c r="D255">
        <v>242039.24819799999</v>
      </c>
      <c r="E255">
        <v>1</v>
      </c>
      <c r="F255">
        <v>127737.179197</v>
      </c>
      <c r="G255" t="s">
        <v>335</v>
      </c>
    </row>
    <row r="256" spans="1:7" x14ac:dyDescent="0.2">
      <c r="A256" t="s">
        <v>1656</v>
      </c>
      <c r="B256" t="s">
        <v>333</v>
      </c>
      <c r="C256">
        <v>25</v>
      </c>
      <c r="D256">
        <v>178808.70236900001</v>
      </c>
      <c r="E256">
        <v>1</v>
      </c>
      <c r="F256">
        <v>49213.271520000002</v>
      </c>
      <c r="G256" t="s">
        <v>335</v>
      </c>
    </row>
    <row r="257" spans="1:7" x14ac:dyDescent="0.2">
      <c r="A257" t="s">
        <v>1657</v>
      </c>
      <c r="B257" t="s">
        <v>333</v>
      </c>
      <c r="C257">
        <v>25</v>
      </c>
      <c r="D257">
        <v>205666.55148699999</v>
      </c>
      <c r="E257">
        <v>1</v>
      </c>
      <c r="F257">
        <v>72571.610578000007</v>
      </c>
      <c r="G257" t="s">
        <v>335</v>
      </c>
    </row>
    <row r="258" spans="1:7" x14ac:dyDescent="0.2">
      <c r="A258" t="s">
        <v>1658</v>
      </c>
      <c r="B258" t="s">
        <v>333</v>
      </c>
      <c r="C258">
        <v>25</v>
      </c>
      <c r="D258">
        <v>2743390.796044</v>
      </c>
      <c r="E258">
        <v>1</v>
      </c>
      <c r="F258">
        <v>826024.36710799998</v>
      </c>
      <c r="G258" t="s">
        <v>335</v>
      </c>
    </row>
    <row r="259" spans="1:7" x14ac:dyDescent="0.2">
      <c r="A259" t="s">
        <v>1659</v>
      </c>
      <c r="B259" t="s">
        <v>333</v>
      </c>
      <c r="C259">
        <v>25</v>
      </c>
      <c r="D259">
        <v>10502286.926198</v>
      </c>
      <c r="E259">
        <v>1</v>
      </c>
      <c r="F259">
        <v>6437659.7482820004</v>
      </c>
      <c r="G259" t="s">
        <v>335</v>
      </c>
    </row>
    <row r="260" spans="1:7" x14ac:dyDescent="0.2">
      <c r="A260" t="s">
        <v>1660</v>
      </c>
      <c r="B260" t="s">
        <v>333</v>
      </c>
      <c r="C260">
        <v>25</v>
      </c>
      <c r="D260">
        <v>3625443.1107470002</v>
      </c>
      <c r="E260">
        <v>1</v>
      </c>
      <c r="F260">
        <v>2201088.092772</v>
      </c>
      <c r="G260" t="s">
        <v>335</v>
      </c>
    </row>
    <row r="261" spans="1:7" x14ac:dyDescent="0.2">
      <c r="A261" t="s">
        <v>1661</v>
      </c>
      <c r="B261" t="s">
        <v>333</v>
      </c>
      <c r="C261">
        <v>25</v>
      </c>
      <c r="D261">
        <v>14275196.520629</v>
      </c>
      <c r="E261">
        <v>1</v>
      </c>
      <c r="F261">
        <v>4934086.9195739999</v>
      </c>
      <c r="G261" t="s">
        <v>335</v>
      </c>
    </row>
    <row r="262" spans="1:7" x14ac:dyDescent="0.2">
      <c r="A262" t="s">
        <v>1662</v>
      </c>
      <c r="B262" t="s">
        <v>333</v>
      </c>
      <c r="C262">
        <v>25</v>
      </c>
      <c r="D262">
        <v>105555458.490908</v>
      </c>
      <c r="E262">
        <v>1</v>
      </c>
      <c r="F262">
        <v>62787350.411206</v>
      </c>
      <c r="G262" t="s">
        <v>335</v>
      </c>
    </row>
    <row r="263" spans="1:7" x14ac:dyDescent="0.2">
      <c r="A263" t="s">
        <v>1663</v>
      </c>
      <c r="B263" t="s">
        <v>333</v>
      </c>
      <c r="C263">
        <v>25</v>
      </c>
      <c r="D263">
        <v>16920832.801513001</v>
      </c>
      <c r="E263">
        <v>1</v>
      </c>
      <c r="F263">
        <v>5092901.529906</v>
      </c>
      <c r="G263" t="s">
        <v>335</v>
      </c>
    </row>
    <row r="264" spans="1:7" x14ac:dyDescent="0.2">
      <c r="A264" t="s">
        <v>1664</v>
      </c>
      <c r="B264" t="s">
        <v>333</v>
      </c>
      <c r="C264">
        <v>25</v>
      </c>
      <c r="D264">
        <v>28997630.354501002</v>
      </c>
      <c r="E264">
        <v>1</v>
      </c>
      <c r="F264">
        <v>8088218.1985360002</v>
      </c>
      <c r="G264" t="s">
        <v>335</v>
      </c>
    </row>
    <row r="265" spans="1:7" x14ac:dyDescent="0.2">
      <c r="A265" t="s">
        <v>1665</v>
      </c>
      <c r="B265" t="s">
        <v>333</v>
      </c>
      <c r="C265">
        <v>25</v>
      </c>
      <c r="D265">
        <v>33532779.412195999</v>
      </c>
      <c r="E265">
        <v>1</v>
      </c>
      <c r="F265">
        <v>8234565.9453999996</v>
      </c>
      <c r="G265" t="s">
        <v>335</v>
      </c>
    </row>
    <row r="266" spans="1:7" x14ac:dyDescent="0.2">
      <c r="A266" t="s">
        <v>1666</v>
      </c>
      <c r="B266" t="s">
        <v>333</v>
      </c>
      <c r="C266">
        <v>25</v>
      </c>
      <c r="D266">
        <v>47180555.241246</v>
      </c>
      <c r="E266">
        <v>1</v>
      </c>
      <c r="F266">
        <v>20954900.634746999</v>
      </c>
      <c r="G266" t="s">
        <v>335</v>
      </c>
    </row>
    <row r="268" spans="1:7" x14ac:dyDescent="0.2">
      <c r="A268" t="s">
        <v>980</v>
      </c>
    </row>
    <row r="269" spans="1:7" x14ac:dyDescent="0.2">
      <c r="A269" t="s">
        <v>2</v>
      </c>
      <c r="B269" t="s">
        <v>3</v>
      </c>
      <c r="C269" t="s">
        <v>504</v>
      </c>
      <c r="D269" t="s">
        <v>5</v>
      </c>
      <c r="E269" t="s">
        <v>1247</v>
      </c>
      <c r="F269" t="s">
        <v>505</v>
      </c>
      <c r="G269" t="s">
        <v>506</v>
      </c>
    </row>
    <row r="270" spans="1:7" x14ac:dyDescent="0.2">
      <c r="A270" t="s">
        <v>1667</v>
      </c>
      <c r="B270" t="s">
        <v>333</v>
      </c>
      <c r="C270">
        <v>25</v>
      </c>
      <c r="D270">
        <v>151.208854</v>
      </c>
      <c r="E270">
        <v>1</v>
      </c>
      <c r="F270">
        <v>14.105684</v>
      </c>
      <c r="G270" t="s">
        <v>335</v>
      </c>
    </row>
    <row r="271" spans="1:7" x14ac:dyDescent="0.2">
      <c r="A271" t="s">
        <v>1668</v>
      </c>
      <c r="B271" t="s">
        <v>333</v>
      </c>
      <c r="C271">
        <v>25</v>
      </c>
      <c r="D271">
        <v>64.236260000000001</v>
      </c>
      <c r="E271">
        <v>1</v>
      </c>
      <c r="F271">
        <v>3.6554009999999999</v>
      </c>
      <c r="G271" t="s">
        <v>335</v>
      </c>
    </row>
    <row r="272" spans="1:7" x14ac:dyDescent="0.2">
      <c r="A272" t="s">
        <v>1669</v>
      </c>
      <c r="B272" t="s">
        <v>333</v>
      </c>
      <c r="C272">
        <v>25</v>
      </c>
      <c r="D272">
        <v>143.85274799999999</v>
      </c>
      <c r="E272">
        <v>1</v>
      </c>
      <c r="F272">
        <v>25.411728</v>
      </c>
      <c r="G272" t="s">
        <v>335</v>
      </c>
    </row>
    <row r="273" spans="1:7" x14ac:dyDescent="0.2">
      <c r="A273" t="s">
        <v>1670</v>
      </c>
      <c r="B273" t="s">
        <v>333</v>
      </c>
      <c r="C273">
        <v>25</v>
      </c>
      <c r="D273">
        <v>885.382924</v>
      </c>
      <c r="E273">
        <v>1</v>
      </c>
      <c r="F273">
        <v>77.157073999999994</v>
      </c>
      <c r="G273" t="s">
        <v>335</v>
      </c>
    </row>
    <row r="274" spans="1:7" x14ac:dyDescent="0.2">
      <c r="A274" t="s">
        <v>1671</v>
      </c>
      <c r="B274" t="s">
        <v>333</v>
      </c>
      <c r="C274">
        <v>25</v>
      </c>
      <c r="D274">
        <v>206.93893399999999</v>
      </c>
      <c r="E274">
        <v>1</v>
      </c>
      <c r="F274">
        <v>30.238620999999998</v>
      </c>
      <c r="G274" t="s">
        <v>335</v>
      </c>
    </row>
    <row r="275" spans="1:7" x14ac:dyDescent="0.2">
      <c r="A275" t="s">
        <v>1672</v>
      </c>
      <c r="B275" t="s">
        <v>333</v>
      </c>
      <c r="C275">
        <v>25</v>
      </c>
      <c r="D275">
        <v>367.24975999999998</v>
      </c>
      <c r="E275">
        <v>1</v>
      </c>
      <c r="F275">
        <v>24.951229000000001</v>
      </c>
      <c r="G275" t="s">
        <v>335</v>
      </c>
    </row>
    <row r="276" spans="1:7" x14ac:dyDescent="0.2">
      <c r="A276" t="s">
        <v>1673</v>
      </c>
      <c r="B276" t="s">
        <v>333</v>
      </c>
      <c r="C276">
        <v>25</v>
      </c>
      <c r="D276">
        <v>8559.8066099999996</v>
      </c>
      <c r="E276">
        <v>1</v>
      </c>
      <c r="F276">
        <v>475.604108</v>
      </c>
      <c r="G276" t="s">
        <v>335</v>
      </c>
    </row>
    <row r="277" spans="1:7" x14ac:dyDescent="0.2">
      <c r="A277" t="s">
        <v>1674</v>
      </c>
      <c r="B277" t="s">
        <v>333</v>
      </c>
      <c r="C277">
        <v>25</v>
      </c>
      <c r="D277">
        <v>1980.3856900000001</v>
      </c>
      <c r="E277">
        <v>1</v>
      </c>
      <c r="F277">
        <v>118.195927</v>
      </c>
      <c r="G277" t="s">
        <v>335</v>
      </c>
    </row>
    <row r="278" spans="1:7" x14ac:dyDescent="0.2">
      <c r="A278" t="s">
        <v>1675</v>
      </c>
      <c r="B278" t="s">
        <v>333</v>
      </c>
      <c r="C278">
        <v>25</v>
      </c>
      <c r="D278">
        <v>15248.971879999999</v>
      </c>
      <c r="E278">
        <v>1</v>
      </c>
      <c r="F278">
        <v>11577.195663</v>
      </c>
      <c r="G278" t="s">
        <v>335</v>
      </c>
    </row>
    <row r="279" spans="1:7" x14ac:dyDescent="0.2">
      <c r="A279" t="s">
        <v>1676</v>
      </c>
      <c r="B279" t="s">
        <v>333</v>
      </c>
      <c r="C279">
        <v>25</v>
      </c>
      <c r="D279">
        <v>43421.606972000001</v>
      </c>
      <c r="E279">
        <v>1</v>
      </c>
      <c r="F279">
        <v>3017.4774000000002</v>
      </c>
      <c r="G279" t="s">
        <v>335</v>
      </c>
    </row>
    <row r="280" spans="1:7" x14ac:dyDescent="0.2">
      <c r="A280" t="s">
        <v>1677</v>
      </c>
      <c r="B280" t="s">
        <v>333</v>
      </c>
      <c r="C280">
        <v>25</v>
      </c>
      <c r="D280">
        <v>10186.667264</v>
      </c>
      <c r="E280">
        <v>1</v>
      </c>
      <c r="F280">
        <v>380.76161300000001</v>
      </c>
      <c r="G280" t="s">
        <v>335</v>
      </c>
    </row>
    <row r="281" spans="1:7" x14ac:dyDescent="0.2">
      <c r="A281" t="s">
        <v>1678</v>
      </c>
      <c r="B281" t="s">
        <v>333</v>
      </c>
      <c r="C281">
        <v>25</v>
      </c>
      <c r="D281">
        <v>13465.380804</v>
      </c>
      <c r="E281">
        <v>1</v>
      </c>
      <c r="F281">
        <v>568.23365699999999</v>
      </c>
      <c r="G281" t="s">
        <v>335</v>
      </c>
    </row>
    <row r="282" spans="1:7" x14ac:dyDescent="0.2">
      <c r="A282" t="s">
        <v>1679</v>
      </c>
      <c r="B282" t="s">
        <v>333</v>
      </c>
      <c r="C282">
        <v>25</v>
      </c>
      <c r="D282">
        <v>981083.76375599997</v>
      </c>
      <c r="E282">
        <v>1</v>
      </c>
      <c r="F282">
        <v>833518.21253999998</v>
      </c>
      <c r="G282" t="s">
        <v>335</v>
      </c>
    </row>
    <row r="283" spans="1:7" x14ac:dyDescent="0.2">
      <c r="A283" t="s">
        <v>1680</v>
      </c>
      <c r="B283" t="s">
        <v>333</v>
      </c>
      <c r="C283">
        <v>25</v>
      </c>
      <c r="D283">
        <v>20277.006434999999</v>
      </c>
      <c r="E283">
        <v>1</v>
      </c>
      <c r="F283">
        <v>1750.646258</v>
      </c>
      <c r="G283" t="s">
        <v>335</v>
      </c>
    </row>
    <row r="284" spans="1:7" x14ac:dyDescent="0.2">
      <c r="A284" t="s">
        <v>1681</v>
      </c>
      <c r="B284" t="s">
        <v>333</v>
      </c>
      <c r="C284">
        <v>25</v>
      </c>
      <c r="D284">
        <v>25340.406005000001</v>
      </c>
      <c r="E284">
        <v>1</v>
      </c>
      <c r="F284">
        <v>884.59156700000005</v>
      </c>
      <c r="G284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8</vt:i4>
      </vt:variant>
    </vt:vector>
  </HeadingPairs>
  <TitlesOfParts>
    <vt:vector size="13" baseType="lpstr">
      <vt:lpstr>Data</vt:lpstr>
      <vt:lpstr>Измерения</vt:lpstr>
      <vt:lpstr>Результаты</vt:lpstr>
      <vt:lpstr>Результаты LINUX-WPS</vt:lpstr>
      <vt:lpstr>Data_swap</vt:lpstr>
      <vt:lpstr>Измерения!Измерения_1</vt:lpstr>
      <vt:lpstr>Data!calculated_1</vt:lpstr>
      <vt:lpstr>Data_swap!calculated_swap</vt:lpstr>
      <vt:lpstr>Измерения!jmh_result_1</vt:lpstr>
      <vt:lpstr>Измерения!linux_all</vt:lpstr>
      <vt:lpstr>Измерения!linux_map_exp_1</vt:lpstr>
      <vt:lpstr>Измерения!measures_100000</vt:lpstr>
      <vt:lpstr>Измерения!measures_withMemory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2024-03-01T03:22:43Z</dcterms:created>
  <dcterms:modified xsi:type="dcterms:W3CDTF">2024-07-14T05:47:06Z</dcterms:modified>
</cp:coreProperties>
</file>